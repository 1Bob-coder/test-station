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arrisi.com\arrisdfs\digitalcm\document control\365 documents\archive\365-095-29800\review records\"/>
    </mc:Choice>
  </mc:AlternateContent>
  <xr:revisionPtr revIDLastSave="0" documentId="8_{BA11EE4A-D021-4E9A-A7D6-00A7708C98B6}" xr6:coauthVersionLast="41" xr6:coauthVersionMax="41" xr10:uidLastSave="{00000000-0000-0000-0000-000000000000}"/>
  <bookViews>
    <workbookView xWindow="840" yWindow="765" windowWidth="18000" windowHeight="9375" xr2:uid="{00000000-000D-0000-FFFF-FFFF00000000}"/>
  </bookViews>
  <sheets>
    <sheet name="Cover Sheet" sheetId="4" r:id="rId1"/>
    <sheet name="Prev PMR" sheetId="31" state="hidden" r:id="rId2"/>
    <sheet name="FR" sheetId="26" state="hidden" r:id="rId3"/>
    <sheet name="PMR Form" sheetId="27" state="hidden" r:id="rId4"/>
    <sheet name="PMR" sheetId="34" r:id="rId5"/>
    <sheet name="PrevPFS" sheetId="30" state="hidden" r:id="rId6"/>
    <sheet name="TR" sheetId="29" state="hidden" r:id="rId7"/>
    <sheet name="PFS Form" sheetId="28" state="hidden" r:id="rId8"/>
    <sheet name="PFS" sheetId="35" r:id="rId9"/>
    <sheet name="Acronyms" sheetId="32" r:id="rId10"/>
    <sheet name="Documents" sheetId="33" r:id="rId11"/>
  </sheets>
  <functionGroups builtInGroupCount="19"/>
  <definedNames>
    <definedName name="_xlnm._FilterDatabase" localSheetId="2" hidden="1">FR!$A$1:$I$196</definedName>
    <definedName name="_xlnm._FilterDatabase" localSheetId="8" hidden="1">PFS!$A$1:$Q$925</definedName>
    <definedName name="_xlnm._FilterDatabase" localSheetId="7" hidden="1">'PFS Form'!$A$1:$Q$837</definedName>
    <definedName name="_xlnm._FilterDatabase" localSheetId="4" hidden="1">PMR!$A$1:$J$166</definedName>
    <definedName name="_xlnm._FilterDatabase" localSheetId="3" hidden="1">'PMR Form'!$A$1:$J$207</definedName>
    <definedName name="_xlnm._FilterDatabase" localSheetId="5" hidden="1">PrevPFS!$A$1:$M$833</definedName>
    <definedName name="_xlnm._FilterDatabase" localSheetId="6" hidden="1">TR!$A$1:$K$820</definedName>
    <definedName name="picture" localSheetId="7">#REF!</definedName>
    <definedName name="picture">#REF!</definedName>
    <definedName name="picture1" localSheetId="7">#REF!</definedName>
    <definedName name="picture1">#REF!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820" i="28" l="1"/>
  <c r="L820" i="28"/>
  <c r="J820" i="28"/>
  <c r="F820" i="28"/>
  <c r="E820" i="28"/>
  <c r="B820" i="28"/>
  <c r="A820" i="28"/>
  <c r="E565" i="28"/>
  <c r="A819" i="28"/>
  <c r="B819" i="28"/>
  <c r="C819" i="28"/>
  <c r="E819" i="28"/>
  <c r="F819" i="28"/>
  <c r="G819" i="28"/>
  <c r="H819" i="28"/>
  <c r="I819" i="28"/>
  <c r="K819" i="28"/>
  <c r="L819" i="28"/>
  <c r="M819" i="28"/>
  <c r="A619" i="28"/>
  <c r="B619" i="28"/>
  <c r="C619" i="28"/>
  <c r="E619" i="28"/>
  <c r="F619" i="28"/>
  <c r="G619" i="28"/>
  <c r="H619" i="28"/>
  <c r="I619" i="28"/>
  <c r="K619" i="28"/>
  <c r="L619" i="28"/>
  <c r="M619" i="28"/>
  <c r="N619" i="28" s="1"/>
  <c r="A620" i="28"/>
  <c r="B620" i="28"/>
  <c r="C620" i="28"/>
  <c r="E620" i="28"/>
  <c r="F620" i="28"/>
  <c r="G620" i="28"/>
  <c r="H620" i="28"/>
  <c r="I620" i="28"/>
  <c r="K620" i="28"/>
  <c r="L620" i="28"/>
  <c r="M620" i="28"/>
  <c r="N620" i="28" s="1"/>
  <c r="A621" i="28"/>
  <c r="B621" i="28"/>
  <c r="C621" i="28"/>
  <c r="E621" i="28"/>
  <c r="F621" i="28"/>
  <c r="G621" i="28"/>
  <c r="H621" i="28"/>
  <c r="I621" i="28"/>
  <c r="K621" i="28"/>
  <c r="L621" i="28"/>
  <c r="M621" i="28"/>
  <c r="N621" i="28" s="1"/>
  <c r="A622" i="28"/>
  <c r="B622" i="28"/>
  <c r="C622" i="28"/>
  <c r="E622" i="28"/>
  <c r="F622" i="28"/>
  <c r="G622" i="28"/>
  <c r="H622" i="28"/>
  <c r="I622" i="28"/>
  <c r="K622" i="28"/>
  <c r="L622" i="28"/>
  <c r="M622" i="28"/>
  <c r="N622" i="28" s="1"/>
  <c r="A623" i="28"/>
  <c r="B623" i="28"/>
  <c r="C623" i="28"/>
  <c r="E623" i="28"/>
  <c r="F623" i="28"/>
  <c r="G623" i="28"/>
  <c r="H623" i="28"/>
  <c r="I623" i="28"/>
  <c r="K623" i="28"/>
  <c r="L623" i="28"/>
  <c r="M623" i="28"/>
  <c r="N623" i="28" s="1"/>
  <c r="A624" i="28"/>
  <c r="B624" i="28"/>
  <c r="C624" i="28"/>
  <c r="E624" i="28"/>
  <c r="F624" i="28"/>
  <c r="G624" i="28"/>
  <c r="H624" i="28"/>
  <c r="I624" i="28"/>
  <c r="K624" i="28"/>
  <c r="L624" i="28"/>
  <c r="M624" i="28"/>
  <c r="N624" i="28" s="1"/>
  <c r="A625" i="28"/>
  <c r="B625" i="28"/>
  <c r="C625" i="28"/>
  <c r="E625" i="28"/>
  <c r="F625" i="28"/>
  <c r="G625" i="28"/>
  <c r="H625" i="28"/>
  <c r="I625" i="28"/>
  <c r="K625" i="28"/>
  <c r="L625" i="28"/>
  <c r="M625" i="28"/>
  <c r="N625" i="28" s="1"/>
  <c r="A626" i="28"/>
  <c r="B626" i="28"/>
  <c r="C626" i="28"/>
  <c r="E626" i="28"/>
  <c r="F626" i="28"/>
  <c r="G626" i="28"/>
  <c r="H626" i="28"/>
  <c r="I626" i="28"/>
  <c r="K626" i="28"/>
  <c r="L626" i="28"/>
  <c r="M626" i="28"/>
  <c r="N626" i="28" s="1"/>
  <c r="A627" i="28"/>
  <c r="B627" i="28"/>
  <c r="C627" i="28"/>
  <c r="E627" i="28"/>
  <c r="F627" i="28"/>
  <c r="G627" i="28"/>
  <c r="H627" i="28"/>
  <c r="I627" i="28"/>
  <c r="K627" i="28"/>
  <c r="L627" i="28"/>
  <c r="M627" i="28"/>
  <c r="N627" i="28" s="1"/>
  <c r="A628" i="28"/>
  <c r="B628" i="28"/>
  <c r="C628" i="28"/>
  <c r="E628" i="28"/>
  <c r="F628" i="28"/>
  <c r="G628" i="28"/>
  <c r="H628" i="28"/>
  <c r="I628" i="28"/>
  <c r="K628" i="28"/>
  <c r="L628" i="28"/>
  <c r="M628" i="28"/>
  <c r="N628" i="28" s="1"/>
  <c r="A629" i="28"/>
  <c r="B629" i="28"/>
  <c r="C629" i="28"/>
  <c r="E629" i="28"/>
  <c r="F629" i="28"/>
  <c r="G629" i="28"/>
  <c r="H629" i="28"/>
  <c r="I629" i="28"/>
  <c r="K629" i="28"/>
  <c r="L629" i="28"/>
  <c r="M629" i="28"/>
  <c r="N629" i="28" s="1"/>
  <c r="A630" i="28"/>
  <c r="B630" i="28"/>
  <c r="C630" i="28"/>
  <c r="E630" i="28"/>
  <c r="F630" i="28"/>
  <c r="G630" i="28"/>
  <c r="H630" i="28"/>
  <c r="I630" i="28"/>
  <c r="K630" i="28"/>
  <c r="L630" i="28"/>
  <c r="M630" i="28"/>
  <c r="N630" i="28" s="1"/>
  <c r="A631" i="28"/>
  <c r="B631" i="28"/>
  <c r="C631" i="28"/>
  <c r="E631" i="28"/>
  <c r="F631" i="28"/>
  <c r="G631" i="28"/>
  <c r="H631" i="28"/>
  <c r="I631" i="28"/>
  <c r="K631" i="28"/>
  <c r="L631" i="28"/>
  <c r="M631" i="28"/>
  <c r="N631" i="28" s="1"/>
  <c r="A632" i="28"/>
  <c r="B632" i="28"/>
  <c r="C632" i="28"/>
  <c r="E632" i="28"/>
  <c r="F632" i="28"/>
  <c r="G632" i="28"/>
  <c r="H632" i="28"/>
  <c r="I632" i="28"/>
  <c r="K632" i="28"/>
  <c r="L632" i="28"/>
  <c r="M632" i="28"/>
  <c r="N632" i="28" s="1"/>
  <c r="A633" i="28"/>
  <c r="B633" i="28"/>
  <c r="C633" i="28"/>
  <c r="E633" i="28"/>
  <c r="F633" i="28"/>
  <c r="G633" i="28"/>
  <c r="H633" i="28"/>
  <c r="I633" i="28"/>
  <c r="K633" i="28"/>
  <c r="L633" i="28"/>
  <c r="M633" i="28"/>
  <c r="N633" i="28" s="1"/>
  <c r="A634" i="28"/>
  <c r="B634" i="28"/>
  <c r="C634" i="28"/>
  <c r="E634" i="28"/>
  <c r="F634" i="28"/>
  <c r="G634" i="28"/>
  <c r="H634" i="28"/>
  <c r="I634" i="28"/>
  <c r="K634" i="28"/>
  <c r="L634" i="28"/>
  <c r="M634" i="28"/>
  <c r="N634" i="28" s="1"/>
  <c r="A635" i="28"/>
  <c r="B635" i="28"/>
  <c r="C635" i="28"/>
  <c r="E635" i="28"/>
  <c r="F635" i="28"/>
  <c r="G635" i="28"/>
  <c r="H635" i="28"/>
  <c r="I635" i="28"/>
  <c r="K635" i="28"/>
  <c r="L635" i="28"/>
  <c r="M635" i="28"/>
  <c r="N635" i="28" s="1"/>
  <c r="A636" i="28"/>
  <c r="B636" i="28"/>
  <c r="C636" i="28"/>
  <c r="E636" i="28"/>
  <c r="F636" i="28"/>
  <c r="G636" i="28"/>
  <c r="H636" i="28"/>
  <c r="I636" i="28"/>
  <c r="K636" i="28"/>
  <c r="L636" i="28"/>
  <c r="M636" i="28"/>
  <c r="N636" i="28" s="1"/>
  <c r="A637" i="28"/>
  <c r="B637" i="28"/>
  <c r="C637" i="28"/>
  <c r="E637" i="28"/>
  <c r="F637" i="28"/>
  <c r="G637" i="28"/>
  <c r="H637" i="28"/>
  <c r="I637" i="28"/>
  <c r="K637" i="28"/>
  <c r="L637" i="28"/>
  <c r="M637" i="28"/>
  <c r="N637" i="28" s="1"/>
  <c r="A638" i="28"/>
  <c r="B638" i="28"/>
  <c r="C638" i="28"/>
  <c r="E638" i="28"/>
  <c r="F638" i="28"/>
  <c r="G638" i="28"/>
  <c r="H638" i="28"/>
  <c r="I638" i="28"/>
  <c r="K638" i="28"/>
  <c r="L638" i="28"/>
  <c r="M638" i="28"/>
  <c r="N638" i="28" s="1"/>
  <c r="A639" i="28"/>
  <c r="B639" i="28"/>
  <c r="C639" i="28"/>
  <c r="E639" i="28"/>
  <c r="F639" i="28"/>
  <c r="G639" i="28"/>
  <c r="H639" i="28"/>
  <c r="I639" i="28"/>
  <c r="K639" i="28"/>
  <c r="L639" i="28"/>
  <c r="M639" i="28"/>
  <c r="N639" i="28" s="1"/>
  <c r="A640" i="28"/>
  <c r="B640" i="28"/>
  <c r="C640" i="28"/>
  <c r="E640" i="28"/>
  <c r="F640" i="28"/>
  <c r="G640" i="28"/>
  <c r="H640" i="28"/>
  <c r="I640" i="28"/>
  <c r="K640" i="28"/>
  <c r="L640" i="28"/>
  <c r="M640" i="28"/>
  <c r="N640" i="28" s="1"/>
  <c r="A641" i="28"/>
  <c r="B641" i="28"/>
  <c r="C641" i="28"/>
  <c r="E641" i="28"/>
  <c r="F641" i="28"/>
  <c r="G641" i="28"/>
  <c r="H641" i="28"/>
  <c r="I641" i="28"/>
  <c r="K641" i="28"/>
  <c r="L641" i="28"/>
  <c r="M641" i="28"/>
  <c r="N641" i="28" s="1"/>
  <c r="A642" i="28"/>
  <c r="B642" i="28"/>
  <c r="C642" i="28"/>
  <c r="E642" i="28"/>
  <c r="F642" i="28"/>
  <c r="G642" i="28"/>
  <c r="H642" i="28"/>
  <c r="I642" i="28"/>
  <c r="K642" i="28"/>
  <c r="L642" i="28"/>
  <c r="M642" i="28"/>
  <c r="N642" i="28" s="1"/>
  <c r="A643" i="28"/>
  <c r="B643" i="28"/>
  <c r="C643" i="28"/>
  <c r="E643" i="28"/>
  <c r="F643" i="28"/>
  <c r="G643" i="28"/>
  <c r="H643" i="28"/>
  <c r="I643" i="28"/>
  <c r="K643" i="28"/>
  <c r="L643" i="28"/>
  <c r="M643" i="28"/>
  <c r="N643" i="28" s="1"/>
  <c r="A644" i="28"/>
  <c r="B644" i="28"/>
  <c r="C644" i="28"/>
  <c r="E644" i="28"/>
  <c r="F644" i="28"/>
  <c r="G644" i="28"/>
  <c r="H644" i="28"/>
  <c r="I644" i="28"/>
  <c r="K644" i="28"/>
  <c r="L644" i="28"/>
  <c r="M644" i="28"/>
  <c r="N644" i="28" s="1"/>
  <c r="A645" i="28"/>
  <c r="B645" i="28"/>
  <c r="C645" i="28"/>
  <c r="E645" i="28"/>
  <c r="F645" i="28"/>
  <c r="G645" i="28"/>
  <c r="H645" i="28"/>
  <c r="I645" i="28"/>
  <c r="K645" i="28"/>
  <c r="L645" i="28"/>
  <c r="M645" i="28"/>
  <c r="N645" i="28" s="1"/>
  <c r="A646" i="28"/>
  <c r="B646" i="28"/>
  <c r="C646" i="28"/>
  <c r="E646" i="28"/>
  <c r="F646" i="28"/>
  <c r="G646" i="28"/>
  <c r="H646" i="28"/>
  <c r="I646" i="28"/>
  <c r="K646" i="28"/>
  <c r="L646" i="28"/>
  <c r="M646" i="28"/>
  <c r="N646" i="28" s="1"/>
  <c r="A647" i="28"/>
  <c r="B647" i="28"/>
  <c r="C647" i="28"/>
  <c r="E647" i="28"/>
  <c r="F647" i="28"/>
  <c r="G647" i="28"/>
  <c r="H647" i="28"/>
  <c r="I647" i="28"/>
  <c r="K647" i="28"/>
  <c r="L647" i="28"/>
  <c r="M647" i="28"/>
  <c r="N647" i="28" s="1"/>
  <c r="A648" i="28"/>
  <c r="B648" i="28"/>
  <c r="C648" i="28"/>
  <c r="E648" i="28"/>
  <c r="F648" i="28"/>
  <c r="G648" i="28"/>
  <c r="H648" i="28"/>
  <c r="I648" i="28"/>
  <c r="K648" i="28"/>
  <c r="L648" i="28"/>
  <c r="M648" i="28"/>
  <c r="N648" i="28" s="1"/>
  <c r="A649" i="28"/>
  <c r="B649" i="28"/>
  <c r="C649" i="28"/>
  <c r="E649" i="28"/>
  <c r="F649" i="28"/>
  <c r="G649" i="28"/>
  <c r="H649" i="28"/>
  <c r="I649" i="28"/>
  <c r="K649" i="28"/>
  <c r="L649" i="28"/>
  <c r="M649" i="28"/>
  <c r="N649" i="28" s="1"/>
  <c r="A650" i="28"/>
  <c r="B650" i="28"/>
  <c r="C650" i="28"/>
  <c r="E650" i="28"/>
  <c r="F650" i="28"/>
  <c r="G650" i="28"/>
  <c r="H650" i="28"/>
  <c r="I650" i="28"/>
  <c r="K650" i="28"/>
  <c r="L650" i="28"/>
  <c r="M650" i="28"/>
  <c r="N650" i="28" s="1"/>
  <c r="A651" i="28"/>
  <c r="B651" i="28"/>
  <c r="C651" i="28"/>
  <c r="E651" i="28"/>
  <c r="F651" i="28"/>
  <c r="G651" i="28"/>
  <c r="H651" i="28"/>
  <c r="I651" i="28"/>
  <c r="K651" i="28"/>
  <c r="L651" i="28"/>
  <c r="M651" i="28"/>
  <c r="N651" i="28" s="1"/>
  <c r="A652" i="28"/>
  <c r="B652" i="28"/>
  <c r="C652" i="28"/>
  <c r="E652" i="28"/>
  <c r="F652" i="28"/>
  <c r="G652" i="28"/>
  <c r="H652" i="28"/>
  <c r="I652" i="28"/>
  <c r="K652" i="28"/>
  <c r="L652" i="28"/>
  <c r="M652" i="28"/>
  <c r="N652" i="28" s="1"/>
  <c r="A653" i="28"/>
  <c r="B653" i="28"/>
  <c r="C653" i="28"/>
  <c r="E653" i="28"/>
  <c r="F653" i="28"/>
  <c r="G653" i="28"/>
  <c r="H653" i="28"/>
  <c r="I653" i="28"/>
  <c r="K653" i="28"/>
  <c r="L653" i="28"/>
  <c r="M653" i="28"/>
  <c r="N653" i="28" s="1"/>
  <c r="A654" i="28"/>
  <c r="B654" i="28"/>
  <c r="C654" i="28"/>
  <c r="E654" i="28"/>
  <c r="F654" i="28"/>
  <c r="G654" i="28"/>
  <c r="H654" i="28"/>
  <c r="I654" i="28"/>
  <c r="K654" i="28"/>
  <c r="L654" i="28"/>
  <c r="M654" i="28"/>
  <c r="N654" i="28" s="1"/>
  <c r="A655" i="28"/>
  <c r="B655" i="28"/>
  <c r="C655" i="28"/>
  <c r="E655" i="28"/>
  <c r="F655" i="28"/>
  <c r="G655" i="28"/>
  <c r="H655" i="28"/>
  <c r="I655" i="28"/>
  <c r="K655" i="28"/>
  <c r="L655" i="28"/>
  <c r="M655" i="28"/>
  <c r="N655" i="28" s="1"/>
  <c r="A656" i="28"/>
  <c r="B656" i="28"/>
  <c r="C656" i="28"/>
  <c r="E656" i="28"/>
  <c r="F656" i="28"/>
  <c r="G656" i="28"/>
  <c r="H656" i="28"/>
  <c r="I656" i="28"/>
  <c r="K656" i="28"/>
  <c r="L656" i="28"/>
  <c r="M656" i="28"/>
  <c r="N656" i="28" s="1"/>
  <c r="A657" i="28"/>
  <c r="B657" i="28"/>
  <c r="C657" i="28"/>
  <c r="E657" i="28"/>
  <c r="F657" i="28"/>
  <c r="G657" i="28"/>
  <c r="H657" i="28"/>
  <c r="I657" i="28"/>
  <c r="K657" i="28"/>
  <c r="L657" i="28"/>
  <c r="M657" i="28"/>
  <c r="N657" i="28" s="1"/>
  <c r="A658" i="28"/>
  <c r="B658" i="28"/>
  <c r="C658" i="28"/>
  <c r="E658" i="28"/>
  <c r="F658" i="28"/>
  <c r="G658" i="28"/>
  <c r="H658" i="28"/>
  <c r="I658" i="28"/>
  <c r="K658" i="28"/>
  <c r="L658" i="28"/>
  <c r="M658" i="28"/>
  <c r="N658" i="28" s="1"/>
  <c r="A659" i="28"/>
  <c r="B659" i="28"/>
  <c r="C659" i="28"/>
  <c r="E659" i="28"/>
  <c r="F659" i="28"/>
  <c r="G659" i="28"/>
  <c r="H659" i="28"/>
  <c r="I659" i="28"/>
  <c r="K659" i="28"/>
  <c r="L659" i="28"/>
  <c r="M659" i="28"/>
  <c r="N659" i="28" s="1"/>
  <c r="A660" i="28"/>
  <c r="B660" i="28"/>
  <c r="C660" i="28"/>
  <c r="E660" i="28"/>
  <c r="F660" i="28"/>
  <c r="G660" i="28"/>
  <c r="H660" i="28"/>
  <c r="I660" i="28"/>
  <c r="K660" i="28"/>
  <c r="L660" i="28"/>
  <c r="M660" i="28"/>
  <c r="N660" i="28" s="1"/>
  <c r="A661" i="28"/>
  <c r="B661" i="28"/>
  <c r="C661" i="28"/>
  <c r="E661" i="28"/>
  <c r="F661" i="28"/>
  <c r="G661" i="28"/>
  <c r="H661" i="28"/>
  <c r="I661" i="28"/>
  <c r="K661" i="28"/>
  <c r="L661" i="28"/>
  <c r="M661" i="28"/>
  <c r="N661" i="28" s="1"/>
  <c r="A662" i="28"/>
  <c r="B662" i="28"/>
  <c r="C662" i="28"/>
  <c r="E662" i="28"/>
  <c r="F662" i="28"/>
  <c r="G662" i="28"/>
  <c r="H662" i="28"/>
  <c r="I662" i="28"/>
  <c r="K662" i="28"/>
  <c r="L662" i="28"/>
  <c r="M662" i="28"/>
  <c r="N662" i="28" s="1"/>
  <c r="A663" i="28"/>
  <c r="B663" i="28"/>
  <c r="C663" i="28"/>
  <c r="E663" i="28"/>
  <c r="F663" i="28"/>
  <c r="G663" i="28"/>
  <c r="H663" i="28"/>
  <c r="I663" i="28"/>
  <c r="K663" i="28"/>
  <c r="L663" i="28"/>
  <c r="M663" i="28"/>
  <c r="N663" i="28" s="1"/>
  <c r="A664" i="28"/>
  <c r="B664" i="28"/>
  <c r="C664" i="28"/>
  <c r="E664" i="28"/>
  <c r="F664" i="28"/>
  <c r="G664" i="28"/>
  <c r="H664" i="28"/>
  <c r="I664" i="28"/>
  <c r="K664" i="28"/>
  <c r="L664" i="28"/>
  <c r="M664" i="28"/>
  <c r="N664" i="28" s="1"/>
  <c r="A665" i="28"/>
  <c r="B665" i="28"/>
  <c r="C665" i="28"/>
  <c r="E665" i="28"/>
  <c r="F665" i="28"/>
  <c r="G665" i="28"/>
  <c r="H665" i="28"/>
  <c r="I665" i="28"/>
  <c r="K665" i="28"/>
  <c r="L665" i="28"/>
  <c r="M665" i="28"/>
  <c r="N665" i="28" s="1"/>
  <c r="A666" i="28"/>
  <c r="B666" i="28"/>
  <c r="C666" i="28"/>
  <c r="E666" i="28"/>
  <c r="F666" i="28"/>
  <c r="G666" i="28"/>
  <c r="H666" i="28"/>
  <c r="I666" i="28"/>
  <c r="K666" i="28"/>
  <c r="L666" i="28"/>
  <c r="M666" i="28"/>
  <c r="N666" i="28" s="1"/>
  <c r="A667" i="28"/>
  <c r="B667" i="28"/>
  <c r="C667" i="28"/>
  <c r="E667" i="28"/>
  <c r="F667" i="28"/>
  <c r="G667" i="28"/>
  <c r="H667" i="28"/>
  <c r="I667" i="28"/>
  <c r="K667" i="28"/>
  <c r="L667" i="28"/>
  <c r="M667" i="28"/>
  <c r="N667" i="28" s="1"/>
  <c r="A668" i="28"/>
  <c r="B668" i="28"/>
  <c r="C668" i="28"/>
  <c r="E668" i="28"/>
  <c r="F668" i="28"/>
  <c r="G668" i="28"/>
  <c r="H668" i="28"/>
  <c r="I668" i="28"/>
  <c r="K668" i="28"/>
  <c r="L668" i="28"/>
  <c r="M668" i="28"/>
  <c r="N668" i="28" s="1"/>
  <c r="A669" i="28"/>
  <c r="B669" i="28"/>
  <c r="C669" i="28"/>
  <c r="E669" i="28"/>
  <c r="F669" i="28"/>
  <c r="G669" i="28"/>
  <c r="H669" i="28"/>
  <c r="I669" i="28"/>
  <c r="K669" i="28"/>
  <c r="L669" i="28"/>
  <c r="M669" i="28"/>
  <c r="N669" i="28" s="1"/>
  <c r="A670" i="28"/>
  <c r="B670" i="28"/>
  <c r="C670" i="28"/>
  <c r="E670" i="28"/>
  <c r="F670" i="28"/>
  <c r="G670" i="28"/>
  <c r="H670" i="28"/>
  <c r="I670" i="28"/>
  <c r="K670" i="28"/>
  <c r="L670" i="28"/>
  <c r="M670" i="28"/>
  <c r="N670" i="28" s="1"/>
  <c r="A671" i="28"/>
  <c r="B671" i="28"/>
  <c r="C671" i="28"/>
  <c r="E671" i="28"/>
  <c r="F671" i="28"/>
  <c r="G671" i="28"/>
  <c r="H671" i="28"/>
  <c r="I671" i="28"/>
  <c r="K671" i="28"/>
  <c r="L671" i="28"/>
  <c r="M671" i="28"/>
  <c r="N671" i="28" s="1"/>
  <c r="A672" i="28"/>
  <c r="B672" i="28"/>
  <c r="C672" i="28"/>
  <c r="E672" i="28"/>
  <c r="F672" i="28"/>
  <c r="G672" i="28"/>
  <c r="H672" i="28"/>
  <c r="I672" i="28"/>
  <c r="K672" i="28"/>
  <c r="L672" i="28"/>
  <c r="M672" i="28"/>
  <c r="N672" i="28" s="1"/>
  <c r="A673" i="28"/>
  <c r="B673" i="28"/>
  <c r="C673" i="28"/>
  <c r="E673" i="28"/>
  <c r="F673" i="28"/>
  <c r="G673" i="28"/>
  <c r="H673" i="28"/>
  <c r="I673" i="28"/>
  <c r="K673" i="28"/>
  <c r="L673" i="28"/>
  <c r="M673" i="28"/>
  <c r="N673" i="28" s="1"/>
  <c r="A674" i="28"/>
  <c r="B674" i="28"/>
  <c r="C674" i="28"/>
  <c r="E674" i="28"/>
  <c r="F674" i="28"/>
  <c r="G674" i="28"/>
  <c r="H674" i="28"/>
  <c r="I674" i="28"/>
  <c r="K674" i="28"/>
  <c r="L674" i="28"/>
  <c r="M674" i="28"/>
  <c r="N674" i="28" s="1"/>
  <c r="A675" i="28"/>
  <c r="B675" i="28"/>
  <c r="C675" i="28"/>
  <c r="E675" i="28"/>
  <c r="F675" i="28"/>
  <c r="G675" i="28"/>
  <c r="H675" i="28"/>
  <c r="I675" i="28"/>
  <c r="K675" i="28"/>
  <c r="L675" i="28"/>
  <c r="M675" i="28"/>
  <c r="N675" i="28" s="1"/>
  <c r="A676" i="28"/>
  <c r="B676" i="28"/>
  <c r="C676" i="28"/>
  <c r="E676" i="28"/>
  <c r="F676" i="28"/>
  <c r="G676" i="28"/>
  <c r="H676" i="28"/>
  <c r="I676" i="28"/>
  <c r="K676" i="28"/>
  <c r="L676" i="28"/>
  <c r="M676" i="28"/>
  <c r="N676" i="28" s="1"/>
  <c r="A677" i="28"/>
  <c r="B677" i="28"/>
  <c r="C677" i="28"/>
  <c r="E677" i="28"/>
  <c r="F677" i="28"/>
  <c r="G677" i="28"/>
  <c r="H677" i="28"/>
  <c r="I677" i="28"/>
  <c r="K677" i="28"/>
  <c r="L677" i="28"/>
  <c r="M677" i="28"/>
  <c r="N677" i="28" s="1"/>
  <c r="A678" i="28"/>
  <c r="B678" i="28"/>
  <c r="C678" i="28"/>
  <c r="E678" i="28"/>
  <c r="F678" i="28"/>
  <c r="G678" i="28"/>
  <c r="H678" i="28"/>
  <c r="I678" i="28"/>
  <c r="K678" i="28"/>
  <c r="L678" i="28"/>
  <c r="M678" i="28"/>
  <c r="N678" i="28" s="1"/>
  <c r="A679" i="28"/>
  <c r="B679" i="28"/>
  <c r="C679" i="28"/>
  <c r="E679" i="28"/>
  <c r="F679" i="28"/>
  <c r="G679" i="28"/>
  <c r="H679" i="28"/>
  <c r="I679" i="28"/>
  <c r="K679" i="28"/>
  <c r="L679" i="28"/>
  <c r="M679" i="28"/>
  <c r="N679" i="28" s="1"/>
  <c r="A680" i="28"/>
  <c r="B680" i="28"/>
  <c r="C680" i="28"/>
  <c r="E680" i="28"/>
  <c r="F680" i="28"/>
  <c r="G680" i="28"/>
  <c r="H680" i="28"/>
  <c r="I680" i="28"/>
  <c r="K680" i="28"/>
  <c r="L680" i="28"/>
  <c r="M680" i="28"/>
  <c r="N680" i="28" s="1"/>
  <c r="A681" i="28"/>
  <c r="B681" i="28"/>
  <c r="C681" i="28"/>
  <c r="E681" i="28"/>
  <c r="F681" i="28"/>
  <c r="G681" i="28"/>
  <c r="H681" i="28"/>
  <c r="I681" i="28"/>
  <c r="K681" i="28"/>
  <c r="L681" i="28"/>
  <c r="M681" i="28"/>
  <c r="N681" i="28" s="1"/>
  <c r="A682" i="28"/>
  <c r="B682" i="28"/>
  <c r="C682" i="28"/>
  <c r="E682" i="28"/>
  <c r="F682" i="28"/>
  <c r="G682" i="28"/>
  <c r="H682" i="28"/>
  <c r="I682" i="28"/>
  <c r="K682" i="28"/>
  <c r="L682" i="28"/>
  <c r="M682" i="28"/>
  <c r="N682" i="28" s="1"/>
  <c r="A683" i="28"/>
  <c r="B683" i="28"/>
  <c r="C683" i="28"/>
  <c r="E683" i="28"/>
  <c r="F683" i="28"/>
  <c r="G683" i="28"/>
  <c r="H683" i="28"/>
  <c r="I683" i="28"/>
  <c r="K683" i="28"/>
  <c r="L683" i="28"/>
  <c r="M683" i="28"/>
  <c r="N683" i="28" s="1"/>
  <c r="A684" i="28"/>
  <c r="B684" i="28"/>
  <c r="C684" i="28"/>
  <c r="E684" i="28"/>
  <c r="F684" i="28"/>
  <c r="G684" i="28"/>
  <c r="H684" i="28"/>
  <c r="I684" i="28"/>
  <c r="K684" i="28"/>
  <c r="L684" i="28"/>
  <c r="M684" i="28"/>
  <c r="N684" i="28" s="1"/>
  <c r="A685" i="28"/>
  <c r="B685" i="28"/>
  <c r="C685" i="28"/>
  <c r="E685" i="28"/>
  <c r="F685" i="28"/>
  <c r="G685" i="28"/>
  <c r="H685" i="28"/>
  <c r="I685" i="28"/>
  <c r="K685" i="28"/>
  <c r="L685" i="28"/>
  <c r="M685" i="28"/>
  <c r="N685" i="28" s="1"/>
  <c r="A686" i="28"/>
  <c r="B686" i="28"/>
  <c r="C686" i="28"/>
  <c r="E686" i="28"/>
  <c r="F686" i="28"/>
  <c r="G686" i="28"/>
  <c r="H686" i="28"/>
  <c r="I686" i="28"/>
  <c r="K686" i="28"/>
  <c r="L686" i="28"/>
  <c r="M686" i="28"/>
  <c r="N686" i="28" s="1"/>
  <c r="A687" i="28"/>
  <c r="B687" i="28"/>
  <c r="C687" i="28"/>
  <c r="E687" i="28"/>
  <c r="F687" i="28"/>
  <c r="G687" i="28"/>
  <c r="H687" i="28"/>
  <c r="I687" i="28"/>
  <c r="K687" i="28"/>
  <c r="L687" i="28"/>
  <c r="M687" i="28"/>
  <c r="N687" i="28" s="1"/>
  <c r="A688" i="28"/>
  <c r="B688" i="28"/>
  <c r="C688" i="28"/>
  <c r="E688" i="28"/>
  <c r="F688" i="28"/>
  <c r="G688" i="28"/>
  <c r="H688" i="28"/>
  <c r="I688" i="28"/>
  <c r="K688" i="28"/>
  <c r="L688" i="28"/>
  <c r="M688" i="28"/>
  <c r="N688" i="28" s="1"/>
  <c r="A689" i="28"/>
  <c r="B689" i="28"/>
  <c r="C689" i="28"/>
  <c r="E689" i="28"/>
  <c r="F689" i="28"/>
  <c r="G689" i="28"/>
  <c r="H689" i="28"/>
  <c r="I689" i="28"/>
  <c r="K689" i="28"/>
  <c r="L689" i="28"/>
  <c r="M689" i="28"/>
  <c r="N689" i="28" s="1"/>
  <c r="A690" i="28"/>
  <c r="B690" i="28"/>
  <c r="C690" i="28"/>
  <c r="E690" i="28"/>
  <c r="F690" i="28"/>
  <c r="G690" i="28"/>
  <c r="H690" i="28"/>
  <c r="I690" i="28"/>
  <c r="K690" i="28"/>
  <c r="L690" i="28"/>
  <c r="M690" i="28"/>
  <c r="N690" i="28" s="1"/>
  <c r="A691" i="28"/>
  <c r="B691" i="28"/>
  <c r="C691" i="28"/>
  <c r="E691" i="28"/>
  <c r="F691" i="28"/>
  <c r="G691" i="28"/>
  <c r="H691" i="28"/>
  <c r="I691" i="28"/>
  <c r="K691" i="28"/>
  <c r="L691" i="28"/>
  <c r="M691" i="28"/>
  <c r="N691" i="28" s="1"/>
  <c r="A692" i="28"/>
  <c r="B692" i="28"/>
  <c r="C692" i="28"/>
  <c r="E692" i="28"/>
  <c r="F692" i="28"/>
  <c r="G692" i="28"/>
  <c r="H692" i="28"/>
  <c r="I692" i="28"/>
  <c r="K692" i="28"/>
  <c r="L692" i="28"/>
  <c r="M692" i="28"/>
  <c r="N692" i="28" s="1"/>
  <c r="A693" i="28"/>
  <c r="B693" i="28"/>
  <c r="C693" i="28"/>
  <c r="E693" i="28"/>
  <c r="F693" i="28"/>
  <c r="G693" i="28"/>
  <c r="H693" i="28"/>
  <c r="I693" i="28"/>
  <c r="K693" i="28"/>
  <c r="L693" i="28"/>
  <c r="M693" i="28"/>
  <c r="N693" i="28" s="1"/>
  <c r="A694" i="28"/>
  <c r="B694" i="28"/>
  <c r="C694" i="28"/>
  <c r="E694" i="28"/>
  <c r="F694" i="28"/>
  <c r="G694" i="28"/>
  <c r="H694" i="28"/>
  <c r="I694" i="28"/>
  <c r="K694" i="28"/>
  <c r="L694" i="28"/>
  <c r="M694" i="28"/>
  <c r="N694" i="28" s="1"/>
  <c r="A695" i="28"/>
  <c r="B695" i="28"/>
  <c r="C695" i="28"/>
  <c r="E695" i="28"/>
  <c r="F695" i="28"/>
  <c r="G695" i="28"/>
  <c r="H695" i="28"/>
  <c r="I695" i="28"/>
  <c r="K695" i="28"/>
  <c r="L695" i="28"/>
  <c r="M695" i="28"/>
  <c r="N695" i="28" s="1"/>
  <c r="A696" i="28"/>
  <c r="B696" i="28"/>
  <c r="C696" i="28"/>
  <c r="E696" i="28"/>
  <c r="F696" i="28"/>
  <c r="G696" i="28"/>
  <c r="H696" i="28"/>
  <c r="I696" i="28"/>
  <c r="K696" i="28"/>
  <c r="L696" i="28"/>
  <c r="M696" i="28"/>
  <c r="N696" i="28" s="1"/>
  <c r="A697" i="28"/>
  <c r="B697" i="28"/>
  <c r="C697" i="28"/>
  <c r="E697" i="28"/>
  <c r="F697" i="28"/>
  <c r="G697" i="28"/>
  <c r="H697" i="28"/>
  <c r="I697" i="28"/>
  <c r="K697" i="28"/>
  <c r="L697" i="28"/>
  <c r="M697" i="28"/>
  <c r="N697" i="28" s="1"/>
  <c r="A698" i="28"/>
  <c r="B698" i="28"/>
  <c r="C698" i="28"/>
  <c r="E698" i="28"/>
  <c r="F698" i="28"/>
  <c r="G698" i="28"/>
  <c r="H698" i="28"/>
  <c r="I698" i="28"/>
  <c r="K698" i="28"/>
  <c r="L698" i="28"/>
  <c r="M698" i="28"/>
  <c r="N698" i="28" s="1"/>
  <c r="A699" i="28"/>
  <c r="B699" i="28"/>
  <c r="C699" i="28"/>
  <c r="E699" i="28"/>
  <c r="F699" i="28"/>
  <c r="G699" i="28"/>
  <c r="H699" i="28"/>
  <c r="I699" i="28"/>
  <c r="K699" i="28"/>
  <c r="L699" i="28"/>
  <c r="M699" i="28"/>
  <c r="N699" i="28" s="1"/>
  <c r="A700" i="28"/>
  <c r="B700" i="28"/>
  <c r="C700" i="28"/>
  <c r="E700" i="28"/>
  <c r="F700" i="28"/>
  <c r="G700" i="28"/>
  <c r="H700" i="28"/>
  <c r="I700" i="28"/>
  <c r="K700" i="28"/>
  <c r="L700" i="28"/>
  <c r="M700" i="28"/>
  <c r="N700" i="28" s="1"/>
  <c r="A701" i="28"/>
  <c r="B701" i="28"/>
  <c r="C701" i="28"/>
  <c r="E701" i="28"/>
  <c r="F701" i="28"/>
  <c r="G701" i="28"/>
  <c r="H701" i="28"/>
  <c r="I701" i="28"/>
  <c r="K701" i="28"/>
  <c r="L701" i="28"/>
  <c r="M701" i="28"/>
  <c r="N701" i="28" s="1"/>
  <c r="A702" i="28"/>
  <c r="B702" i="28"/>
  <c r="C702" i="28"/>
  <c r="E702" i="28"/>
  <c r="F702" i="28"/>
  <c r="G702" i="28"/>
  <c r="H702" i="28"/>
  <c r="I702" i="28"/>
  <c r="K702" i="28"/>
  <c r="L702" i="28"/>
  <c r="M702" i="28"/>
  <c r="N702" i="28" s="1"/>
  <c r="A703" i="28"/>
  <c r="B703" i="28"/>
  <c r="C703" i="28"/>
  <c r="E703" i="28"/>
  <c r="F703" i="28"/>
  <c r="G703" i="28"/>
  <c r="H703" i="28"/>
  <c r="I703" i="28"/>
  <c r="K703" i="28"/>
  <c r="L703" i="28"/>
  <c r="M703" i="28"/>
  <c r="N703" i="28" s="1"/>
  <c r="A704" i="28"/>
  <c r="B704" i="28"/>
  <c r="C704" i="28"/>
  <c r="E704" i="28"/>
  <c r="F704" i="28"/>
  <c r="G704" i="28"/>
  <c r="H704" i="28"/>
  <c r="I704" i="28"/>
  <c r="K704" i="28"/>
  <c r="L704" i="28"/>
  <c r="M704" i="28"/>
  <c r="N704" i="28" s="1"/>
  <c r="A705" i="28"/>
  <c r="B705" i="28"/>
  <c r="C705" i="28"/>
  <c r="E705" i="28"/>
  <c r="F705" i="28"/>
  <c r="G705" i="28"/>
  <c r="H705" i="28"/>
  <c r="I705" i="28"/>
  <c r="K705" i="28"/>
  <c r="L705" i="28"/>
  <c r="M705" i="28"/>
  <c r="N705" i="28" s="1"/>
  <c r="A706" i="28"/>
  <c r="B706" i="28"/>
  <c r="C706" i="28"/>
  <c r="E706" i="28"/>
  <c r="F706" i="28"/>
  <c r="G706" i="28"/>
  <c r="H706" i="28"/>
  <c r="I706" i="28"/>
  <c r="K706" i="28"/>
  <c r="L706" i="28"/>
  <c r="M706" i="28"/>
  <c r="N706" i="28" s="1"/>
  <c r="A707" i="28"/>
  <c r="B707" i="28"/>
  <c r="C707" i="28"/>
  <c r="E707" i="28"/>
  <c r="F707" i="28"/>
  <c r="G707" i="28"/>
  <c r="H707" i="28"/>
  <c r="I707" i="28"/>
  <c r="K707" i="28"/>
  <c r="L707" i="28"/>
  <c r="M707" i="28"/>
  <c r="N707" i="28" s="1"/>
  <c r="A708" i="28"/>
  <c r="B708" i="28"/>
  <c r="C708" i="28"/>
  <c r="E708" i="28"/>
  <c r="F708" i="28"/>
  <c r="G708" i="28"/>
  <c r="H708" i="28"/>
  <c r="I708" i="28"/>
  <c r="K708" i="28"/>
  <c r="L708" i="28"/>
  <c r="M708" i="28"/>
  <c r="N708" i="28" s="1"/>
  <c r="A709" i="28"/>
  <c r="B709" i="28"/>
  <c r="C709" i="28"/>
  <c r="E709" i="28"/>
  <c r="F709" i="28"/>
  <c r="G709" i="28"/>
  <c r="H709" i="28"/>
  <c r="I709" i="28"/>
  <c r="K709" i="28"/>
  <c r="L709" i="28"/>
  <c r="M709" i="28"/>
  <c r="N709" i="28" s="1"/>
  <c r="A710" i="28"/>
  <c r="B710" i="28"/>
  <c r="C710" i="28"/>
  <c r="E710" i="28"/>
  <c r="F710" i="28"/>
  <c r="G710" i="28"/>
  <c r="H710" i="28"/>
  <c r="I710" i="28"/>
  <c r="K710" i="28"/>
  <c r="L710" i="28"/>
  <c r="M710" i="28"/>
  <c r="N710" i="28" s="1"/>
  <c r="A711" i="28"/>
  <c r="B711" i="28"/>
  <c r="C711" i="28"/>
  <c r="E711" i="28"/>
  <c r="F711" i="28"/>
  <c r="G711" i="28"/>
  <c r="H711" i="28"/>
  <c r="I711" i="28"/>
  <c r="K711" i="28"/>
  <c r="L711" i="28"/>
  <c r="M711" i="28"/>
  <c r="N711" i="28" s="1"/>
  <c r="A712" i="28"/>
  <c r="B712" i="28"/>
  <c r="C712" i="28"/>
  <c r="E712" i="28"/>
  <c r="F712" i="28"/>
  <c r="G712" i="28"/>
  <c r="H712" i="28"/>
  <c r="I712" i="28"/>
  <c r="K712" i="28"/>
  <c r="L712" i="28"/>
  <c r="M712" i="28"/>
  <c r="N712" i="28" s="1"/>
  <c r="A713" i="28"/>
  <c r="B713" i="28"/>
  <c r="C713" i="28"/>
  <c r="E713" i="28"/>
  <c r="F713" i="28"/>
  <c r="G713" i="28"/>
  <c r="H713" i="28"/>
  <c r="I713" i="28"/>
  <c r="K713" i="28"/>
  <c r="L713" i="28"/>
  <c r="M713" i="28"/>
  <c r="N713" i="28" s="1"/>
  <c r="A714" i="28"/>
  <c r="B714" i="28"/>
  <c r="C714" i="28"/>
  <c r="E714" i="28"/>
  <c r="F714" i="28"/>
  <c r="G714" i="28"/>
  <c r="H714" i="28"/>
  <c r="I714" i="28"/>
  <c r="K714" i="28"/>
  <c r="L714" i="28"/>
  <c r="M714" i="28"/>
  <c r="N714" i="28" s="1"/>
  <c r="A715" i="28"/>
  <c r="B715" i="28"/>
  <c r="C715" i="28"/>
  <c r="E715" i="28"/>
  <c r="F715" i="28"/>
  <c r="G715" i="28"/>
  <c r="H715" i="28"/>
  <c r="I715" i="28"/>
  <c r="K715" i="28"/>
  <c r="L715" i="28"/>
  <c r="M715" i="28"/>
  <c r="N715" i="28" s="1"/>
  <c r="A716" i="28"/>
  <c r="B716" i="28"/>
  <c r="C716" i="28"/>
  <c r="E716" i="28"/>
  <c r="F716" i="28"/>
  <c r="G716" i="28"/>
  <c r="H716" i="28"/>
  <c r="I716" i="28"/>
  <c r="K716" i="28"/>
  <c r="L716" i="28"/>
  <c r="M716" i="28"/>
  <c r="N716" i="28" s="1"/>
  <c r="A717" i="28"/>
  <c r="B717" i="28"/>
  <c r="C717" i="28"/>
  <c r="E717" i="28"/>
  <c r="F717" i="28"/>
  <c r="G717" i="28"/>
  <c r="H717" i="28"/>
  <c r="I717" i="28"/>
  <c r="K717" i="28"/>
  <c r="L717" i="28"/>
  <c r="M717" i="28"/>
  <c r="N717" i="28" s="1"/>
  <c r="A718" i="28"/>
  <c r="B718" i="28"/>
  <c r="C718" i="28"/>
  <c r="E718" i="28"/>
  <c r="F718" i="28"/>
  <c r="G718" i="28"/>
  <c r="H718" i="28"/>
  <c r="I718" i="28"/>
  <c r="K718" i="28"/>
  <c r="L718" i="28"/>
  <c r="M718" i="28"/>
  <c r="N718" i="28" s="1"/>
  <c r="A719" i="28"/>
  <c r="B719" i="28"/>
  <c r="C719" i="28"/>
  <c r="E719" i="28"/>
  <c r="F719" i="28"/>
  <c r="G719" i="28"/>
  <c r="H719" i="28"/>
  <c r="I719" i="28"/>
  <c r="K719" i="28"/>
  <c r="L719" i="28"/>
  <c r="M719" i="28"/>
  <c r="N719" i="28" s="1"/>
  <c r="A720" i="28"/>
  <c r="B720" i="28"/>
  <c r="C720" i="28"/>
  <c r="E720" i="28"/>
  <c r="F720" i="28"/>
  <c r="G720" i="28"/>
  <c r="H720" i="28"/>
  <c r="I720" i="28"/>
  <c r="K720" i="28"/>
  <c r="L720" i="28"/>
  <c r="M720" i="28"/>
  <c r="N720" i="28" s="1"/>
  <c r="A721" i="28"/>
  <c r="B721" i="28"/>
  <c r="C721" i="28"/>
  <c r="E721" i="28"/>
  <c r="F721" i="28"/>
  <c r="G721" i="28"/>
  <c r="H721" i="28"/>
  <c r="I721" i="28"/>
  <c r="K721" i="28"/>
  <c r="L721" i="28"/>
  <c r="M721" i="28"/>
  <c r="N721" i="28" s="1"/>
  <c r="A722" i="28"/>
  <c r="B722" i="28"/>
  <c r="C722" i="28"/>
  <c r="E722" i="28"/>
  <c r="F722" i="28"/>
  <c r="G722" i="28"/>
  <c r="H722" i="28"/>
  <c r="I722" i="28"/>
  <c r="K722" i="28"/>
  <c r="L722" i="28"/>
  <c r="M722" i="28"/>
  <c r="N722" i="28" s="1"/>
  <c r="A723" i="28"/>
  <c r="B723" i="28"/>
  <c r="C723" i="28"/>
  <c r="E723" i="28"/>
  <c r="F723" i="28"/>
  <c r="G723" i="28"/>
  <c r="H723" i="28"/>
  <c r="I723" i="28"/>
  <c r="K723" i="28"/>
  <c r="L723" i="28"/>
  <c r="M723" i="28"/>
  <c r="N723" i="28" s="1"/>
  <c r="A724" i="28"/>
  <c r="B724" i="28"/>
  <c r="C724" i="28"/>
  <c r="E724" i="28"/>
  <c r="F724" i="28"/>
  <c r="G724" i="28"/>
  <c r="H724" i="28"/>
  <c r="I724" i="28"/>
  <c r="K724" i="28"/>
  <c r="L724" i="28"/>
  <c r="M724" i="28"/>
  <c r="N724" i="28" s="1"/>
  <c r="A725" i="28"/>
  <c r="B725" i="28"/>
  <c r="C725" i="28"/>
  <c r="E725" i="28"/>
  <c r="F725" i="28"/>
  <c r="G725" i="28"/>
  <c r="H725" i="28"/>
  <c r="I725" i="28"/>
  <c r="K725" i="28"/>
  <c r="L725" i="28"/>
  <c r="M725" i="28"/>
  <c r="N725" i="28" s="1"/>
  <c r="A726" i="28"/>
  <c r="B726" i="28"/>
  <c r="C726" i="28"/>
  <c r="E726" i="28"/>
  <c r="F726" i="28"/>
  <c r="G726" i="28"/>
  <c r="H726" i="28"/>
  <c r="I726" i="28"/>
  <c r="K726" i="28"/>
  <c r="L726" i="28"/>
  <c r="M726" i="28"/>
  <c r="N726" i="28" s="1"/>
  <c r="A727" i="28"/>
  <c r="B727" i="28"/>
  <c r="C727" i="28"/>
  <c r="E727" i="28"/>
  <c r="F727" i="28"/>
  <c r="G727" i="28"/>
  <c r="H727" i="28"/>
  <c r="I727" i="28"/>
  <c r="K727" i="28"/>
  <c r="L727" i="28"/>
  <c r="M727" i="28"/>
  <c r="N727" i="28" s="1"/>
  <c r="A728" i="28"/>
  <c r="B728" i="28"/>
  <c r="C728" i="28"/>
  <c r="E728" i="28"/>
  <c r="F728" i="28"/>
  <c r="G728" i="28"/>
  <c r="H728" i="28"/>
  <c r="I728" i="28"/>
  <c r="K728" i="28"/>
  <c r="L728" i="28"/>
  <c r="M728" i="28"/>
  <c r="N728" i="28" s="1"/>
  <c r="A729" i="28"/>
  <c r="B729" i="28"/>
  <c r="C729" i="28"/>
  <c r="E729" i="28"/>
  <c r="F729" i="28"/>
  <c r="G729" i="28"/>
  <c r="H729" i="28"/>
  <c r="I729" i="28"/>
  <c r="K729" i="28"/>
  <c r="L729" i="28"/>
  <c r="M729" i="28"/>
  <c r="N729" i="28" s="1"/>
  <c r="A730" i="28"/>
  <c r="B730" i="28"/>
  <c r="C730" i="28"/>
  <c r="E730" i="28"/>
  <c r="F730" i="28"/>
  <c r="G730" i="28"/>
  <c r="H730" i="28"/>
  <c r="I730" i="28"/>
  <c r="K730" i="28"/>
  <c r="L730" i="28"/>
  <c r="M730" i="28"/>
  <c r="N730" i="28" s="1"/>
  <c r="A731" i="28"/>
  <c r="B731" i="28"/>
  <c r="C731" i="28"/>
  <c r="E731" i="28"/>
  <c r="F731" i="28"/>
  <c r="G731" i="28"/>
  <c r="H731" i="28"/>
  <c r="I731" i="28"/>
  <c r="K731" i="28"/>
  <c r="L731" i="28"/>
  <c r="M731" i="28"/>
  <c r="N731" i="28" s="1"/>
  <c r="A732" i="28"/>
  <c r="B732" i="28"/>
  <c r="C732" i="28"/>
  <c r="E732" i="28"/>
  <c r="F732" i="28"/>
  <c r="G732" i="28"/>
  <c r="H732" i="28"/>
  <c r="I732" i="28"/>
  <c r="K732" i="28"/>
  <c r="L732" i="28"/>
  <c r="M732" i="28"/>
  <c r="N732" i="28" s="1"/>
  <c r="A733" i="28"/>
  <c r="B733" i="28"/>
  <c r="C733" i="28"/>
  <c r="E733" i="28"/>
  <c r="F733" i="28"/>
  <c r="G733" i="28"/>
  <c r="H733" i="28"/>
  <c r="I733" i="28"/>
  <c r="K733" i="28"/>
  <c r="L733" i="28"/>
  <c r="M733" i="28"/>
  <c r="N733" i="28" s="1"/>
  <c r="A734" i="28"/>
  <c r="B734" i="28"/>
  <c r="C734" i="28"/>
  <c r="E734" i="28"/>
  <c r="F734" i="28"/>
  <c r="G734" i="28"/>
  <c r="H734" i="28"/>
  <c r="I734" i="28"/>
  <c r="K734" i="28"/>
  <c r="L734" i="28"/>
  <c r="M734" i="28"/>
  <c r="N734" i="28" s="1"/>
  <c r="A735" i="28"/>
  <c r="B735" i="28"/>
  <c r="C735" i="28"/>
  <c r="E735" i="28"/>
  <c r="F735" i="28"/>
  <c r="G735" i="28"/>
  <c r="H735" i="28"/>
  <c r="I735" i="28"/>
  <c r="K735" i="28"/>
  <c r="L735" i="28"/>
  <c r="M735" i="28"/>
  <c r="N735" i="28" s="1"/>
  <c r="A736" i="28"/>
  <c r="B736" i="28"/>
  <c r="C736" i="28"/>
  <c r="E736" i="28"/>
  <c r="F736" i="28"/>
  <c r="G736" i="28"/>
  <c r="H736" i="28"/>
  <c r="I736" i="28"/>
  <c r="K736" i="28"/>
  <c r="L736" i="28"/>
  <c r="M736" i="28"/>
  <c r="N736" i="28" s="1"/>
  <c r="A737" i="28"/>
  <c r="B737" i="28"/>
  <c r="C737" i="28"/>
  <c r="E737" i="28"/>
  <c r="F737" i="28"/>
  <c r="G737" i="28"/>
  <c r="H737" i="28"/>
  <c r="I737" i="28"/>
  <c r="K737" i="28"/>
  <c r="L737" i="28"/>
  <c r="M737" i="28"/>
  <c r="N737" i="28" s="1"/>
  <c r="A738" i="28"/>
  <c r="B738" i="28"/>
  <c r="C738" i="28"/>
  <c r="E738" i="28"/>
  <c r="F738" i="28"/>
  <c r="G738" i="28"/>
  <c r="H738" i="28"/>
  <c r="I738" i="28"/>
  <c r="K738" i="28"/>
  <c r="L738" i="28"/>
  <c r="M738" i="28"/>
  <c r="N738" i="28" s="1"/>
  <c r="A739" i="28"/>
  <c r="B739" i="28"/>
  <c r="C739" i="28"/>
  <c r="E739" i="28"/>
  <c r="F739" i="28"/>
  <c r="G739" i="28"/>
  <c r="H739" i="28"/>
  <c r="I739" i="28"/>
  <c r="K739" i="28"/>
  <c r="L739" i="28"/>
  <c r="M739" i="28"/>
  <c r="N739" i="28" s="1"/>
  <c r="A740" i="28"/>
  <c r="B740" i="28"/>
  <c r="C740" i="28"/>
  <c r="E740" i="28"/>
  <c r="F740" i="28"/>
  <c r="G740" i="28"/>
  <c r="H740" i="28"/>
  <c r="I740" i="28"/>
  <c r="K740" i="28"/>
  <c r="L740" i="28"/>
  <c r="M740" i="28"/>
  <c r="N740" i="28" s="1"/>
  <c r="A741" i="28"/>
  <c r="B741" i="28"/>
  <c r="C741" i="28"/>
  <c r="E741" i="28"/>
  <c r="F741" i="28"/>
  <c r="G741" i="28"/>
  <c r="H741" i="28"/>
  <c r="I741" i="28"/>
  <c r="K741" i="28"/>
  <c r="L741" i="28"/>
  <c r="M741" i="28"/>
  <c r="N741" i="28" s="1"/>
  <c r="A742" i="28"/>
  <c r="B742" i="28"/>
  <c r="C742" i="28"/>
  <c r="E742" i="28"/>
  <c r="F742" i="28"/>
  <c r="G742" i="28"/>
  <c r="H742" i="28"/>
  <c r="I742" i="28"/>
  <c r="K742" i="28"/>
  <c r="L742" i="28"/>
  <c r="M742" i="28"/>
  <c r="N742" i="28" s="1"/>
  <c r="A743" i="28"/>
  <c r="B743" i="28"/>
  <c r="C743" i="28"/>
  <c r="E743" i="28"/>
  <c r="F743" i="28"/>
  <c r="G743" i="28"/>
  <c r="H743" i="28"/>
  <c r="I743" i="28"/>
  <c r="K743" i="28"/>
  <c r="L743" i="28"/>
  <c r="M743" i="28"/>
  <c r="N743" i="28" s="1"/>
  <c r="A744" i="28"/>
  <c r="B744" i="28"/>
  <c r="C744" i="28"/>
  <c r="E744" i="28"/>
  <c r="F744" i="28"/>
  <c r="G744" i="28"/>
  <c r="H744" i="28"/>
  <c r="I744" i="28"/>
  <c r="K744" i="28"/>
  <c r="L744" i="28"/>
  <c r="M744" i="28"/>
  <c r="N744" i="28" s="1"/>
  <c r="A745" i="28"/>
  <c r="B745" i="28"/>
  <c r="C745" i="28"/>
  <c r="E745" i="28"/>
  <c r="F745" i="28"/>
  <c r="G745" i="28"/>
  <c r="H745" i="28"/>
  <c r="I745" i="28"/>
  <c r="K745" i="28"/>
  <c r="L745" i="28"/>
  <c r="M745" i="28"/>
  <c r="N745" i="28" s="1"/>
  <c r="A746" i="28"/>
  <c r="B746" i="28"/>
  <c r="C746" i="28"/>
  <c r="E746" i="28"/>
  <c r="F746" i="28"/>
  <c r="G746" i="28"/>
  <c r="H746" i="28"/>
  <c r="I746" i="28"/>
  <c r="K746" i="28"/>
  <c r="L746" i="28"/>
  <c r="M746" i="28"/>
  <c r="N746" i="28" s="1"/>
  <c r="A747" i="28"/>
  <c r="B747" i="28"/>
  <c r="C747" i="28"/>
  <c r="E747" i="28"/>
  <c r="F747" i="28"/>
  <c r="G747" i="28"/>
  <c r="H747" i="28"/>
  <c r="I747" i="28"/>
  <c r="K747" i="28"/>
  <c r="L747" i="28"/>
  <c r="M747" i="28"/>
  <c r="N747" i="28" s="1"/>
  <c r="A748" i="28"/>
  <c r="B748" i="28"/>
  <c r="C748" i="28"/>
  <c r="E748" i="28"/>
  <c r="F748" i="28"/>
  <c r="G748" i="28"/>
  <c r="H748" i="28"/>
  <c r="I748" i="28"/>
  <c r="K748" i="28"/>
  <c r="L748" i="28"/>
  <c r="M748" i="28"/>
  <c r="N748" i="28" s="1"/>
  <c r="A749" i="28"/>
  <c r="B749" i="28"/>
  <c r="C749" i="28"/>
  <c r="E749" i="28"/>
  <c r="F749" i="28"/>
  <c r="G749" i="28"/>
  <c r="H749" i="28"/>
  <c r="I749" i="28"/>
  <c r="K749" i="28"/>
  <c r="L749" i="28"/>
  <c r="M749" i="28"/>
  <c r="N749" i="28" s="1"/>
  <c r="A750" i="28"/>
  <c r="B750" i="28"/>
  <c r="C750" i="28"/>
  <c r="E750" i="28"/>
  <c r="F750" i="28"/>
  <c r="G750" i="28"/>
  <c r="H750" i="28"/>
  <c r="I750" i="28"/>
  <c r="K750" i="28"/>
  <c r="L750" i="28"/>
  <c r="M750" i="28"/>
  <c r="N750" i="28" s="1"/>
  <c r="A751" i="28"/>
  <c r="B751" i="28"/>
  <c r="C751" i="28"/>
  <c r="E751" i="28"/>
  <c r="F751" i="28"/>
  <c r="G751" i="28"/>
  <c r="H751" i="28"/>
  <c r="I751" i="28"/>
  <c r="K751" i="28"/>
  <c r="L751" i="28"/>
  <c r="M751" i="28"/>
  <c r="N751" i="28" s="1"/>
  <c r="A752" i="28"/>
  <c r="B752" i="28"/>
  <c r="C752" i="28"/>
  <c r="E752" i="28"/>
  <c r="F752" i="28"/>
  <c r="G752" i="28"/>
  <c r="H752" i="28"/>
  <c r="I752" i="28"/>
  <c r="K752" i="28"/>
  <c r="L752" i="28"/>
  <c r="M752" i="28"/>
  <c r="N752" i="28" s="1"/>
  <c r="A753" i="28"/>
  <c r="B753" i="28"/>
  <c r="C753" i="28"/>
  <c r="E753" i="28"/>
  <c r="F753" i="28"/>
  <c r="G753" i="28"/>
  <c r="H753" i="28"/>
  <c r="I753" i="28"/>
  <c r="K753" i="28"/>
  <c r="L753" i="28"/>
  <c r="M753" i="28"/>
  <c r="N753" i="28" s="1"/>
  <c r="A754" i="28"/>
  <c r="B754" i="28"/>
  <c r="C754" i="28"/>
  <c r="E754" i="28"/>
  <c r="F754" i="28"/>
  <c r="G754" i="28"/>
  <c r="H754" i="28"/>
  <c r="I754" i="28"/>
  <c r="K754" i="28"/>
  <c r="L754" i="28"/>
  <c r="M754" i="28"/>
  <c r="N754" i="28" s="1"/>
  <c r="A755" i="28"/>
  <c r="B755" i="28"/>
  <c r="C755" i="28"/>
  <c r="E755" i="28"/>
  <c r="F755" i="28"/>
  <c r="G755" i="28"/>
  <c r="H755" i="28"/>
  <c r="I755" i="28"/>
  <c r="K755" i="28"/>
  <c r="L755" i="28"/>
  <c r="M755" i="28"/>
  <c r="N755" i="28" s="1"/>
  <c r="A756" i="28"/>
  <c r="B756" i="28"/>
  <c r="C756" i="28"/>
  <c r="E756" i="28"/>
  <c r="F756" i="28"/>
  <c r="G756" i="28"/>
  <c r="H756" i="28"/>
  <c r="I756" i="28"/>
  <c r="K756" i="28"/>
  <c r="L756" i="28"/>
  <c r="M756" i="28"/>
  <c r="N756" i="28" s="1"/>
  <c r="A757" i="28"/>
  <c r="B757" i="28"/>
  <c r="C757" i="28"/>
  <c r="E757" i="28"/>
  <c r="F757" i="28"/>
  <c r="G757" i="28"/>
  <c r="H757" i="28"/>
  <c r="I757" i="28"/>
  <c r="K757" i="28"/>
  <c r="L757" i="28"/>
  <c r="M757" i="28"/>
  <c r="N757" i="28" s="1"/>
  <c r="A758" i="28"/>
  <c r="B758" i="28"/>
  <c r="C758" i="28"/>
  <c r="E758" i="28"/>
  <c r="F758" i="28"/>
  <c r="G758" i="28"/>
  <c r="H758" i="28"/>
  <c r="I758" i="28"/>
  <c r="K758" i="28"/>
  <c r="L758" i="28"/>
  <c r="M758" i="28"/>
  <c r="N758" i="28" s="1"/>
  <c r="A759" i="28"/>
  <c r="B759" i="28"/>
  <c r="C759" i="28"/>
  <c r="E759" i="28"/>
  <c r="F759" i="28"/>
  <c r="G759" i="28"/>
  <c r="H759" i="28"/>
  <c r="I759" i="28"/>
  <c r="K759" i="28"/>
  <c r="L759" i="28"/>
  <c r="M759" i="28"/>
  <c r="N759" i="28" s="1"/>
  <c r="A760" i="28"/>
  <c r="B760" i="28"/>
  <c r="C760" i="28"/>
  <c r="E760" i="28"/>
  <c r="F760" i="28"/>
  <c r="G760" i="28"/>
  <c r="H760" i="28"/>
  <c r="I760" i="28"/>
  <c r="K760" i="28"/>
  <c r="L760" i="28"/>
  <c r="M760" i="28"/>
  <c r="N760" i="28" s="1"/>
  <c r="A761" i="28"/>
  <c r="B761" i="28"/>
  <c r="C761" i="28"/>
  <c r="E761" i="28"/>
  <c r="F761" i="28"/>
  <c r="G761" i="28"/>
  <c r="H761" i="28"/>
  <c r="I761" i="28"/>
  <c r="K761" i="28"/>
  <c r="L761" i="28"/>
  <c r="M761" i="28"/>
  <c r="N761" i="28" s="1"/>
  <c r="A762" i="28"/>
  <c r="B762" i="28"/>
  <c r="C762" i="28"/>
  <c r="E762" i="28"/>
  <c r="F762" i="28"/>
  <c r="G762" i="28"/>
  <c r="H762" i="28"/>
  <c r="I762" i="28"/>
  <c r="K762" i="28"/>
  <c r="L762" i="28"/>
  <c r="M762" i="28"/>
  <c r="N762" i="28" s="1"/>
  <c r="A763" i="28"/>
  <c r="B763" i="28"/>
  <c r="C763" i="28"/>
  <c r="E763" i="28"/>
  <c r="F763" i="28"/>
  <c r="G763" i="28"/>
  <c r="H763" i="28"/>
  <c r="I763" i="28"/>
  <c r="K763" i="28"/>
  <c r="L763" i="28"/>
  <c r="M763" i="28"/>
  <c r="N763" i="28" s="1"/>
  <c r="A764" i="28"/>
  <c r="B764" i="28"/>
  <c r="C764" i="28"/>
  <c r="E764" i="28"/>
  <c r="F764" i="28"/>
  <c r="G764" i="28"/>
  <c r="H764" i="28"/>
  <c r="I764" i="28"/>
  <c r="K764" i="28"/>
  <c r="L764" i="28"/>
  <c r="M764" i="28"/>
  <c r="N764" i="28" s="1"/>
  <c r="A765" i="28"/>
  <c r="B765" i="28"/>
  <c r="C765" i="28"/>
  <c r="E765" i="28"/>
  <c r="F765" i="28"/>
  <c r="G765" i="28"/>
  <c r="H765" i="28"/>
  <c r="I765" i="28"/>
  <c r="K765" i="28"/>
  <c r="L765" i="28"/>
  <c r="M765" i="28"/>
  <c r="N765" i="28" s="1"/>
  <c r="A766" i="28"/>
  <c r="B766" i="28"/>
  <c r="C766" i="28"/>
  <c r="E766" i="28"/>
  <c r="F766" i="28"/>
  <c r="G766" i="28"/>
  <c r="H766" i="28"/>
  <c r="I766" i="28"/>
  <c r="K766" i="28"/>
  <c r="L766" i="28"/>
  <c r="M766" i="28"/>
  <c r="N766" i="28" s="1"/>
  <c r="A767" i="28"/>
  <c r="B767" i="28"/>
  <c r="C767" i="28"/>
  <c r="E767" i="28"/>
  <c r="F767" i="28"/>
  <c r="G767" i="28"/>
  <c r="H767" i="28"/>
  <c r="I767" i="28"/>
  <c r="K767" i="28"/>
  <c r="L767" i="28"/>
  <c r="M767" i="28"/>
  <c r="N767" i="28" s="1"/>
  <c r="A768" i="28"/>
  <c r="B768" i="28"/>
  <c r="C768" i="28"/>
  <c r="E768" i="28"/>
  <c r="F768" i="28"/>
  <c r="G768" i="28"/>
  <c r="H768" i="28"/>
  <c r="I768" i="28"/>
  <c r="K768" i="28"/>
  <c r="L768" i="28"/>
  <c r="M768" i="28"/>
  <c r="N768" i="28" s="1"/>
  <c r="A769" i="28"/>
  <c r="B769" i="28"/>
  <c r="C769" i="28"/>
  <c r="E769" i="28"/>
  <c r="F769" i="28"/>
  <c r="G769" i="28"/>
  <c r="H769" i="28"/>
  <c r="I769" i="28"/>
  <c r="K769" i="28"/>
  <c r="L769" i="28"/>
  <c r="M769" i="28"/>
  <c r="N769" i="28" s="1"/>
  <c r="A770" i="28"/>
  <c r="B770" i="28"/>
  <c r="C770" i="28"/>
  <c r="E770" i="28"/>
  <c r="F770" i="28"/>
  <c r="G770" i="28"/>
  <c r="H770" i="28"/>
  <c r="I770" i="28"/>
  <c r="K770" i="28"/>
  <c r="L770" i="28"/>
  <c r="M770" i="28"/>
  <c r="N770" i="28" s="1"/>
  <c r="A771" i="28"/>
  <c r="B771" i="28"/>
  <c r="C771" i="28"/>
  <c r="E771" i="28"/>
  <c r="F771" i="28"/>
  <c r="G771" i="28"/>
  <c r="H771" i="28"/>
  <c r="I771" i="28"/>
  <c r="K771" i="28"/>
  <c r="L771" i="28"/>
  <c r="M771" i="28"/>
  <c r="N771" i="28" s="1"/>
  <c r="A772" i="28"/>
  <c r="B772" i="28"/>
  <c r="C772" i="28"/>
  <c r="E772" i="28"/>
  <c r="F772" i="28"/>
  <c r="G772" i="28"/>
  <c r="H772" i="28"/>
  <c r="I772" i="28"/>
  <c r="K772" i="28"/>
  <c r="L772" i="28"/>
  <c r="M772" i="28"/>
  <c r="N772" i="28" s="1"/>
  <c r="A773" i="28"/>
  <c r="B773" i="28"/>
  <c r="C773" i="28"/>
  <c r="E773" i="28"/>
  <c r="F773" i="28"/>
  <c r="G773" i="28"/>
  <c r="H773" i="28"/>
  <c r="I773" i="28"/>
  <c r="K773" i="28"/>
  <c r="L773" i="28"/>
  <c r="M773" i="28"/>
  <c r="N773" i="28" s="1"/>
  <c r="A774" i="28"/>
  <c r="B774" i="28"/>
  <c r="C774" i="28"/>
  <c r="E774" i="28"/>
  <c r="F774" i="28"/>
  <c r="G774" i="28"/>
  <c r="H774" i="28"/>
  <c r="I774" i="28"/>
  <c r="K774" i="28"/>
  <c r="L774" i="28"/>
  <c r="M774" i="28"/>
  <c r="N774" i="28" s="1"/>
  <c r="A775" i="28"/>
  <c r="B775" i="28"/>
  <c r="C775" i="28"/>
  <c r="E775" i="28"/>
  <c r="F775" i="28"/>
  <c r="G775" i="28"/>
  <c r="H775" i="28"/>
  <c r="I775" i="28"/>
  <c r="K775" i="28"/>
  <c r="L775" i="28"/>
  <c r="M775" i="28"/>
  <c r="N775" i="28" s="1"/>
  <c r="A776" i="28"/>
  <c r="B776" i="28"/>
  <c r="C776" i="28"/>
  <c r="E776" i="28"/>
  <c r="F776" i="28"/>
  <c r="G776" i="28"/>
  <c r="H776" i="28"/>
  <c r="I776" i="28"/>
  <c r="K776" i="28"/>
  <c r="L776" i="28"/>
  <c r="M776" i="28"/>
  <c r="N776" i="28" s="1"/>
  <c r="A777" i="28"/>
  <c r="B777" i="28"/>
  <c r="C777" i="28"/>
  <c r="E777" i="28"/>
  <c r="F777" i="28"/>
  <c r="G777" i="28"/>
  <c r="H777" i="28"/>
  <c r="I777" i="28"/>
  <c r="K777" i="28"/>
  <c r="L777" i="28"/>
  <c r="M777" i="28"/>
  <c r="N777" i="28" s="1"/>
  <c r="A778" i="28"/>
  <c r="B778" i="28"/>
  <c r="C778" i="28"/>
  <c r="E778" i="28"/>
  <c r="F778" i="28"/>
  <c r="G778" i="28"/>
  <c r="H778" i="28"/>
  <c r="I778" i="28"/>
  <c r="K778" i="28"/>
  <c r="L778" i="28"/>
  <c r="M778" i="28"/>
  <c r="N778" i="28" s="1"/>
  <c r="A779" i="28"/>
  <c r="B779" i="28"/>
  <c r="C779" i="28"/>
  <c r="E779" i="28"/>
  <c r="F779" i="28"/>
  <c r="G779" i="28"/>
  <c r="H779" i="28"/>
  <c r="I779" i="28"/>
  <c r="K779" i="28"/>
  <c r="L779" i="28"/>
  <c r="M779" i="28"/>
  <c r="N779" i="28" s="1"/>
  <c r="A780" i="28"/>
  <c r="B780" i="28"/>
  <c r="C780" i="28"/>
  <c r="E780" i="28"/>
  <c r="F780" i="28"/>
  <c r="G780" i="28"/>
  <c r="H780" i="28"/>
  <c r="I780" i="28"/>
  <c r="K780" i="28"/>
  <c r="L780" i="28"/>
  <c r="M780" i="28"/>
  <c r="N780" i="28" s="1"/>
  <c r="A781" i="28"/>
  <c r="B781" i="28"/>
  <c r="C781" i="28"/>
  <c r="E781" i="28"/>
  <c r="F781" i="28"/>
  <c r="G781" i="28"/>
  <c r="H781" i="28"/>
  <c r="I781" i="28"/>
  <c r="K781" i="28"/>
  <c r="L781" i="28"/>
  <c r="M781" i="28"/>
  <c r="N781" i="28" s="1"/>
  <c r="A782" i="28"/>
  <c r="B782" i="28"/>
  <c r="C782" i="28"/>
  <c r="E782" i="28"/>
  <c r="F782" i="28"/>
  <c r="G782" i="28"/>
  <c r="H782" i="28"/>
  <c r="I782" i="28"/>
  <c r="K782" i="28"/>
  <c r="L782" i="28"/>
  <c r="M782" i="28"/>
  <c r="N782" i="28" s="1"/>
  <c r="A783" i="28"/>
  <c r="B783" i="28"/>
  <c r="C783" i="28"/>
  <c r="E783" i="28"/>
  <c r="F783" i="28"/>
  <c r="G783" i="28"/>
  <c r="H783" i="28"/>
  <c r="I783" i="28"/>
  <c r="K783" i="28"/>
  <c r="L783" i="28"/>
  <c r="M783" i="28"/>
  <c r="N783" i="28" s="1"/>
  <c r="A784" i="28"/>
  <c r="B784" i="28"/>
  <c r="C784" i="28"/>
  <c r="E784" i="28"/>
  <c r="F784" i="28"/>
  <c r="G784" i="28"/>
  <c r="H784" i="28"/>
  <c r="I784" i="28"/>
  <c r="K784" i="28"/>
  <c r="L784" i="28"/>
  <c r="M784" i="28"/>
  <c r="N784" i="28" s="1"/>
  <c r="A785" i="28"/>
  <c r="B785" i="28"/>
  <c r="C785" i="28"/>
  <c r="E785" i="28"/>
  <c r="F785" i="28"/>
  <c r="G785" i="28"/>
  <c r="H785" i="28"/>
  <c r="I785" i="28"/>
  <c r="K785" i="28"/>
  <c r="L785" i="28"/>
  <c r="M785" i="28"/>
  <c r="N785" i="28" s="1"/>
  <c r="A786" i="28"/>
  <c r="B786" i="28"/>
  <c r="C786" i="28"/>
  <c r="E786" i="28"/>
  <c r="F786" i="28"/>
  <c r="G786" i="28"/>
  <c r="H786" i="28"/>
  <c r="I786" i="28"/>
  <c r="K786" i="28"/>
  <c r="L786" i="28"/>
  <c r="M786" i="28"/>
  <c r="N786" i="28" s="1"/>
  <c r="A787" i="28"/>
  <c r="B787" i="28"/>
  <c r="C787" i="28"/>
  <c r="E787" i="28"/>
  <c r="F787" i="28"/>
  <c r="G787" i="28"/>
  <c r="H787" i="28"/>
  <c r="I787" i="28"/>
  <c r="K787" i="28"/>
  <c r="L787" i="28"/>
  <c r="M787" i="28"/>
  <c r="N787" i="28" s="1"/>
  <c r="A788" i="28"/>
  <c r="B788" i="28"/>
  <c r="C788" i="28"/>
  <c r="E788" i="28"/>
  <c r="F788" i="28"/>
  <c r="G788" i="28"/>
  <c r="H788" i="28"/>
  <c r="I788" i="28"/>
  <c r="K788" i="28"/>
  <c r="L788" i="28"/>
  <c r="M788" i="28"/>
  <c r="N788" i="28" s="1"/>
  <c r="A789" i="28"/>
  <c r="B789" i="28"/>
  <c r="C789" i="28"/>
  <c r="E789" i="28"/>
  <c r="F789" i="28"/>
  <c r="G789" i="28"/>
  <c r="H789" i="28"/>
  <c r="I789" i="28"/>
  <c r="K789" i="28"/>
  <c r="L789" i="28"/>
  <c r="M789" i="28"/>
  <c r="N789" i="28" s="1"/>
  <c r="A790" i="28"/>
  <c r="B790" i="28"/>
  <c r="C790" i="28"/>
  <c r="E790" i="28"/>
  <c r="F790" i="28"/>
  <c r="G790" i="28"/>
  <c r="H790" i="28"/>
  <c r="I790" i="28"/>
  <c r="K790" i="28"/>
  <c r="L790" i="28"/>
  <c r="M790" i="28"/>
  <c r="N790" i="28" s="1"/>
  <c r="A791" i="28"/>
  <c r="B791" i="28"/>
  <c r="C791" i="28"/>
  <c r="E791" i="28"/>
  <c r="F791" i="28"/>
  <c r="G791" i="28"/>
  <c r="H791" i="28"/>
  <c r="I791" i="28"/>
  <c r="K791" i="28"/>
  <c r="L791" i="28"/>
  <c r="M791" i="28"/>
  <c r="N791" i="28" s="1"/>
  <c r="A792" i="28"/>
  <c r="B792" i="28"/>
  <c r="C792" i="28"/>
  <c r="E792" i="28"/>
  <c r="F792" i="28"/>
  <c r="G792" i="28"/>
  <c r="H792" i="28"/>
  <c r="I792" i="28"/>
  <c r="K792" i="28"/>
  <c r="L792" i="28"/>
  <c r="M792" i="28"/>
  <c r="N792" i="28" s="1"/>
  <c r="A793" i="28"/>
  <c r="B793" i="28"/>
  <c r="C793" i="28"/>
  <c r="E793" i="28"/>
  <c r="F793" i="28"/>
  <c r="G793" i="28"/>
  <c r="H793" i="28"/>
  <c r="I793" i="28"/>
  <c r="K793" i="28"/>
  <c r="L793" i="28"/>
  <c r="M793" i="28"/>
  <c r="N793" i="28" s="1"/>
  <c r="A794" i="28"/>
  <c r="B794" i="28"/>
  <c r="C794" i="28"/>
  <c r="E794" i="28"/>
  <c r="F794" i="28"/>
  <c r="G794" i="28"/>
  <c r="H794" i="28"/>
  <c r="I794" i="28"/>
  <c r="K794" i="28"/>
  <c r="L794" i="28"/>
  <c r="M794" i="28"/>
  <c r="N794" i="28" s="1"/>
  <c r="A795" i="28"/>
  <c r="B795" i="28"/>
  <c r="C795" i="28"/>
  <c r="E795" i="28"/>
  <c r="F795" i="28"/>
  <c r="G795" i="28"/>
  <c r="H795" i="28"/>
  <c r="I795" i="28"/>
  <c r="K795" i="28"/>
  <c r="L795" i="28"/>
  <c r="M795" i="28"/>
  <c r="N795" i="28" s="1"/>
  <c r="A796" i="28"/>
  <c r="B796" i="28"/>
  <c r="C796" i="28"/>
  <c r="E796" i="28"/>
  <c r="F796" i="28"/>
  <c r="G796" i="28"/>
  <c r="H796" i="28"/>
  <c r="I796" i="28"/>
  <c r="K796" i="28"/>
  <c r="L796" i="28"/>
  <c r="M796" i="28"/>
  <c r="N796" i="28" s="1"/>
  <c r="A797" i="28"/>
  <c r="B797" i="28"/>
  <c r="C797" i="28"/>
  <c r="E797" i="28"/>
  <c r="F797" i="28"/>
  <c r="G797" i="28"/>
  <c r="H797" i="28"/>
  <c r="I797" i="28"/>
  <c r="K797" i="28"/>
  <c r="L797" i="28"/>
  <c r="M797" i="28"/>
  <c r="N797" i="28" s="1"/>
  <c r="A798" i="28"/>
  <c r="B798" i="28"/>
  <c r="C798" i="28"/>
  <c r="E798" i="28"/>
  <c r="F798" i="28"/>
  <c r="G798" i="28"/>
  <c r="H798" i="28"/>
  <c r="I798" i="28"/>
  <c r="K798" i="28"/>
  <c r="L798" i="28"/>
  <c r="M798" i="28"/>
  <c r="N798" i="28" s="1"/>
  <c r="A799" i="28"/>
  <c r="B799" i="28"/>
  <c r="C799" i="28"/>
  <c r="E799" i="28"/>
  <c r="F799" i="28"/>
  <c r="G799" i="28"/>
  <c r="H799" i="28"/>
  <c r="I799" i="28"/>
  <c r="K799" i="28"/>
  <c r="L799" i="28"/>
  <c r="M799" i="28"/>
  <c r="N799" i="28" s="1"/>
  <c r="A800" i="28"/>
  <c r="B800" i="28"/>
  <c r="C800" i="28"/>
  <c r="E800" i="28"/>
  <c r="F800" i="28"/>
  <c r="G800" i="28"/>
  <c r="H800" i="28"/>
  <c r="I800" i="28"/>
  <c r="K800" i="28"/>
  <c r="L800" i="28"/>
  <c r="M800" i="28"/>
  <c r="N800" i="28" s="1"/>
  <c r="A801" i="28"/>
  <c r="B801" i="28"/>
  <c r="C801" i="28"/>
  <c r="E801" i="28"/>
  <c r="F801" i="28"/>
  <c r="G801" i="28"/>
  <c r="H801" i="28"/>
  <c r="I801" i="28"/>
  <c r="K801" i="28"/>
  <c r="L801" i="28"/>
  <c r="M801" i="28"/>
  <c r="N801" i="28" s="1"/>
  <c r="A802" i="28"/>
  <c r="B802" i="28"/>
  <c r="C802" i="28"/>
  <c r="E802" i="28"/>
  <c r="F802" i="28"/>
  <c r="G802" i="28"/>
  <c r="H802" i="28"/>
  <c r="I802" i="28"/>
  <c r="K802" i="28"/>
  <c r="L802" i="28"/>
  <c r="M802" i="28"/>
  <c r="N802" i="28" s="1"/>
  <c r="A803" i="28"/>
  <c r="B803" i="28"/>
  <c r="C803" i="28"/>
  <c r="E803" i="28"/>
  <c r="F803" i="28"/>
  <c r="G803" i="28"/>
  <c r="H803" i="28"/>
  <c r="I803" i="28"/>
  <c r="K803" i="28"/>
  <c r="L803" i="28"/>
  <c r="M803" i="28"/>
  <c r="N803" i="28" s="1"/>
  <c r="A804" i="28"/>
  <c r="B804" i="28"/>
  <c r="C804" i="28"/>
  <c r="E804" i="28"/>
  <c r="F804" i="28"/>
  <c r="G804" i="28"/>
  <c r="H804" i="28"/>
  <c r="I804" i="28"/>
  <c r="K804" i="28"/>
  <c r="L804" i="28"/>
  <c r="M804" i="28"/>
  <c r="N804" i="28" s="1"/>
  <c r="A805" i="28"/>
  <c r="B805" i="28"/>
  <c r="C805" i="28"/>
  <c r="E805" i="28"/>
  <c r="F805" i="28"/>
  <c r="G805" i="28"/>
  <c r="H805" i="28"/>
  <c r="I805" i="28"/>
  <c r="K805" i="28"/>
  <c r="L805" i="28"/>
  <c r="M805" i="28"/>
  <c r="N805" i="28" s="1"/>
  <c r="A806" i="28"/>
  <c r="B806" i="28"/>
  <c r="C806" i="28"/>
  <c r="E806" i="28"/>
  <c r="F806" i="28"/>
  <c r="G806" i="28"/>
  <c r="H806" i="28"/>
  <c r="I806" i="28"/>
  <c r="K806" i="28"/>
  <c r="L806" i="28"/>
  <c r="M806" i="28"/>
  <c r="N806" i="28" s="1"/>
  <c r="A807" i="28"/>
  <c r="B807" i="28"/>
  <c r="C807" i="28"/>
  <c r="E807" i="28"/>
  <c r="F807" i="28"/>
  <c r="G807" i="28"/>
  <c r="H807" i="28"/>
  <c r="I807" i="28"/>
  <c r="K807" i="28"/>
  <c r="L807" i="28"/>
  <c r="M807" i="28"/>
  <c r="N807" i="28" s="1"/>
  <c r="A808" i="28"/>
  <c r="B808" i="28"/>
  <c r="C808" i="28"/>
  <c r="E808" i="28"/>
  <c r="F808" i="28"/>
  <c r="G808" i="28"/>
  <c r="H808" i="28"/>
  <c r="I808" i="28"/>
  <c r="K808" i="28"/>
  <c r="L808" i="28"/>
  <c r="M808" i="28"/>
  <c r="N808" i="28" s="1"/>
  <c r="A809" i="28"/>
  <c r="B809" i="28"/>
  <c r="C809" i="28"/>
  <c r="E809" i="28"/>
  <c r="F809" i="28"/>
  <c r="G809" i="28"/>
  <c r="H809" i="28"/>
  <c r="I809" i="28"/>
  <c r="K809" i="28"/>
  <c r="L809" i="28"/>
  <c r="M809" i="28"/>
  <c r="N809" i="28" s="1"/>
  <c r="A810" i="28"/>
  <c r="B810" i="28"/>
  <c r="C810" i="28"/>
  <c r="E810" i="28"/>
  <c r="F810" i="28"/>
  <c r="G810" i="28"/>
  <c r="H810" i="28"/>
  <c r="I810" i="28"/>
  <c r="K810" i="28"/>
  <c r="L810" i="28"/>
  <c r="M810" i="28"/>
  <c r="N810" i="28" s="1"/>
  <c r="A811" i="28"/>
  <c r="B811" i="28"/>
  <c r="C811" i="28"/>
  <c r="E811" i="28"/>
  <c r="F811" i="28"/>
  <c r="G811" i="28"/>
  <c r="H811" i="28"/>
  <c r="I811" i="28"/>
  <c r="K811" i="28"/>
  <c r="L811" i="28"/>
  <c r="M811" i="28"/>
  <c r="N811" i="28" s="1"/>
  <c r="A812" i="28"/>
  <c r="B812" i="28"/>
  <c r="C812" i="28"/>
  <c r="E812" i="28"/>
  <c r="F812" i="28"/>
  <c r="G812" i="28"/>
  <c r="H812" i="28"/>
  <c r="I812" i="28"/>
  <c r="K812" i="28"/>
  <c r="L812" i="28"/>
  <c r="M812" i="28"/>
  <c r="N812" i="28" s="1"/>
  <c r="A813" i="28"/>
  <c r="B813" i="28"/>
  <c r="C813" i="28"/>
  <c r="E813" i="28"/>
  <c r="F813" i="28"/>
  <c r="G813" i="28"/>
  <c r="H813" i="28"/>
  <c r="I813" i="28"/>
  <c r="K813" i="28"/>
  <c r="L813" i="28"/>
  <c r="M813" i="28"/>
  <c r="N813" i="28" s="1"/>
  <c r="A814" i="28"/>
  <c r="B814" i="28"/>
  <c r="C814" i="28"/>
  <c r="E814" i="28"/>
  <c r="F814" i="28"/>
  <c r="G814" i="28"/>
  <c r="H814" i="28"/>
  <c r="I814" i="28"/>
  <c r="K814" i="28"/>
  <c r="L814" i="28"/>
  <c r="M814" i="28"/>
  <c r="N814" i="28" s="1"/>
  <c r="A815" i="28"/>
  <c r="B815" i="28"/>
  <c r="C815" i="28"/>
  <c r="E815" i="28"/>
  <c r="F815" i="28"/>
  <c r="G815" i="28"/>
  <c r="H815" i="28"/>
  <c r="I815" i="28"/>
  <c r="K815" i="28"/>
  <c r="L815" i="28"/>
  <c r="M815" i="28"/>
  <c r="N815" i="28" s="1"/>
  <c r="A816" i="28"/>
  <c r="B816" i="28"/>
  <c r="C816" i="28"/>
  <c r="E816" i="28"/>
  <c r="F816" i="28"/>
  <c r="G816" i="28"/>
  <c r="H816" i="28"/>
  <c r="I816" i="28"/>
  <c r="K816" i="28"/>
  <c r="L816" i="28"/>
  <c r="M816" i="28"/>
  <c r="N816" i="28" s="1"/>
  <c r="A817" i="28"/>
  <c r="B817" i="28"/>
  <c r="C817" i="28"/>
  <c r="E817" i="28"/>
  <c r="F817" i="28"/>
  <c r="G817" i="28"/>
  <c r="H817" i="28"/>
  <c r="I817" i="28"/>
  <c r="K817" i="28"/>
  <c r="L817" i="28"/>
  <c r="M817" i="28"/>
  <c r="N817" i="28" s="1"/>
  <c r="A818" i="28"/>
  <c r="B818" i="28"/>
  <c r="C818" i="28"/>
  <c r="E818" i="28"/>
  <c r="F818" i="28"/>
  <c r="G818" i="28"/>
  <c r="H818" i="28"/>
  <c r="I818" i="28"/>
  <c r="K818" i="28"/>
  <c r="L818" i="28"/>
  <c r="M818" i="28"/>
  <c r="N818" i="28" s="1"/>
  <c r="A618" i="28"/>
  <c r="B618" i="28"/>
  <c r="C618" i="28"/>
  <c r="E618" i="28"/>
  <c r="F618" i="28"/>
  <c r="G618" i="28"/>
  <c r="H618" i="28"/>
  <c r="I618" i="28"/>
  <c r="K618" i="28"/>
  <c r="L618" i="28"/>
  <c r="M618" i="28"/>
  <c r="N618" i="28" s="1"/>
  <c r="D723" i="28"/>
  <c r="D727" i="28"/>
  <c r="D788" i="28"/>
  <c r="D658" i="28"/>
  <c r="D618" i="28"/>
  <c r="D624" i="28"/>
  <c r="D721" i="28"/>
  <c r="D794" i="28"/>
  <c r="D728" i="28"/>
  <c r="D818" i="28"/>
  <c r="D780" i="28"/>
  <c r="D816" i="28"/>
  <c r="D651" i="28"/>
  <c r="D796" i="28"/>
  <c r="D764" i="28"/>
  <c r="D641" i="28"/>
  <c r="D774" i="28"/>
  <c r="D738" i="28"/>
  <c r="D676" i="28"/>
  <c r="D819" i="28"/>
  <c r="D749" i="28"/>
  <c r="D670" i="28"/>
  <c r="D663" i="28"/>
  <c r="D759" i="28"/>
  <c r="D808" i="28"/>
  <c r="D725" i="28"/>
  <c r="D813" i="28"/>
  <c r="D691" i="28"/>
  <c r="D677" i="28"/>
  <c r="D766" i="28"/>
  <c r="D702" i="28"/>
  <c r="D734" i="28"/>
  <c r="D650" i="28"/>
  <c r="D758" i="28"/>
  <c r="D807" i="28"/>
  <c r="D804" i="28"/>
  <c r="D680" i="28"/>
  <c r="D695" i="28"/>
  <c r="D736" i="28"/>
  <c r="D726" i="28"/>
  <c r="D722" i="28"/>
  <c r="D746" i="28"/>
  <c r="D694" i="28"/>
  <c r="D731" i="28"/>
  <c r="D784" i="28"/>
  <c r="D730" i="28"/>
  <c r="D815" i="28"/>
  <c r="D743" i="28"/>
  <c r="D810" i="28"/>
  <c r="D667" i="28"/>
  <c r="D801" i="28"/>
  <c r="D719" i="28"/>
  <c r="D770" i="28"/>
  <c r="D687" i="28"/>
  <c r="D740" i="28"/>
  <c r="D782" i="28"/>
  <c r="D739" i="28"/>
  <c r="D717" i="28"/>
  <c r="D755" i="28"/>
  <c r="D640" i="28"/>
  <c r="D769" i="28"/>
  <c r="D729" i="28"/>
  <c r="D760" i="28"/>
  <c r="D631" i="28"/>
  <c r="D756" i="28"/>
  <c r="D690" i="28"/>
  <c r="D630" i="28"/>
  <c r="D628" i="28"/>
  <c r="D803" i="28"/>
  <c r="D662" i="28"/>
  <c r="D705" i="28"/>
  <c r="D711" i="28"/>
  <c r="D748" i="28"/>
  <c r="D812" i="28"/>
  <c r="D809" i="28"/>
  <c r="D776" i="28"/>
  <c r="D793" i="28"/>
  <c r="D634" i="28"/>
  <c r="D806" i="28"/>
  <c r="D771" i="28"/>
  <c r="D693" i="28"/>
  <c r="D636" i="28"/>
  <c r="D671" i="28"/>
  <c r="D665" i="28"/>
  <c r="D790" i="28"/>
  <c r="D643" i="28"/>
  <c r="D792" i="28"/>
  <c r="D713" i="28"/>
  <c r="D675" i="28"/>
  <c r="D781" i="28"/>
  <c r="D800" i="28"/>
  <c r="D660" i="28"/>
  <c r="D741" i="28"/>
  <c r="D626" i="28"/>
  <c r="D672" i="28"/>
  <c r="D733" i="28"/>
  <c r="D737" i="28"/>
  <c r="D669" i="28"/>
  <c r="D697" i="28"/>
  <c r="D649" i="28"/>
  <c r="D718" i="28"/>
  <c r="D647" i="28"/>
  <c r="D714" i="28"/>
  <c r="D627" i="28"/>
  <c r="D652" i="28"/>
  <c r="D724" i="28"/>
  <c r="D684" i="28"/>
  <c r="D754" i="28"/>
  <c r="D778" i="28"/>
  <c r="D798" i="28"/>
  <c r="D625" i="28"/>
  <c r="D674" i="28"/>
  <c r="D699" i="28"/>
  <c r="D632" i="28"/>
  <c r="D656" i="28"/>
  <c r="D791" i="28"/>
  <c r="D623" i="28"/>
  <c r="D664" i="28"/>
  <c r="D661" i="28"/>
  <c r="D679" i="28"/>
  <c r="D814" i="28"/>
  <c r="D720" i="28"/>
  <c r="D742" i="28"/>
  <c r="D701" i="28"/>
  <c r="D797" i="28"/>
  <c r="D777" i="28"/>
  <c r="D637" i="28"/>
  <c r="D619" i="28"/>
  <c r="D799" i="28"/>
  <c r="D698" i="28"/>
  <c r="D654" i="28"/>
  <c r="D750" i="28"/>
  <c r="D703" i="28"/>
  <c r="D789" i="28"/>
  <c r="D712" i="28"/>
  <c r="D683" i="28"/>
  <c r="D779" i="28"/>
  <c r="D709" i="28"/>
  <c r="D706" i="28"/>
  <c r="D761" i="28"/>
  <c r="D747" i="28"/>
  <c r="D765" i="28"/>
  <c r="D638" i="28"/>
  <c r="D786" i="28"/>
  <c r="D686" i="28"/>
  <c r="D692" i="28"/>
  <c r="D704" i="28"/>
  <c r="D762" i="28"/>
  <c r="D659" i="28"/>
  <c r="D682" i="28"/>
  <c r="D708" i="28"/>
  <c r="D620" i="28"/>
  <c r="D715" i="28"/>
  <c r="D795" i="28"/>
  <c r="D811" i="28"/>
  <c r="D681" i="28"/>
  <c r="D768" i="28"/>
  <c r="D655" i="28"/>
  <c r="D787" i="28"/>
  <c r="D645" i="28"/>
  <c r="D732" i="28"/>
  <c r="D752" i="28"/>
  <c r="D767" i="28"/>
  <c r="D673" i="28"/>
  <c r="D621" i="28"/>
  <c r="D678" i="28"/>
  <c r="D785" i="28"/>
  <c r="D653" i="28"/>
  <c r="D648" i="28"/>
  <c r="D716" i="28"/>
  <c r="D666" i="28"/>
  <c r="D772" i="28"/>
  <c r="D753" i="28"/>
  <c r="D744" i="28"/>
  <c r="D646" i="28"/>
  <c r="D802" i="28"/>
  <c r="D745" i="28"/>
  <c r="D696" i="28"/>
  <c r="D735" i="28"/>
  <c r="D773" i="28"/>
  <c r="D763" i="28"/>
  <c r="D751" i="28"/>
  <c r="D710" i="28"/>
  <c r="D633" i="28"/>
  <c r="D783" i="28"/>
  <c r="D805" i="28"/>
  <c r="D707" i="28"/>
  <c r="D688" i="28"/>
  <c r="D622" i="28"/>
  <c r="D642" i="28"/>
  <c r="D657" i="28"/>
  <c r="D668" i="28"/>
  <c r="D757" i="28"/>
  <c r="D700" i="28"/>
  <c r="D639" i="28"/>
  <c r="D775" i="28"/>
  <c r="D817" i="28"/>
  <c r="D635" i="28"/>
  <c r="D685" i="28"/>
  <c r="D629" i="28"/>
  <c r="D644" i="28"/>
  <c r="D689" i="28"/>
  <c r="J626" i="28" l="1"/>
  <c r="J620" i="28"/>
  <c r="J643" i="28"/>
  <c r="J628" i="28"/>
  <c r="J713" i="28"/>
  <c r="J619" i="28"/>
  <c r="J762" i="28"/>
  <c r="J633" i="28"/>
  <c r="J755" i="28"/>
  <c r="J649" i="28"/>
  <c r="J635" i="28"/>
  <c r="J758" i="28"/>
  <c r="J724" i="28"/>
  <c r="J708" i="28"/>
  <c r="J669" i="28"/>
  <c r="J636" i="28"/>
  <c r="J648" i="28"/>
  <c r="J754" i="28"/>
  <c r="J681" i="28"/>
  <c r="J630" i="28"/>
  <c r="J736" i="28"/>
  <c r="J728" i="28"/>
  <c r="J673" i="28"/>
  <c r="J645" i="28"/>
  <c r="J697" i="28"/>
  <c r="J692" i="28"/>
  <c r="J661" i="28"/>
  <c r="J696" i="28"/>
  <c r="J660" i="28"/>
  <c r="J637" i="28"/>
  <c r="J714" i="28"/>
  <c r="J652" i="28"/>
  <c r="J629" i="28"/>
  <c r="J799" i="28"/>
  <c r="J794" i="28"/>
  <c r="J786" i="28"/>
  <c r="J768" i="28"/>
  <c r="J748" i="28"/>
  <c r="J705" i="28"/>
  <c r="J700" i="28"/>
  <c r="J680" i="28"/>
  <c r="J656" i="28"/>
  <c r="J642" i="28"/>
  <c r="J625" i="28"/>
  <c r="J791" i="28"/>
  <c r="J770" i="28"/>
  <c r="J750" i="28"/>
  <c r="J727" i="28"/>
  <c r="J712" i="28"/>
  <c r="J689" i="28"/>
  <c r="J684" i="28"/>
  <c r="J677" i="28"/>
  <c r="J672" i="28"/>
  <c r="J653" i="28"/>
  <c r="J644" i="28"/>
  <c r="J632" i="28"/>
  <c r="J783" i="28"/>
  <c r="J798" i="28"/>
  <c r="J793" i="28"/>
  <c r="J744" i="28"/>
  <c r="J704" i="28"/>
  <c r="J665" i="28"/>
  <c r="J655" i="28"/>
  <c r="J646" i="28"/>
  <c r="J641" i="28"/>
  <c r="J624" i="28"/>
  <c r="J778" i="28"/>
  <c r="J790" i="28"/>
  <c r="J782" i="28"/>
  <c r="J800" i="28"/>
  <c r="J688" i="28"/>
  <c r="J676" i="28"/>
  <c r="J662" i="28"/>
  <c r="J657" i="28"/>
  <c r="J621" i="28"/>
  <c r="J806" i="28"/>
  <c r="J784" i="28"/>
  <c r="J766" i="28"/>
  <c r="J761" i="28"/>
  <c r="J731" i="28"/>
  <c r="J726" i="28"/>
  <c r="J716" i="28"/>
  <c r="J668" i="28"/>
  <c r="J664" i="28"/>
  <c r="J640" i="28"/>
  <c r="J623" i="28"/>
  <c r="J807" i="28"/>
  <c r="J814" i="28"/>
  <c r="J809" i="28"/>
  <c r="J775" i="28"/>
  <c r="J816" i="28"/>
  <c r="J777" i="28"/>
  <c r="J774" i="28"/>
  <c r="J818" i="28"/>
  <c r="J815" i="28"/>
  <c r="J810" i="28"/>
  <c r="J802" i="28"/>
  <c r="J817" i="28"/>
  <c r="J808" i="28"/>
  <c r="J801" i="28"/>
  <c r="J792" i="28"/>
  <c r="J785" i="28"/>
  <c r="J776" i="28"/>
  <c r="J769" i="28"/>
  <c r="J760" i="28"/>
  <c r="J749" i="28"/>
  <c r="J706" i="28"/>
  <c r="J699" i="28"/>
  <c r="J690" i="28"/>
  <c r="J671" i="28"/>
  <c r="J658" i="28"/>
  <c r="J639" i="28"/>
  <c r="J622" i="28"/>
  <c r="J618" i="28"/>
  <c r="J803" i="28"/>
  <c r="J787" i="28"/>
  <c r="J771" i="28"/>
  <c r="J759" i="28"/>
  <c r="J753" i="28"/>
  <c r="J741" i="28"/>
  <c r="J729" i="28"/>
  <c r="J717" i="28"/>
  <c r="J701" i="28"/>
  <c r="J685" i="28"/>
  <c r="J675" i="28"/>
  <c r="J667" i="28"/>
  <c r="J654" i="28"/>
  <c r="J819" i="28"/>
  <c r="J812" i="28"/>
  <c r="J805" i="28"/>
  <c r="J796" i="28"/>
  <c r="J789" i="28"/>
  <c r="J780" i="28"/>
  <c r="J773" i="28"/>
  <c r="J764" i="28"/>
  <c r="J757" i="28"/>
  <c r="J710" i="28"/>
  <c r="J694" i="28"/>
  <c r="J663" i="28"/>
  <c r="J650" i="28"/>
  <c r="J631" i="28"/>
  <c r="J763" i="28"/>
  <c r="J659" i="28"/>
  <c r="J627" i="28"/>
  <c r="J707" i="28"/>
  <c r="J698" i="28"/>
  <c r="J811" i="28"/>
  <c r="J795" i="28"/>
  <c r="J779" i="28"/>
  <c r="J767" i="28"/>
  <c r="J752" i="28"/>
  <c r="J747" i="28"/>
  <c r="J733" i="28"/>
  <c r="J720" i="28"/>
  <c r="J709" i="28"/>
  <c r="J693" i="28"/>
  <c r="J682" i="28"/>
  <c r="J678" i="28"/>
  <c r="J674" i="28"/>
  <c r="J670" i="28"/>
  <c r="J651" i="28"/>
  <c r="J638" i="28"/>
  <c r="J813" i="28"/>
  <c r="J804" i="28"/>
  <c r="J797" i="28"/>
  <c r="J788" i="28"/>
  <c r="J781" i="28"/>
  <c r="J772" i="28"/>
  <c r="J765" i="28"/>
  <c r="J756" i="28"/>
  <c r="J751" i="28"/>
  <c r="J745" i="28"/>
  <c r="J740" i="28"/>
  <c r="J732" i="28"/>
  <c r="J711" i="28"/>
  <c r="J702" i="28"/>
  <c r="J695" i="28"/>
  <c r="J686" i="28"/>
  <c r="J666" i="28"/>
  <c r="J647" i="28"/>
  <c r="J634" i="28"/>
  <c r="J743" i="28"/>
  <c r="J737" i="28"/>
  <c r="J735" i="28"/>
  <c r="J718" i="28"/>
  <c r="J703" i="28"/>
  <c r="J746" i="28"/>
  <c r="J739" i="28"/>
  <c r="J722" i="28"/>
  <c r="J730" i="28"/>
  <c r="J715" i="28"/>
  <c r="J742" i="28"/>
  <c r="J734" i="28"/>
  <c r="J721" i="28"/>
  <c r="J719" i="28"/>
  <c r="J687" i="28"/>
  <c r="J683" i="28"/>
  <c r="J738" i="28"/>
  <c r="J725" i="28"/>
  <c r="J723" i="28"/>
  <c r="J691" i="28"/>
  <c r="J679" i="28"/>
  <c r="A202" i="27"/>
  <c r="B202" i="27"/>
  <c r="D202" i="27"/>
  <c r="F202" i="27"/>
  <c r="G202" i="27"/>
  <c r="H202" i="27"/>
  <c r="E202" i="27" s="1"/>
  <c r="I202" i="27"/>
  <c r="J202" i="27"/>
  <c r="A203" i="27"/>
  <c r="B203" i="27"/>
  <c r="D203" i="27"/>
  <c r="F203" i="27"/>
  <c r="G203" i="27"/>
  <c r="H203" i="27"/>
  <c r="E203" i="27" s="1"/>
  <c r="I203" i="27"/>
  <c r="J203" i="27"/>
  <c r="A204" i="27"/>
  <c r="B204" i="27"/>
  <c r="D204" i="27"/>
  <c r="E204" i="27"/>
  <c r="F204" i="27"/>
  <c r="G204" i="27"/>
  <c r="H204" i="27"/>
  <c r="I204" i="27"/>
  <c r="J204" i="27"/>
  <c r="A205" i="27"/>
  <c r="B205" i="27"/>
  <c r="D205" i="27"/>
  <c r="F205" i="27"/>
  <c r="G205" i="27"/>
  <c r="H205" i="27"/>
  <c r="E205" i="27" s="1"/>
  <c r="I205" i="27"/>
  <c r="J205" i="27"/>
  <c r="A206" i="27"/>
  <c r="B206" i="27"/>
  <c r="D206" i="27"/>
  <c r="F206" i="27"/>
  <c r="G206" i="27"/>
  <c r="H206" i="27"/>
  <c r="E206" i="27" s="1"/>
  <c r="I206" i="27"/>
  <c r="J206" i="27"/>
  <c r="A207" i="27"/>
  <c r="B207" i="27"/>
  <c r="D207" i="27"/>
  <c r="F207" i="27"/>
  <c r="G207" i="27"/>
  <c r="H207" i="27"/>
  <c r="E207" i="27" s="1"/>
  <c r="I207" i="27"/>
  <c r="J207" i="27"/>
  <c r="A197" i="27"/>
  <c r="B197" i="27"/>
  <c r="D197" i="27"/>
  <c r="F197" i="27"/>
  <c r="G197" i="27"/>
  <c r="H197" i="27"/>
  <c r="E197" i="27" s="1"/>
  <c r="I197" i="27"/>
  <c r="J197" i="27"/>
  <c r="A198" i="27"/>
  <c r="B198" i="27"/>
  <c r="D198" i="27"/>
  <c r="F198" i="27"/>
  <c r="G198" i="27"/>
  <c r="H198" i="27"/>
  <c r="E198" i="27" s="1"/>
  <c r="I198" i="27"/>
  <c r="J198" i="27"/>
  <c r="A199" i="27"/>
  <c r="B199" i="27"/>
  <c r="D199" i="27"/>
  <c r="F199" i="27"/>
  <c r="G199" i="27"/>
  <c r="H199" i="27"/>
  <c r="E199" i="27" s="1"/>
  <c r="I199" i="27"/>
  <c r="J199" i="27"/>
  <c r="A200" i="27"/>
  <c r="B200" i="27"/>
  <c r="D200" i="27"/>
  <c r="F200" i="27"/>
  <c r="G200" i="27"/>
  <c r="H200" i="27"/>
  <c r="E200" i="27" s="1"/>
  <c r="I200" i="27"/>
  <c r="J200" i="27"/>
  <c r="A201" i="27"/>
  <c r="B201" i="27"/>
  <c r="D201" i="27"/>
  <c r="F201" i="27"/>
  <c r="G201" i="27"/>
  <c r="H201" i="27"/>
  <c r="E201" i="27" s="1"/>
  <c r="I201" i="27"/>
  <c r="J201" i="27"/>
  <c r="G67" i="27"/>
  <c r="G68" i="27"/>
  <c r="G69" i="27"/>
  <c r="G70" i="27"/>
  <c r="G71" i="27"/>
  <c r="G72" i="27"/>
  <c r="G73" i="27"/>
  <c r="G74" i="27"/>
  <c r="G75" i="27"/>
  <c r="G76" i="27"/>
  <c r="G77" i="27"/>
  <c r="G78" i="27"/>
  <c r="G79" i="27"/>
  <c r="G80" i="27"/>
  <c r="G81" i="27"/>
  <c r="G82" i="27"/>
  <c r="G83" i="27"/>
  <c r="G84" i="27"/>
  <c r="G85" i="27"/>
  <c r="G86" i="27"/>
  <c r="G87" i="27"/>
  <c r="G88" i="27"/>
  <c r="G89" i="27"/>
  <c r="G90" i="27"/>
  <c r="G91" i="27"/>
  <c r="G92" i="27"/>
  <c r="G93" i="27"/>
  <c r="G94" i="27"/>
  <c r="G95" i="27"/>
  <c r="G96" i="27"/>
  <c r="G97" i="27"/>
  <c r="G98" i="27"/>
  <c r="G99" i="27"/>
  <c r="G100" i="27"/>
  <c r="G101" i="27"/>
  <c r="G102" i="27"/>
  <c r="G103" i="27"/>
  <c r="G104" i="27"/>
  <c r="G105" i="27"/>
  <c r="G106" i="27"/>
  <c r="G107" i="27"/>
  <c r="G108" i="27"/>
  <c r="G109" i="27"/>
  <c r="G110" i="27"/>
  <c r="G111" i="27"/>
  <c r="G112" i="27"/>
  <c r="G113" i="27"/>
  <c r="G114" i="27"/>
  <c r="G115" i="27"/>
  <c r="G116" i="27"/>
  <c r="G117" i="27"/>
  <c r="G118" i="27"/>
  <c r="G119" i="27"/>
  <c r="G120" i="27"/>
  <c r="G121" i="27"/>
  <c r="G122" i="27"/>
  <c r="G123" i="27"/>
  <c r="G124" i="27"/>
  <c r="G125" i="27"/>
  <c r="G126" i="27"/>
  <c r="G127" i="27"/>
  <c r="G128" i="27"/>
  <c r="G129" i="27"/>
  <c r="G130" i="27"/>
  <c r="G131" i="27"/>
  <c r="G132" i="27"/>
  <c r="G133" i="27"/>
  <c r="G134" i="27"/>
  <c r="G135" i="27"/>
  <c r="G136" i="27"/>
  <c r="G137" i="27"/>
  <c r="G138" i="27"/>
  <c r="G139" i="27"/>
  <c r="G140" i="27"/>
  <c r="G141" i="27"/>
  <c r="G142" i="27"/>
  <c r="G143" i="27"/>
  <c r="G144" i="27"/>
  <c r="G145" i="27"/>
  <c r="G146" i="27"/>
  <c r="G147" i="27"/>
  <c r="G148" i="27"/>
  <c r="G149" i="27"/>
  <c r="G150" i="27"/>
  <c r="G151" i="27"/>
  <c r="G152" i="27"/>
  <c r="G153" i="27"/>
  <c r="G154" i="27"/>
  <c r="G155" i="27"/>
  <c r="G156" i="27"/>
  <c r="G157" i="27"/>
  <c r="G158" i="27"/>
  <c r="G159" i="27"/>
  <c r="G160" i="27"/>
  <c r="G161" i="27"/>
  <c r="G162" i="27"/>
  <c r="G163" i="27"/>
  <c r="G164" i="27"/>
  <c r="G165" i="27"/>
  <c r="G166" i="27"/>
  <c r="G167" i="27"/>
  <c r="G168" i="27"/>
  <c r="G169" i="27"/>
  <c r="G170" i="27"/>
  <c r="G171" i="27"/>
  <c r="G172" i="27"/>
  <c r="G173" i="27"/>
  <c r="G174" i="27"/>
  <c r="G175" i="27"/>
  <c r="G176" i="27"/>
  <c r="G177" i="27"/>
  <c r="G178" i="27"/>
  <c r="G179" i="27"/>
  <c r="G180" i="27"/>
  <c r="G181" i="27"/>
  <c r="G182" i="27"/>
  <c r="G183" i="27"/>
  <c r="G184" i="27"/>
  <c r="G185" i="27"/>
  <c r="G186" i="27"/>
  <c r="G187" i="27"/>
  <c r="G188" i="27"/>
  <c r="G189" i="27"/>
  <c r="G190" i="27"/>
  <c r="G191" i="27"/>
  <c r="G192" i="27"/>
  <c r="G193" i="27"/>
  <c r="G194" i="27"/>
  <c r="G195" i="27"/>
  <c r="G196" i="27"/>
  <c r="G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I3" i="28"/>
  <c r="I4" i="28"/>
  <c r="I5" i="28"/>
  <c r="I6" i="28"/>
  <c r="I7" i="28"/>
  <c r="I8" i="28"/>
  <c r="I9" i="28"/>
  <c r="I10" i="28"/>
  <c r="I11" i="28"/>
  <c r="I12" i="28"/>
  <c r="I13" i="28"/>
  <c r="I14" i="28"/>
  <c r="I15" i="28"/>
  <c r="I16" i="28"/>
  <c r="I17" i="28"/>
  <c r="I18" i="28"/>
  <c r="I19" i="28"/>
  <c r="I20" i="28"/>
  <c r="I21" i="28"/>
  <c r="I22" i="28"/>
  <c r="I23" i="28"/>
  <c r="I24" i="28"/>
  <c r="I25" i="28"/>
  <c r="I26" i="28"/>
  <c r="I27" i="28"/>
  <c r="I28" i="28"/>
  <c r="I29" i="28"/>
  <c r="I30" i="28"/>
  <c r="I31" i="28"/>
  <c r="I32" i="28"/>
  <c r="I33" i="28"/>
  <c r="I34" i="28"/>
  <c r="I35" i="28"/>
  <c r="I36" i="28"/>
  <c r="I37" i="28"/>
  <c r="I38" i="28"/>
  <c r="I39" i="28"/>
  <c r="I40" i="28"/>
  <c r="I41" i="28"/>
  <c r="I42" i="28"/>
  <c r="I43" i="28"/>
  <c r="I44" i="28"/>
  <c r="I45" i="28"/>
  <c r="I46" i="28"/>
  <c r="I47" i="28"/>
  <c r="I48"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I75" i="28"/>
  <c r="I76" i="28"/>
  <c r="I77" i="28"/>
  <c r="I78" i="28"/>
  <c r="I79" i="28"/>
  <c r="I80" i="28"/>
  <c r="I81" i="28"/>
  <c r="I82" i="28"/>
  <c r="I83" i="28"/>
  <c r="I84" i="28"/>
  <c r="I85" i="28"/>
  <c r="I86" i="28"/>
  <c r="I87" i="28"/>
  <c r="I88" i="28"/>
  <c r="I89" i="28"/>
  <c r="I90" i="28"/>
  <c r="I91" i="28"/>
  <c r="I92" i="28"/>
  <c r="I93" i="28"/>
  <c r="I94" i="28"/>
  <c r="I95" i="28"/>
  <c r="I96" i="28"/>
  <c r="I97" i="28"/>
  <c r="I98" i="28"/>
  <c r="I99" i="28"/>
  <c r="I100" i="28"/>
  <c r="I101" i="28"/>
  <c r="I102" i="28"/>
  <c r="I103" i="28"/>
  <c r="I104" i="28"/>
  <c r="I105" i="28"/>
  <c r="I106" i="28"/>
  <c r="I107" i="28"/>
  <c r="I108" i="28"/>
  <c r="I109" i="28"/>
  <c r="I110" i="28"/>
  <c r="I111" i="28"/>
  <c r="I112" i="28"/>
  <c r="I113" i="28"/>
  <c r="I114" i="28"/>
  <c r="I115" i="28"/>
  <c r="I116" i="28"/>
  <c r="I117" i="28"/>
  <c r="I118" i="28"/>
  <c r="I119" i="28"/>
  <c r="I120" i="28"/>
  <c r="I121" i="28"/>
  <c r="I122" i="28"/>
  <c r="I123" i="28"/>
  <c r="I124" i="28"/>
  <c r="I125" i="28"/>
  <c r="I126" i="28"/>
  <c r="I127" i="28"/>
  <c r="I128" i="28"/>
  <c r="I129" i="28"/>
  <c r="I130" i="28"/>
  <c r="I131" i="28"/>
  <c r="I132" i="28"/>
  <c r="I133" i="28"/>
  <c r="I134" i="28"/>
  <c r="I135" i="28"/>
  <c r="I136" i="28"/>
  <c r="I137" i="28"/>
  <c r="I138" i="28"/>
  <c r="I139" i="28"/>
  <c r="I140" i="28"/>
  <c r="I141" i="28"/>
  <c r="I142" i="28"/>
  <c r="I143" i="28"/>
  <c r="I144" i="28"/>
  <c r="I145" i="28"/>
  <c r="I146" i="28"/>
  <c r="I147" i="28"/>
  <c r="I148" i="28"/>
  <c r="I149" i="28"/>
  <c r="I150" i="28"/>
  <c r="I151" i="28"/>
  <c r="I152" i="28"/>
  <c r="I153" i="28"/>
  <c r="I154" i="28"/>
  <c r="I155" i="28"/>
  <c r="I156" i="28"/>
  <c r="I157" i="28"/>
  <c r="I158" i="28"/>
  <c r="I159" i="28"/>
  <c r="I160" i="28"/>
  <c r="I161" i="28"/>
  <c r="I162" i="28"/>
  <c r="I163" i="28"/>
  <c r="I164" i="28"/>
  <c r="I165" i="28"/>
  <c r="I166" i="28"/>
  <c r="I167" i="28"/>
  <c r="I168" i="28"/>
  <c r="I169" i="28"/>
  <c r="I170" i="28"/>
  <c r="I171" i="28"/>
  <c r="I172" i="28"/>
  <c r="I173" i="28"/>
  <c r="I174" i="28"/>
  <c r="I175" i="28"/>
  <c r="I176" i="28"/>
  <c r="I177" i="28"/>
  <c r="I178" i="28"/>
  <c r="I179" i="28"/>
  <c r="I180" i="28"/>
  <c r="I181" i="28"/>
  <c r="I182" i="28"/>
  <c r="I183" i="28"/>
  <c r="I184" i="28"/>
  <c r="I185" i="28"/>
  <c r="I186" i="28"/>
  <c r="I187" i="28"/>
  <c r="I188" i="28"/>
  <c r="I189" i="28"/>
  <c r="I190" i="28"/>
  <c r="I191" i="28"/>
  <c r="I192" i="28"/>
  <c r="I193" i="28"/>
  <c r="I194" i="28"/>
  <c r="I195" i="28"/>
  <c r="I196" i="28"/>
  <c r="I197" i="28"/>
  <c r="I198" i="28"/>
  <c r="I199" i="28"/>
  <c r="I200" i="28"/>
  <c r="I201" i="28"/>
  <c r="I202" i="28"/>
  <c r="I203" i="28"/>
  <c r="I204" i="28"/>
  <c r="I205" i="28"/>
  <c r="I206" i="28"/>
  <c r="I207" i="28"/>
  <c r="I208" i="28"/>
  <c r="I209" i="28"/>
  <c r="I210" i="28"/>
  <c r="I211" i="28"/>
  <c r="I212" i="28"/>
  <c r="I213" i="28"/>
  <c r="I214" i="28"/>
  <c r="I215" i="28"/>
  <c r="I216" i="28"/>
  <c r="I217" i="28"/>
  <c r="I218" i="28"/>
  <c r="I219" i="28"/>
  <c r="I220" i="28"/>
  <c r="I221" i="28"/>
  <c r="I222" i="28"/>
  <c r="I223" i="28"/>
  <c r="I224" i="28"/>
  <c r="I225" i="28"/>
  <c r="I226" i="28"/>
  <c r="I227" i="28"/>
  <c r="I228" i="28"/>
  <c r="I229" i="28"/>
  <c r="I230" i="28"/>
  <c r="I231" i="28"/>
  <c r="I232" i="28"/>
  <c r="I233" i="28"/>
  <c r="I234" i="28"/>
  <c r="I235" i="28"/>
  <c r="I236" i="28"/>
  <c r="I237" i="28"/>
  <c r="I238" i="28"/>
  <c r="I239" i="28"/>
  <c r="I240" i="28"/>
  <c r="I241" i="28"/>
  <c r="I242" i="28"/>
  <c r="I243" i="28"/>
  <c r="I244" i="28"/>
  <c r="I245" i="28"/>
  <c r="I246" i="28"/>
  <c r="I247" i="28"/>
  <c r="I248" i="28"/>
  <c r="I249" i="28"/>
  <c r="I250" i="28"/>
  <c r="I251" i="28"/>
  <c r="I252" i="28"/>
  <c r="I253" i="28"/>
  <c r="I254" i="28"/>
  <c r="I255" i="28"/>
  <c r="I256" i="28"/>
  <c r="I257" i="28"/>
  <c r="I258" i="28"/>
  <c r="I259" i="28"/>
  <c r="I260" i="28"/>
  <c r="I261" i="28"/>
  <c r="I262" i="28"/>
  <c r="I263" i="28"/>
  <c r="I264" i="28"/>
  <c r="I265" i="28"/>
  <c r="I266" i="28"/>
  <c r="I267" i="28"/>
  <c r="I268" i="28"/>
  <c r="I269" i="28"/>
  <c r="I270" i="28"/>
  <c r="I271" i="28"/>
  <c r="I272" i="28"/>
  <c r="I273" i="28"/>
  <c r="I274" i="28"/>
  <c r="I275" i="28"/>
  <c r="I276" i="28"/>
  <c r="I277" i="28"/>
  <c r="I278" i="28"/>
  <c r="I279" i="28"/>
  <c r="I280" i="28"/>
  <c r="I281" i="28"/>
  <c r="I282" i="28"/>
  <c r="I283" i="28"/>
  <c r="I284" i="28"/>
  <c r="I285" i="28"/>
  <c r="I286" i="28"/>
  <c r="I287" i="28"/>
  <c r="I288" i="28"/>
  <c r="I289" i="28"/>
  <c r="I290" i="28"/>
  <c r="I291" i="28"/>
  <c r="I292" i="28"/>
  <c r="I293" i="28"/>
  <c r="I294" i="28"/>
  <c r="I295" i="28"/>
  <c r="I296" i="28"/>
  <c r="I297" i="28"/>
  <c r="I298" i="28"/>
  <c r="I299" i="28"/>
  <c r="I300" i="28"/>
  <c r="I301" i="28"/>
  <c r="I302" i="28"/>
  <c r="I303" i="28"/>
  <c r="I304" i="28"/>
  <c r="I305" i="28"/>
  <c r="I306" i="28"/>
  <c r="I307" i="28"/>
  <c r="I308" i="28"/>
  <c r="I309" i="28"/>
  <c r="I310" i="28"/>
  <c r="I311" i="28"/>
  <c r="I312" i="28"/>
  <c r="I313" i="28"/>
  <c r="I314" i="28"/>
  <c r="I315" i="28"/>
  <c r="I316" i="28"/>
  <c r="I317" i="28"/>
  <c r="I318" i="28"/>
  <c r="I319" i="28"/>
  <c r="I320" i="28"/>
  <c r="I321" i="28"/>
  <c r="I322" i="28"/>
  <c r="I323" i="28"/>
  <c r="I324" i="28"/>
  <c r="I325" i="28"/>
  <c r="I326" i="28"/>
  <c r="I327" i="28"/>
  <c r="I328" i="28"/>
  <c r="I329" i="28"/>
  <c r="I330" i="28"/>
  <c r="I331" i="28"/>
  <c r="I332" i="28"/>
  <c r="I333" i="28"/>
  <c r="I334" i="28"/>
  <c r="I335" i="28"/>
  <c r="I336" i="28"/>
  <c r="I337" i="28"/>
  <c r="I338" i="28"/>
  <c r="I339" i="28"/>
  <c r="I340" i="28"/>
  <c r="I341" i="28"/>
  <c r="I342" i="28"/>
  <c r="I343" i="28"/>
  <c r="I344" i="28"/>
  <c r="I345" i="28"/>
  <c r="I346" i="28"/>
  <c r="I347" i="28"/>
  <c r="I348" i="28"/>
  <c r="I349" i="28"/>
  <c r="I350" i="28"/>
  <c r="I351" i="28"/>
  <c r="I352" i="28"/>
  <c r="I353" i="28"/>
  <c r="I354" i="28"/>
  <c r="I355" i="28"/>
  <c r="I356" i="28"/>
  <c r="I357" i="28"/>
  <c r="I358" i="28"/>
  <c r="I359" i="28"/>
  <c r="I360" i="28"/>
  <c r="I361" i="28"/>
  <c r="I362" i="28"/>
  <c r="I363" i="28"/>
  <c r="I364" i="28"/>
  <c r="I365" i="28"/>
  <c r="I366" i="28"/>
  <c r="I367" i="28"/>
  <c r="I368" i="28"/>
  <c r="I369" i="28"/>
  <c r="I370" i="28"/>
  <c r="I371" i="28"/>
  <c r="I372" i="28"/>
  <c r="I373" i="28"/>
  <c r="I374" i="28"/>
  <c r="I375" i="28"/>
  <c r="I376" i="28"/>
  <c r="I377" i="28"/>
  <c r="I378" i="28"/>
  <c r="I379" i="28"/>
  <c r="I380" i="28"/>
  <c r="I381" i="28"/>
  <c r="I382" i="28"/>
  <c r="I383" i="28"/>
  <c r="I384" i="28"/>
  <c r="I385" i="28"/>
  <c r="I386" i="28"/>
  <c r="I387" i="28"/>
  <c r="I388" i="28"/>
  <c r="I389" i="28"/>
  <c r="I390" i="28"/>
  <c r="I391" i="28"/>
  <c r="I392" i="28"/>
  <c r="I393" i="28"/>
  <c r="I394" i="28"/>
  <c r="I395" i="28"/>
  <c r="I396" i="28"/>
  <c r="I397" i="28"/>
  <c r="I398" i="28"/>
  <c r="I399" i="28"/>
  <c r="I400" i="28"/>
  <c r="I401" i="28"/>
  <c r="I402" i="28"/>
  <c r="I403" i="28"/>
  <c r="I404" i="28"/>
  <c r="I405" i="28"/>
  <c r="I406" i="28"/>
  <c r="I407" i="28"/>
  <c r="I408" i="28"/>
  <c r="I409" i="28"/>
  <c r="I410" i="28"/>
  <c r="I411" i="28"/>
  <c r="I412" i="28"/>
  <c r="I413" i="28"/>
  <c r="I414" i="28"/>
  <c r="I415" i="28"/>
  <c r="I416" i="28"/>
  <c r="I417" i="28"/>
  <c r="I418" i="28"/>
  <c r="I419" i="28"/>
  <c r="I420" i="28"/>
  <c r="I421" i="28"/>
  <c r="I422" i="28"/>
  <c r="I423" i="28"/>
  <c r="I424" i="28"/>
  <c r="I425" i="28"/>
  <c r="I426" i="28"/>
  <c r="I427" i="28"/>
  <c r="I428" i="28"/>
  <c r="I429" i="28"/>
  <c r="I430" i="28"/>
  <c r="I431" i="28"/>
  <c r="I432" i="28"/>
  <c r="I433" i="28"/>
  <c r="I434" i="28"/>
  <c r="I435" i="28"/>
  <c r="I436" i="28"/>
  <c r="I437" i="28"/>
  <c r="I438" i="28"/>
  <c r="I439" i="28"/>
  <c r="I440" i="28"/>
  <c r="I441" i="28"/>
  <c r="I442" i="28"/>
  <c r="I443" i="28"/>
  <c r="I444" i="28"/>
  <c r="I445" i="28"/>
  <c r="I446" i="28"/>
  <c r="I447" i="28"/>
  <c r="I448" i="28"/>
  <c r="I449" i="28"/>
  <c r="I450" i="28"/>
  <c r="I451" i="28"/>
  <c r="I452" i="28"/>
  <c r="I453" i="28"/>
  <c r="I454" i="28"/>
  <c r="I455" i="28"/>
  <c r="I456" i="28"/>
  <c r="I457" i="28"/>
  <c r="I458" i="28"/>
  <c r="I459" i="28"/>
  <c r="I460" i="28"/>
  <c r="I461" i="28"/>
  <c r="I462" i="28"/>
  <c r="I463" i="28"/>
  <c r="I464" i="28"/>
  <c r="I465" i="28"/>
  <c r="I466" i="28"/>
  <c r="I467" i="28"/>
  <c r="I468" i="28"/>
  <c r="I469" i="28"/>
  <c r="I470" i="28"/>
  <c r="I471" i="28"/>
  <c r="I472" i="28"/>
  <c r="I473" i="28"/>
  <c r="I474" i="28"/>
  <c r="I475" i="28"/>
  <c r="I476" i="28"/>
  <c r="I477" i="28"/>
  <c r="I478" i="28"/>
  <c r="I479" i="28"/>
  <c r="I480" i="28"/>
  <c r="I481" i="28"/>
  <c r="I482" i="28"/>
  <c r="I483" i="28"/>
  <c r="I484" i="28"/>
  <c r="I485" i="28"/>
  <c r="I486" i="28"/>
  <c r="I487" i="28"/>
  <c r="I488" i="28"/>
  <c r="I489" i="28"/>
  <c r="I490" i="28"/>
  <c r="I491" i="28"/>
  <c r="I492" i="28"/>
  <c r="I493" i="28"/>
  <c r="I494" i="28"/>
  <c r="I495" i="28"/>
  <c r="I496" i="28"/>
  <c r="I497" i="28"/>
  <c r="I498" i="28"/>
  <c r="I499" i="28"/>
  <c r="I500" i="28"/>
  <c r="I501" i="28"/>
  <c r="I502" i="28"/>
  <c r="I503" i="28"/>
  <c r="I504" i="28"/>
  <c r="I505" i="28"/>
  <c r="I506" i="28"/>
  <c r="I507" i="28"/>
  <c r="I508" i="28"/>
  <c r="I509" i="28"/>
  <c r="I510" i="28"/>
  <c r="I511" i="28"/>
  <c r="I512" i="28"/>
  <c r="I513" i="28"/>
  <c r="I514" i="28"/>
  <c r="I515" i="28"/>
  <c r="I516" i="28"/>
  <c r="I517" i="28"/>
  <c r="I518" i="28"/>
  <c r="I519" i="28"/>
  <c r="I520" i="28"/>
  <c r="I521" i="28"/>
  <c r="I522" i="28"/>
  <c r="I523" i="28"/>
  <c r="I524" i="28"/>
  <c r="I525" i="28"/>
  <c r="I526" i="28"/>
  <c r="I527" i="28"/>
  <c r="I528" i="28"/>
  <c r="I529" i="28"/>
  <c r="I530" i="28"/>
  <c r="I531" i="28"/>
  <c r="I532" i="28"/>
  <c r="I533" i="28"/>
  <c r="I534" i="28"/>
  <c r="I535" i="28"/>
  <c r="I536" i="28"/>
  <c r="I537" i="28"/>
  <c r="I538" i="28"/>
  <c r="I539" i="28"/>
  <c r="I540" i="28"/>
  <c r="I541" i="28"/>
  <c r="I542" i="28"/>
  <c r="I543" i="28"/>
  <c r="I544" i="28"/>
  <c r="I545" i="28"/>
  <c r="I546" i="28"/>
  <c r="I547" i="28"/>
  <c r="I548" i="28"/>
  <c r="I549" i="28"/>
  <c r="I550" i="28"/>
  <c r="I551" i="28"/>
  <c r="I552" i="28"/>
  <c r="I553" i="28"/>
  <c r="I554" i="28"/>
  <c r="I555" i="28"/>
  <c r="I556" i="28"/>
  <c r="I557" i="28"/>
  <c r="I558" i="28"/>
  <c r="I559" i="28"/>
  <c r="I560" i="28"/>
  <c r="I561" i="28"/>
  <c r="I562" i="28"/>
  <c r="I563" i="28"/>
  <c r="I564" i="28"/>
  <c r="I565" i="28"/>
  <c r="I566" i="28"/>
  <c r="I567" i="28"/>
  <c r="I568" i="28"/>
  <c r="I569" i="28"/>
  <c r="I570" i="28"/>
  <c r="I571" i="28"/>
  <c r="I572" i="28"/>
  <c r="I573" i="28"/>
  <c r="I574" i="28"/>
  <c r="I575" i="28"/>
  <c r="I576" i="28"/>
  <c r="I577" i="28"/>
  <c r="I578" i="28"/>
  <c r="I579" i="28"/>
  <c r="I580" i="28"/>
  <c r="I581" i="28"/>
  <c r="I582" i="28"/>
  <c r="I583" i="28"/>
  <c r="I584" i="28"/>
  <c r="I585" i="28"/>
  <c r="I586" i="28"/>
  <c r="I587" i="28"/>
  <c r="I588" i="28"/>
  <c r="I589" i="28"/>
  <c r="I590" i="28"/>
  <c r="I591" i="28"/>
  <c r="I592" i="28"/>
  <c r="I593" i="28"/>
  <c r="I594" i="28"/>
  <c r="I595" i="28"/>
  <c r="I596" i="28"/>
  <c r="I597" i="28"/>
  <c r="I598" i="28"/>
  <c r="I599" i="28"/>
  <c r="I600" i="28"/>
  <c r="I601" i="28"/>
  <c r="I602" i="28"/>
  <c r="I603" i="28"/>
  <c r="I604" i="28"/>
  <c r="I605" i="28"/>
  <c r="I606" i="28"/>
  <c r="I607" i="28"/>
  <c r="I608" i="28"/>
  <c r="I609" i="28"/>
  <c r="I610" i="28"/>
  <c r="I611" i="28"/>
  <c r="I612" i="28"/>
  <c r="I613" i="28"/>
  <c r="I614" i="28"/>
  <c r="I615" i="28"/>
  <c r="I616" i="28"/>
  <c r="I617" i="28"/>
  <c r="I2" i="28"/>
  <c r="C198" i="27"/>
  <c r="C202" i="27"/>
  <c r="C200" i="27"/>
  <c r="C199" i="27"/>
  <c r="C205" i="27"/>
  <c r="C203" i="27"/>
  <c r="C204" i="27"/>
  <c r="C197" i="27"/>
  <c r="C207" i="27"/>
  <c r="C201" i="27"/>
  <c r="C206" i="27"/>
  <c r="M11" i="28" l="1"/>
  <c r="N11" i="28" s="1"/>
  <c r="G3" i="28"/>
  <c r="H3" i="28"/>
  <c r="G4" i="28"/>
  <c r="H4" i="28"/>
  <c r="G5" i="28"/>
  <c r="H5" i="28"/>
  <c r="G6" i="28"/>
  <c r="H6" i="28"/>
  <c r="G7" i="28"/>
  <c r="H7" i="28"/>
  <c r="G8" i="28"/>
  <c r="H8" i="28"/>
  <c r="G9" i="28"/>
  <c r="H9" i="28"/>
  <c r="G10" i="28"/>
  <c r="H10" i="28"/>
  <c r="G11" i="28"/>
  <c r="H11" i="28"/>
  <c r="G12" i="28"/>
  <c r="H12" i="28"/>
  <c r="G13" i="28"/>
  <c r="H13" i="28"/>
  <c r="G14" i="28"/>
  <c r="H14" i="28"/>
  <c r="G15" i="28"/>
  <c r="H15" i="28"/>
  <c r="G16" i="28"/>
  <c r="H16" i="28"/>
  <c r="G17" i="28"/>
  <c r="H17" i="28"/>
  <c r="G18" i="28"/>
  <c r="H18" i="28"/>
  <c r="G19" i="28"/>
  <c r="H19" i="28"/>
  <c r="G20" i="28"/>
  <c r="H20" i="28"/>
  <c r="G21" i="28"/>
  <c r="H21" i="28"/>
  <c r="G22" i="28"/>
  <c r="H22" i="28"/>
  <c r="G23" i="28"/>
  <c r="H23" i="28"/>
  <c r="G24" i="28"/>
  <c r="H24" i="28"/>
  <c r="G25" i="28"/>
  <c r="H25" i="28"/>
  <c r="G26" i="28"/>
  <c r="H26" i="28"/>
  <c r="G27" i="28"/>
  <c r="H27" i="28"/>
  <c r="G28" i="28"/>
  <c r="H28" i="28"/>
  <c r="G29" i="28"/>
  <c r="H29" i="28"/>
  <c r="G30" i="28"/>
  <c r="H30" i="28"/>
  <c r="G31" i="28"/>
  <c r="H31" i="28"/>
  <c r="G32" i="28"/>
  <c r="H32" i="28"/>
  <c r="G33" i="28"/>
  <c r="H33" i="28"/>
  <c r="G34" i="28"/>
  <c r="H34" i="28"/>
  <c r="G35" i="28"/>
  <c r="H35" i="28"/>
  <c r="G36" i="28"/>
  <c r="H36" i="28"/>
  <c r="G37" i="28"/>
  <c r="H37" i="28"/>
  <c r="G38" i="28"/>
  <c r="H38" i="28"/>
  <c r="G39" i="28"/>
  <c r="H39" i="28"/>
  <c r="G40" i="28"/>
  <c r="H40" i="28"/>
  <c r="G41" i="28"/>
  <c r="H41" i="28"/>
  <c r="G42" i="28"/>
  <c r="H42" i="28"/>
  <c r="G43" i="28"/>
  <c r="H43" i="28"/>
  <c r="G44" i="28"/>
  <c r="H44" i="28"/>
  <c r="G45" i="28"/>
  <c r="H45" i="28"/>
  <c r="G46" i="28"/>
  <c r="H46" i="28"/>
  <c r="G47" i="28"/>
  <c r="H47" i="28"/>
  <c r="G48" i="28"/>
  <c r="H48" i="28"/>
  <c r="G49" i="28"/>
  <c r="H49" i="28"/>
  <c r="G50" i="28"/>
  <c r="H50" i="28"/>
  <c r="G51" i="28"/>
  <c r="H51" i="28"/>
  <c r="G52" i="28"/>
  <c r="H52" i="28"/>
  <c r="G53" i="28"/>
  <c r="H53" i="28"/>
  <c r="G54" i="28"/>
  <c r="H54" i="28"/>
  <c r="G55" i="28"/>
  <c r="H55" i="28"/>
  <c r="G56" i="28"/>
  <c r="H56" i="28"/>
  <c r="G57" i="28"/>
  <c r="H57" i="28"/>
  <c r="G58" i="28"/>
  <c r="H58" i="28"/>
  <c r="G59" i="28"/>
  <c r="H59" i="28"/>
  <c r="G60" i="28"/>
  <c r="H60" i="28"/>
  <c r="G61" i="28"/>
  <c r="H61" i="28"/>
  <c r="G62" i="28"/>
  <c r="H62" i="28"/>
  <c r="G63" i="28"/>
  <c r="H63" i="28"/>
  <c r="G64" i="28"/>
  <c r="H64" i="28"/>
  <c r="G65" i="28"/>
  <c r="H65" i="28"/>
  <c r="G66" i="28"/>
  <c r="H66" i="28"/>
  <c r="G67" i="28"/>
  <c r="H67" i="28"/>
  <c r="G68" i="28"/>
  <c r="H68" i="28"/>
  <c r="G69" i="28"/>
  <c r="H69" i="28"/>
  <c r="G70" i="28"/>
  <c r="H70" i="28"/>
  <c r="G71" i="28"/>
  <c r="H71" i="28"/>
  <c r="G72" i="28"/>
  <c r="H72" i="28"/>
  <c r="G73" i="28"/>
  <c r="H73" i="28"/>
  <c r="G74" i="28"/>
  <c r="H74" i="28"/>
  <c r="G75" i="28"/>
  <c r="H75" i="28"/>
  <c r="G76" i="28"/>
  <c r="H76" i="28"/>
  <c r="G77" i="28"/>
  <c r="H77" i="28"/>
  <c r="G78" i="28"/>
  <c r="H78" i="28"/>
  <c r="G79" i="28"/>
  <c r="H79" i="28"/>
  <c r="G80" i="28"/>
  <c r="H80" i="28"/>
  <c r="G81" i="28"/>
  <c r="H81" i="28"/>
  <c r="G82" i="28"/>
  <c r="H82" i="28"/>
  <c r="G83" i="28"/>
  <c r="H83" i="28"/>
  <c r="G84" i="28"/>
  <c r="H84" i="28"/>
  <c r="G85" i="28"/>
  <c r="H85" i="28"/>
  <c r="G86" i="28"/>
  <c r="H86" i="28"/>
  <c r="G87" i="28"/>
  <c r="H87" i="28"/>
  <c r="G88" i="28"/>
  <c r="H88" i="28"/>
  <c r="G89" i="28"/>
  <c r="H89" i="28"/>
  <c r="G90" i="28"/>
  <c r="H90" i="28"/>
  <c r="G91" i="28"/>
  <c r="H91" i="28"/>
  <c r="G92" i="28"/>
  <c r="H92" i="28"/>
  <c r="G93" i="28"/>
  <c r="H93" i="28"/>
  <c r="G94" i="28"/>
  <c r="H94" i="28"/>
  <c r="G95" i="28"/>
  <c r="H95" i="28"/>
  <c r="G96" i="28"/>
  <c r="H96" i="28"/>
  <c r="G97" i="28"/>
  <c r="H97" i="28"/>
  <c r="G98" i="28"/>
  <c r="H98" i="28"/>
  <c r="G99" i="28"/>
  <c r="H99" i="28"/>
  <c r="G100" i="28"/>
  <c r="H100" i="28"/>
  <c r="G101" i="28"/>
  <c r="H101" i="28"/>
  <c r="G102" i="28"/>
  <c r="H102" i="28"/>
  <c r="G103" i="28"/>
  <c r="H103" i="28"/>
  <c r="G104" i="28"/>
  <c r="H104" i="28"/>
  <c r="G105" i="28"/>
  <c r="H105" i="28"/>
  <c r="G106" i="28"/>
  <c r="H106" i="28"/>
  <c r="G107" i="28"/>
  <c r="H107" i="28"/>
  <c r="G108" i="28"/>
  <c r="H108" i="28"/>
  <c r="G109" i="28"/>
  <c r="H109" i="28"/>
  <c r="G110" i="28"/>
  <c r="H110" i="28"/>
  <c r="G111" i="28"/>
  <c r="H111" i="28"/>
  <c r="G112" i="28"/>
  <c r="H112" i="28"/>
  <c r="G113" i="28"/>
  <c r="H113" i="28"/>
  <c r="G114" i="28"/>
  <c r="H114" i="28"/>
  <c r="G115" i="28"/>
  <c r="H115" i="28"/>
  <c r="G116" i="28"/>
  <c r="H116" i="28"/>
  <c r="G117" i="28"/>
  <c r="H117" i="28"/>
  <c r="G118" i="28"/>
  <c r="H118" i="28"/>
  <c r="G119" i="28"/>
  <c r="H119" i="28"/>
  <c r="G120" i="28"/>
  <c r="H120" i="28"/>
  <c r="G121" i="28"/>
  <c r="H121" i="28"/>
  <c r="G122" i="28"/>
  <c r="H122" i="28"/>
  <c r="G123" i="28"/>
  <c r="H123" i="28"/>
  <c r="G124" i="28"/>
  <c r="H124" i="28"/>
  <c r="G125" i="28"/>
  <c r="H125" i="28"/>
  <c r="G126" i="28"/>
  <c r="H126" i="28"/>
  <c r="G127" i="28"/>
  <c r="H127" i="28"/>
  <c r="G128" i="28"/>
  <c r="H128" i="28"/>
  <c r="G129" i="28"/>
  <c r="H129" i="28"/>
  <c r="G130" i="28"/>
  <c r="H130" i="28"/>
  <c r="G131" i="28"/>
  <c r="H131" i="28"/>
  <c r="G132" i="28"/>
  <c r="H132" i="28"/>
  <c r="G133" i="28"/>
  <c r="H133" i="28"/>
  <c r="G134" i="28"/>
  <c r="H134" i="28"/>
  <c r="G135" i="28"/>
  <c r="H135" i="28"/>
  <c r="G136" i="28"/>
  <c r="H136" i="28"/>
  <c r="G137" i="28"/>
  <c r="H137" i="28"/>
  <c r="G138" i="28"/>
  <c r="H138" i="28"/>
  <c r="G139" i="28"/>
  <c r="H139" i="28"/>
  <c r="G140" i="28"/>
  <c r="H140" i="28"/>
  <c r="G141" i="28"/>
  <c r="H141" i="28"/>
  <c r="G142" i="28"/>
  <c r="H142" i="28"/>
  <c r="G143" i="28"/>
  <c r="H143" i="28"/>
  <c r="G144" i="28"/>
  <c r="H144" i="28"/>
  <c r="G145" i="28"/>
  <c r="H145" i="28"/>
  <c r="G146" i="28"/>
  <c r="H146" i="28"/>
  <c r="G147" i="28"/>
  <c r="H147" i="28"/>
  <c r="G148" i="28"/>
  <c r="H148" i="28"/>
  <c r="G149" i="28"/>
  <c r="H149" i="28"/>
  <c r="G150" i="28"/>
  <c r="H150" i="28"/>
  <c r="G151" i="28"/>
  <c r="H151" i="28"/>
  <c r="G152" i="28"/>
  <c r="H152" i="28"/>
  <c r="G153" i="28"/>
  <c r="H153" i="28"/>
  <c r="G154" i="28"/>
  <c r="H154" i="28"/>
  <c r="G155" i="28"/>
  <c r="H155" i="28"/>
  <c r="G156" i="28"/>
  <c r="H156" i="28"/>
  <c r="G157" i="28"/>
  <c r="H157" i="28"/>
  <c r="G158" i="28"/>
  <c r="H158" i="28"/>
  <c r="G159" i="28"/>
  <c r="H159" i="28"/>
  <c r="G160" i="28"/>
  <c r="H160" i="28"/>
  <c r="G161" i="28"/>
  <c r="H161" i="28"/>
  <c r="G162" i="28"/>
  <c r="H162" i="28"/>
  <c r="G163" i="28"/>
  <c r="H163" i="28"/>
  <c r="G164" i="28"/>
  <c r="H164" i="28"/>
  <c r="G165" i="28"/>
  <c r="H165" i="28"/>
  <c r="G166" i="28"/>
  <c r="H166" i="28"/>
  <c r="G167" i="28"/>
  <c r="H167" i="28"/>
  <c r="G168" i="28"/>
  <c r="H168" i="28"/>
  <c r="G169" i="28"/>
  <c r="H169" i="28"/>
  <c r="G170" i="28"/>
  <c r="H170" i="28"/>
  <c r="G171" i="28"/>
  <c r="H171" i="28"/>
  <c r="G172" i="28"/>
  <c r="H172" i="28"/>
  <c r="G173" i="28"/>
  <c r="H173" i="28"/>
  <c r="G174" i="28"/>
  <c r="H174" i="28"/>
  <c r="G175" i="28"/>
  <c r="H175" i="28"/>
  <c r="G176" i="28"/>
  <c r="H176" i="28"/>
  <c r="G177" i="28"/>
  <c r="H177" i="28"/>
  <c r="G178" i="28"/>
  <c r="H178" i="28"/>
  <c r="G179" i="28"/>
  <c r="H179" i="28"/>
  <c r="G180" i="28"/>
  <c r="H180" i="28"/>
  <c r="G181" i="28"/>
  <c r="H181" i="28"/>
  <c r="G182" i="28"/>
  <c r="H182" i="28"/>
  <c r="G183" i="28"/>
  <c r="H183" i="28"/>
  <c r="G184" i="28"/>
  <c r="H184" i="28"/>
  <c r="G185" i="28"/>
  <c r="H185" i="28"/>
  <c r="G186" i="28"/>
  <c r="H186" i="28"/>
  <c r="G187" i="28"/>
  <c r="H187" i="28"/>
  <c r="G188" i="28"/>
  <c r="H188" i="28"/>
  <c r="G189" i="28"/>
  <c r="H189" i="28"/>
  <c r="G190" i="28"/>
  <c r="H190" i="28"/>
  <c r="G191" i="28"/>
  <c r="H191" i="28"/>
  <c r="G192" i="28"/>
  <c r="H192" i="28"/>
  <c r="G193" i="28"/>
  <c r="H193" i="28"/>
  <c r="G194" i="28"/>
  <c r="H194" i="28"/>
  <c r="G195" i="28"/>
  <c r="H195" i="28"/>
  <c r="G196" i="28"/>
  <c r="H196" i="28"/>
  <c r="G197" i="28"/>
  <c r="H197" i="28"/>
  <c r="G198" i="28"/>
  <c r="H198" i="28"/>
  <c r="G199" i="28"/>
  <c r="H199" i="28"/>
  <c r="G200" i="28"/>
  <c r="H200" i="28"/>
  <c r="G201" i="28"/>
  <c r="H201" i="28"/>
  <c r="G202" i="28"/>
  <c r="H202" i="28"/>
  <c r="G203" i="28"/>
  <c r="H203" i="28"/>
  <c r="G204" i="28"/>
  <c r="H204" i="28"/>
  <c r="G205" i="28"/>
  <c r="H205" i="28"/>
  <c r="G206" i="28"/>
  <c r="H206" i="28"/>
  <c r="G207" i="28"/>
  <c r="H207" i="28"/>
  <c r="G208" i="28"/>
  <c r="H208" i="28"/>
  <c r="G209" i="28"/>
  <c r="H209" i="28"/>
  <c r="G210" i="28"/>
  <c r="H210" i="28"/>
  <c r="G211" i="28"/>
  <c r="H211" i="28"/>
  <c r="G212" i="28"/>
  <c r="H212" i="28"/>
  <c r="G213" i="28"/>
  <c r="H213" i="28"/>
  <c r="G214" i="28"/>
  <c r="H214" i="28"/>
  <c r="G215" i="28"/>
  <c r="H215" i="28"/>
  <c r="G216" i="28"/>
  <c r="H216" i="28"/>
  <c r="G217" i="28"/>
  <c r="H217" i="28"/>
  <c r="G218" i="28"/>
  <c r="H218" i="28"/>
  <c r="G219" i="28"/>
  <c r="H219" i="28"/>
  <c r="G220" i="28"/>
  <c r="H220" i="28"/>
  <c r="G221" i="28"/>
  <c r="H221" i="28"/>
  <c r="G222" i="28"/>
  <c r="H222" i="28"/>
  <c r="G223" i="28"/>
  <c r="H223" i="28"/>
  <c r="G224" i="28"/>
  <c r="H224" i="28"/>
  <c r="G225" i="28"/>
  <c r="H225" i="28"/>
  <c r="G226" i="28"/>
  <c r="H226" i="28"/>
  <c r="G227" i="28"/>
  <c r="H227" i="28"/>
  <c r="G228" i="28"/>
  <c r="H228" i="28"/>
  <c r="G229" i="28"/>
  <c r="H229" i="28"/>
  <c r="G230" i="28"/>
  <c r="H230" i="28"/>
  <c r="G231" i="28"/>
  <c r="H231" i="28"/>
  <c r="G232" i="28"/>
  <c r="H232" i="28"/>
  <c r="G233" i="28"/>
  <c r="H233" i="28"/>
  <c r="G234" i="28"/>
  <c r="H234" i="28"/>
  <c r="G235" i="28"/>
  <c r="H235" i="28"/>
  <c r="G236" i="28"/>
  <c r="H236" i="28"/>
  <c r="G237" i="28"/>
  <c r="H237" i="28"/>
  <c r="G238" i="28"/>
  <c r="H238" i="28"/>
  <c r="G239" i="28"/>
  <c r="H239" i="28"/>
  <c r="G240" i="28"/>
  <c r="H240" i="28"/>
  <c r="G241" i="28"/>
  <c r="H241" i="28"/>
  <c r="G242" i="28"/>
  <c r="H242" i="28"/>
  <c r="G243" i="28"/>
  <c r="H243" i="28"/>
  <c r="G244" i="28"/>
  <c r="H244" i="28"/>
  <c r="G245" i="28"/>
  <c r="H245" i="28"/>
  <c r="G246" i="28"/>
  <c r="H246" i="28"/>
  <c r="G247" i="28"/>
  <c r="H247" i="28"/>
  <c r="G248" i="28"/>
  <c r="H248" i="28"/>
  <c r="G249" i="28"/>
  <c r="H249" i="28"/>
  <c r="G250" i="28"/>
  <c r="H250" i="28"/>
  <c r="G251" i="28"/>
  <c r="H251" i="28"/>
  <c r="G252" i="28"/>
  <c r="H252" i="28"/>
  <c r="G253" i="28"/>
  <c r="H253" i="28"/>
  <c r="G254" i="28"/>
  <c r="H254" i="28"/>
  <c r="G255" i="28"/>
  <c r="H255" i="28"/>
  <c r="G256" i="28"/>
  <c r="H256" i="28"/>
  <c r="G257" i="28"/>
  <c r="H257" i="28"/>
  <c r="G258" i="28"/>
  <c r="H258" i="28"/>
  <c r="G259" i="28"/>
  <c r="H259" i="28"/>
  <c r="G260" i="28"/>
  <c r="H260" i="28"/>
  <c r="G261" i="28"/>
  <c r="H261" i="28"/>
  <c r="G262" i="28"/>
  <c r="H262" i="28"/>
  <c r="G263" i="28"/>
  <c r="H263" i="28"/>
  <c r="G264" i="28"/>
  <c r="H264" i="28"/>
  <c r="G265" i="28"/>
  <c r="H265" i="28"/>
  <c r="G266" i="28"/>
  <c r="H266" i="28"/>
  <c r="G267" i="28"/>
  <c r="H267" i="28"/>
  <c r="G268" i="28"/>
  <c r="H268" i="28"/>
  <c r="G269" i="28"/>
  <c r="H269" i="28"/>
  <c r="G270" i="28"/>
  <c r="H270" i="28"/>
  <c r="G271" i="28"/>
  <c r="H271" i="28"/>
  <c r="G272" i="28"/>
  <c r="H272" i="28"/>
  <c r="G273" i="28"/>
  <c r="H273" i="28"/>
  <c r="G274" i="28"/>
  <c r="H274" i="28"/>
  <c r="G275" i="28"/>
  <c r="H275" i="28"/>
  <c r="G276" i="28"/>
  <c r="H276" i="28"/>
  <c r="G277" i="28"/>
  <c r="H277" i="28"/>
  <c r="G278" i="28"/>
  <c r="H278" i="28"/>
  <c r="G279" i="28"/>
  <c r="H279" i="28"/>
  <c r="G280" i="28"/>
  <c r="H280" i="28"/>
  <c r="G281" i="28"/>
  <c r="H281" i="28"/>
  <c r="G282" i="28"/>
  <c r="H282" i="28"/>
  <c r="G283" i="28"/>
  <c r="H283" i="28"/>
  <c r="G284" i="28"/>
  <c r="H284" i="28"/>
  <c r="G285" i="28"/>
  <c r="H285" i="28"/>
  <c r="G286" i="28"/>
  <c r="H286" i="28"/>
  <c r="G287" i="28"/>
  <c r="H287" i="28"/>
  <c r="G288" i="28"/>
  <c r="H288" i="28"/>
  <c r="G289" i="28"/>
  <c r="H289" i="28"/>
  <c r="G290" i="28"/>
  <c r="H290" i="28"/>
  <c r="G291" i="28"/>
  <c r="H291" i="28"/>
  <c r="G292" i="28"/>
  <c r="H292" i="28"/>
  <c r="G293" i="28"/>
  <c r="H293" i="28"/>
  <c r="G294" i="28"/>
  <c r="H294" i="28"/>
  <c r="G295" i="28"/>
  <c r="H295" i="28"/>
  <c r="G296" i="28"/>
  <c r="H296" i="28"/>
  <c r="G297" i="28"/>
  <c r="H297" i="28"/>
  <c r="G298" i="28"/>
  <c r="H298" i="28"/>
  <c r="G299" i="28"/>
  <c r="H299" i="28"/>
  <c r="G300" i="28"/>
  <c r="H300" i="28"/>
  <c r="G301" i="28"/>
  <c r="H301" i="28"/>
  <c r="G302" i="28"/>
  <c r="H302" i="28"/>
  <c r="G303" i="28"/>
  <c r="H303" i="28"/>
  <c r="G304" i="28"/>
  <c r="H304" i="28"/>
  <c r="G305" i="28"/>
  <c r="H305" i="28"/>
  <c r="G306" i="28"/>
  <c r="H306" i="28"/>
  <c r="G307" i="28"/>
  <c r="H307" i="28"/>
  <c r="G308" i="28"/>
  <c r="H308" i="28"/>
  <c r="G309" i="28"/>
  <c r="H309" i="28"/>
  <c r="G310" i="28"/>
  <c r="H310" i="28"/>
  <c r="G311" i="28"/>
  <c r="H311" i="28"/>
  <c r="G312" i="28"/>
  <c r="H312" i="28"/>
  <c r="G313" i="28"/>
  <c r="H313" i="28"/>
  <c r="G314" i="28"/>
  <c r="H314" i="28"/>
  <c r="G315" i="28"/>
  <c r="H315" i="28"/>
  <c r="G316" i="28"/>
  <c r="H316" i="28"/>
  <c r="G317" i="28"/>
  <c r="H317" i="28"/>
  <c r="G318" i="28"/>
  <c r="H318" i="28"/>
  <c r="G319" i="28"/>
  <c r="H319" i="28"/>
  <c r="G320" i="28"/>
  <c r="H320" i="28"/>
  <c r="G321" i="28"/>
  <c r="H321" i="28"/>
  <c r="G322" i="28"/>
  <c r="H322" i="28"/>
  <c r="G323" i="28"/>
  <c r="H323" i="28"/>
  <c r="G324" i="28"/>
  <c r="H324" i="28"/>
  <c r="G325" i="28"/>
  <c r="H325" i="28"/>
  <c r="G326" i="28"/>
  <c r="H326" i="28"/>
  <c r="G327" i="28"/>
  <c r="H327" i="28"/>
  <c r="G328" i="28"/>
  <c r="H328" i="28"/>
  <c r="G329" i="28"/>
  <c r="H329" i="28"/>
  <c r="G330" i="28"/>
  <c r="H330" i="28"/>
  <c r="G331" i="28"/>
  <c r="H331" i="28"/>
  <c r="G332" i="28"/>
  <c r="H332" i="28"/>
  <c r="G333" i="28"/>
  <c r="H333" i="28"/>
  <c r="G334" i="28"/>
  <c r="H334" i="28"/>
  <c r="G335" i="28"/>
  <c r="H335" i="28"/>
  <c r="G336" i="28"/>
  <c r="H336" i="28"/>
  <c r="G337" i="28"/>
  <c r="H337" i="28"/>
  <c r="G338" i="28"/>
  <c r="H338" i="28"/>
  <c r="G339" i="28"/>
  <c r="H339" i="28"/>
  <c r="G340" i="28"/>
  <c r="H340" i="28"/>
  <c r="G341" i="28"/>
  <c r="H341" i="28"/>
  <c r="G342" i="28"/>
  <c r="H342" i="28"/>
  <c r="G343" i="28"/>
  <c r="H343" i="28"/>
  <c r="G344" i="28"/>
  <c r="H344" i="28"/>
  <c r="G345" i="28"/>
  <c r="H345" i="28"/>
  <c r="G346" i="28"/>
  <c r="H346" i="28"/>
  <c r="G347" i="28"/>
  <c r="H347" i="28"/>
  <c r="G348" i="28"/>
  <c r="H348" i="28"/>
  <c r="G349" i="28"/>
  <c r="H349" i="28"/>
  <c r="G350" i="28"/>
  <c r="H350" i="28"/>
  <c r="G351" i="28"/>
  <c r="H351" i="28"/>
  <c r="G352" i="28"/>
  <c r="H352" i="28"/>
  <c r="G353" i="28"/>
  <c r="H353" i="28"/>
  <c r="G354" i="28"/>
  <c r="H354" i="28"/>
  <c r="G355" i="28"/>
  <c r="H355" i="28"/>
  <c r="G356" i="28"/>
  <c r="H356" i="28"/>
  <c r="G357" i="28"/>
  <c r="H357" i="28"/>
  <c r="G358" i="28"/>
  <c r="H358" i="28"/>
  <c r="G359" i="28"/>
  <c r="H359" i="28"/>
  <c r="G360" i="28"/>
  <c r="H360" i="28"/>
  <c r="G361" i="28"/>
  <c r="H361" i="28"/>
  <c r="G362" i="28"/>
  <c r="H362" i="28"/>
  <c r="G363" i="28"/>
  <c r="H363" i="28"/>
  <c r="G364" i="28"/>
  <c r="H364" i="28"/>
  <c r="G365" i="28"/>
  <c r="H365" i="28"/>
  <c r="G366" i="28"/>
  <c r="H366" i="28"/>
  <c r="G367" i="28"/>
  <c r="H367" i="28"/>
  <c r="G368" i="28"/>
  <c r="H368" i="28"/>
  <c r="G369" i="28"/>
  <c r="H369" i="28"/>
  <c r="G370" i="28"/>
  <c r="H370" i="28"/>
  <c r="G371" i="28"/>
  <c r="H371" i="28"/>
  <c r="G372" i="28"/>
  <c r="H372" i="28"/>
  <c r="G373" i="28"/>
  <c r="H373" i="28"/>
  <c r="G374" i="28"/>
  <c r="H374" i="28"/>
  <c r="G375" i="28"/>
  <c r="H375" i="28"/>
  <c r="G376" i="28"/>
  <c r="H376" i="28"/>
  <c r="G377" i="28"/>
  <c r="H377" i="28"/>
  <c r="G378" i="28"/>
  <c r="H378" i="28"/>
  <c r="G379" i="28"/>
  <c r="H379" i="28"/>
  <c r="G380" i="28"/>
  <c r="H380" i="28"/>
  <c r="G381" i="28"/>
  <c r="H381" i="28"/>
  <c r="G382" i="28"/>
  <c r="H382" i="28"/>
  <c r="G383" i="28"/>
  <c r="H383" i="28"/>
  <c r="G384" i="28"/>
  <c r="H384" i="28"/>
  <c r="G385" i="28"/>
  <c r="H385" i="28"/>
  <c r="G386" i="28"/>
  <c r="H386" i="28"/>
  <c r="G387" i="28"/>
  <c r="H387" i="28"/>
  <c r="G388" i="28"/>
  <c r="H388" i="28"/>
  <c r="G389" i="28"/>
  <c r="H389" i="28"/>
  <c r="G390" i="28"/>
  <c r="H390" i="28"/>
  <c r="G391" i="28"/>
  <c r="H391" i="28"/>
  <c r="G392" i="28"/>
  <c r="H392" i="28"/>
  <c r="G393" i="28"/>
  <c r="H393" i="28"/>
  <c r="G394" i="28"/>
  <c r="H394" i="28"/>
  <c r="G395" i="28"/>
  <c r="H395" i="28"/>
  <c r="G396" i="28"/>
  <c r="H396" i="28"/>
  <c r="G397" i="28"/>
  <c r="H397" i="28"/>
  <c r="G398" i="28"/>
  <c r="H398" i="28"/>
  <c r="G399" i="28"/>
  <c r="H399" i="28"/>
  <c r="G400" i="28"/>
  <c r="H400" i="28"/>
  <c r="G401" i="28"/>
  <c r="H401" i="28"/>
  <c r="G402" i="28"/>
  <c r="H402" i="28"/>
  <c r="G403" i="28"/>
  <c r="H403" i="28"/>
  <c r="G404" i="28"/>
  <c r="H404" i="28"/>
  <c r="G405" i="28"/>
  <c r="H405" i="28"/>
  <c r="G406" i="28"/>
  <c r="H406" i="28"/>
  <c r="G407" i="28"/>
  <c r="H407" i="28"/>
  <c r="G408" i="28"/>
  <c r="H408" i="28"/>
  <c r="G409" i="28"/>
  <c r="H409" i="28"/>
  <c r="G410" i="28"/>
  <c r="H410" i="28"/>
  <c r="G411" i="28"/>
  <c r="H411" i="28"/>
  <c r="G412" i="28"/>
  <c r="H412" i="28"/>
  <c r="G413" i="28"/>
  <c r="H413" i="28"/>
  <c r="G414" i="28"/>
  <c r="H414" i="28"/>
  <c r="G415" i="28"/>
  <c r="H415" i="28"/>
  <c r="G416" i="28"/>
  <c r="H416" i="28"/>
  <c r="G417" i="28"/>
  <c r="H417" i="28"/>
  <c r="G418" i="28"/>
  <c r="H418" i="28"/>
  <c r="G419" i="28"/>
  <c r="H419" i="28"/>
  <c r="G420" i="28"/>
  <c r="H420" i="28"/>
  <c r="G421" i="28"/>
  <c r="H421" i="28"/>
  <c r="G422" i="28"/>
  <c r="H422" i="28"/>
  <c r="G423" i="28"/>
  <c r="H423" i="28"/>
  <c r="G424" i="28"/>
  <c r="H424" i="28"/>
  <c r="G425" i="28"/>
  <c r="H425" i="28"/>
  <c r="G426" i="28"/>
  <c r="H426" i="28"/>
  <c r="G427" i="28"/>
  <c r="H427" i="28"/>
  <c r="G428" i="28"/>
  <c r="H428" i="28"/>
  <c r="G429" i="28"/>
  <c r="H429" i="28"/>
  <c r="G430" i="28"/>
  <c r="H430" i="28"/>
  <c r="G431" i="28"/>
  <c r="H431" i="28"/>
  <c r="G432" i="28"/>
  <c r="H432" i="28"/>
  <c r="G433" i="28"/>
  <c r="H433" i="28"/>
  <c r="G434" i="28"/>
  <c r="H434" i="28"/>
  <c r="G435" i="28"/>
  <c r="H435" i="28"/>
  <c r="G436" i="28"/>
  <c r="H436" i="28"/>
  <c r="G437" i="28"/>
  <c r="H437" i="28"/>
  <c r="G438" i="28"/>
  <c r="H438" i="28"/>
  <c r="G439" i="28"/>
  <c r="H439" i="28"/>
  <c r="G440" i="28"/>
  <c r="H440" i="28"/>
  <c r="G441" i="28"/>
  <c r="H441" i="28"/>
  <c r="G442" i="28"/>
  <c r="H442" i="28"/>
  <c r="G443" i="28"/>
  <c r="H443" i="28"/>
  <c r="G444" i="28"/>
  <c r="H444" i="28"/>
  <c r="G445" i="28"/>
  <c r="H445" i="28"/>
  <c r="G446" i="28"/>
  <c r="H446" i="28"/>
  <c r="G447" i="28"/>
  <c r="H447" i="28"/>
  <c r="G448" i="28"/>
  <c r="H448" i="28"/>
  <c r="G449" i="28"/>
  <c r="H449" i="28"/>
  <c r="G450" i="28"/>
  <c r="H450" i="28"/>
  <c r="G451" i="28"/>
  <c r="H451" i="28"/>
  <c r="G452" i="28"/>
  <c r="H452" i="28"/>
  <c r="G453" i="28"/>
  <c r="H453" i="28"/>
  <c r="G454" i="28"/>
  <c r="H454" i="28"/>
  <c r="G455" i="28"/>
  <c r="H455" i="28"/>
  <c r="G456" i="28"/>
  <c r="H456" i="28"/>
  <c r="G457" i="28"/>
  <c r="H457" i="28"/>
  <c r="G458" i="28"/>
  <c r="H458" i="28"/>
  <c r="G459" i="28"/>
  <c r="H459" i="28"/>
  <c r="G460" i="28"/>
  <c r="H460" i="28"/>
  <c r="G461" i="28"/>
  <c r="H461" i="28"/>
  <c r="G462" i="28"/>
  <c r="H462" i="28"/>
  <c r="G463" i="28"/>
  <c r="H463" i="28"/>
  <c r="G464" i="28"/>
  <c r="H464" i="28"/>
  <c r="G465" i="28"/>
  <c r="H465" i="28"/>
  <c r="G466" i="28"/>
  <c r="H466" i="28"/>
  <c r="G467" i="28"/>
  <c r="H467" i="28"/>
  <c r="G468" i="28"/>
  <c r="H468" i="28"/>
  <c r="G469" i="28"/>
  <c r="H469" i="28"/>
  <c r="G470" i="28"/>
  <c r="H470" i="28"/>
  <c r="G471" i="28"/>
  <c r="H471" i="28"/>
  <c r="G472" i="28"/>
  <c r="H472" i="28"/>
  <c r="G473" i="28"/>
  <c r="H473" i="28"/>
  <c r="G474" i="28"/>
  <c r="H474" i="28"/>
  <c r="G475" i="28"/>
  <c r="H475" i="28"/>
  <c r="G476" i="28"/>
  <c r="H476" i="28"/>
  <c r="G477" i="28"/>
  <c r="H477" i="28"/>
  <c r="G478" i="28"/>
  <c r="H478" i="28"/>
  <c r="G479" i="28"/>
  <c r="H479" i="28"/>
  <c r="G480" i="28"/>
  <c r="H480" i="28"/>
  <c r="G481" i="28"/>
  <c r="H481" i="28"/>
  <c r="G482" i="28"/>
  <c r="H482" i="28"/>
  <c r="G483" i="28"/>
  <c r="H483" i="28"/>
  <c r="G484" i="28"/>
  <c r="H484" i="28"/>
  <c r="G485" i="28"/>
  <c r="H485" i="28"/>
  <c r="G486" i="28"/>
  <c r="H486" i="28"/>
  <c r="G487" i="28"/>
  <c r="H487" i="28"/>
  <c r="G488" i="28"/>
  <c r="H488" i="28"/>
  <c r="G489" i="28"/>
  <c r="H489" i="28"/>
  <c r="G490" i="28"/>
  <c r="H490" i="28"/>
  <c r="G491" i="28"/>
  <c r="H491" i="28"/>
  <c r="G492" i="28"/>
  <c r="H492" i="28"/>
  <c r="G493" i="28"/>
  <c r="H493" i="28"/>
  <c r="G494" i="28"/>
  <c r="H494" i="28"/>
  <c r="G495" i="28"/>
  <c r="H495" i="28"/>
  <c r="G496" i="28"/>
  <c r="H496" i="28"/>
  <c r="G497" i="28"/>
  <c r="H497" i="28"/>
  <c r="G498" i="28"/>
  <c r="H498" i="28"/>
  <c r="G499" i="28"/>
  <c r="H499" i="28"/>
  <c r="G500" i="28"/>
  <c r="H500" i="28"/>
  <c r="G501" i="28"/>
  <c r="H501" i="28"/>
  <c r="G502" i="28"/>
  <c r="H502" i="28"/>
  <c r="G503" i="28"/>
  <c r="H503" i="28"/>
  <c r="G504" i="28"/>
  <c r="H504" i="28"/>
  <c r="G505" i="28"/>
  <c r="H505" i="28"/>
  <c r="G506" i="28"/>
  <c r="H506" i="28"/>
  <c r="G507" i="28"/>
  <c r="H507" i="28"/>
  <c r="G508" i="28"/>
  <c r="H508" i="28"/>
  <c r="G509" i="28"/>
  <c r="H509" i="28"/>
  <c r="G510" i="28"/>
  <c r="H510" i="28"/>
  <c r="G511" i="28"/>
  <c r="H511" i="28"/>
  <c r="G512" i="28"/>
  <c r="H512" i="28"/>
  <c r="G513" i="28"/>
  <c r="H513" i="28"/>
  <c r="G514" i="28"/>
  <c r="H514" i="28"/>
  <c r="G515" i="28"/>
  <c r="H515" i="28"/>
  <c r="G516" i="28"/>
  <c r="H516" i="28"/>
  <c r="G517" i="28"/>
  <c r="H517" i="28"/>
  <c r="G518" i="28"/>
  <c r="H518" i="28"/>
  <c r="G519" i="28"/>
  <c r="H519" i="28"/>
  <c r="G520" i="28"/>
  <c r="H520" i="28"/>
  <c r="G521" i="28"/>
  <c r="H521" i="28"/>
  <c r="G522" i="28"/>
  <c r="H522" i="28"/>
  <c r="G523" i="28"/>
  <c r="H523" i="28"/>
  <c r="G524" i="28"/>
  <c r="H524" i="28"/>
  <c r="G525" i="28"/>
  <c r="H525" i="28"/>
  <c r="G526" i="28"/>
  <c r="H526" i="28"/>
  <c r="G527" i="28"/>
  <c r="H527" i="28"/>
  <c r="G528" i="28"/>
  <c r="H528" i="28"/>
  <c r="G529" i="28"/>
  <c r="H529" i="28"/>
  <c r="G530" i="28"/>
  <c r="H530" i="28"/>
  <c r="G531" i="28"/>
  <c r="H531" i="28"/>
  <c r="G532" i="28"/>
  <c r="H532" i="28"/>
  <c r="G533" i="28"/>
  <c r="H533" i="28"/>
  <c r="G534" i="28"/>
  <c r="H534" i="28"/>
  <c r="G535" i="28"/>
  <c r="H535" i="28"/>
  <c r="G536" i="28"/>
  <c r="H536" i="28"/>
  <c r="G537" i="28"/>
  <c r="H537" i="28"/>
  <c r="G538" i="28"/>
  <c r="H538" i="28"/>
  <c r="G539" i="28"/>
  <c r="H539" i="28"/>
  <c r="G540" i="28"/>
  <c r="H540" i="28"/>
  <c r="G541" i="28"/>
  <c r="H541" i="28"/>
  <c r="G542" i="28"/>
  <c r="H542" i="28"/>
  <c r="G543" i="28"/>
  <c r="H543" i="28"/>
  <c r="G544" i="28"/>
  <c r="H544" i="28"/>
  <c r="G545" i="28"/>
  <c r="H545" i="28"/>
  <c r="G546" i="28"/>
  <c r="H546" i="28"/>
  <c r="G547" i="28"/>
  <c r="H547" i="28"/>
  <c r="G548" i="28"/>
  <c r="H548" i="28"/>
  <c r="G549" i="28"/>
  <c r="H549" i="28"/>
  <c r="G550" i="28"/>
  <c r="H550" i="28"/>
  <c r="G551" i="28"/>
  <c r="H551" i="28"/>
  <c r="G552" i="28"/>
  <c r="H552" i="28"/>
  <c r="G553" i="28"/>
  <c r="H553" i="28"/>
  <c r="G554" i="28"/>
  <c r="H554" i="28"/>
  <c r="G555" i="28"/>
  <c r="H555" i="28"/>
  <c r="G556" i="28"/>
  <c r="H556" i="28"/>
  <c r="G557" i="28"/>
  <c r="H557" i="28"/>
  <c r="G558" i="28"/>
  <c r="H558" i="28"/>
  <c r="G559" i="28"/>
  <c r="H559" i="28"/>
  <c r="G560" i="28"/>
  <c r="H560" i="28"/>
  <c r="G561" i="28"/>
  <c r="H561" i="28"/>
  <c r="G562" i="28"/>
  <c r="H562" i="28"/>
  <c r="G563" i="28"/>
  <c r="H563" i="28"/>
  <c r="G564" i="28"/>
  <c r="H564" i="28"/>
  <c r="G565" i="28"/>
  <c r="H565" i="28"/>
  <c r="G566" i="28"/>
  <c r="H566" i="28"/>
  <c r="G567" i="28"/>
  <c r="H567" i="28"/>
  <c r="G568" i="28"/>
  <c r="H568" i="28"/>
  <c r="G569" i="28"/>
  <c r="H569" i="28"/>
  <c r="G570" i="28"/>
  <c r="H570" i="28"/>
  <c r="G571" i="28"/>
  <c r="H571" i="28"/>
  <c r="G572" i="28"/>
  <c r="H572" i="28"/>
  <c r="G573" i="28"/>
  <c r="H573" i="28"/>
  <c r="G574" i="28"/>
  <c r="H574" i="28"/>
  <c r="G575" i="28"/>
  <c r="H575" i="28"/>
  <c r="G576" i="28"/>
  <c r="H576" i="28"/>
  <c r="G577" i="28"/>
  <c r="H577" i="28"/>
  <c r="G578" i="28"/>
  <c r="H578" i="28"/>
  <c r="G579" i="28"/>
  <c r="H579" i="28"/>
  <c r="G580" i="28"/>
  <c r="H580" i="28"/>
  <c r="G581" i="28"/>
  <c r="H581" i="28"/>
  <c r="G582" i="28"/>
  <c r="H582" i="28"/>
  <c r="G583" i="28"/>
  <c r="H583" i="28"/>
  <c r="G584" i="28"/>
  <c r="H584" i="28"/>
  <c r="G585" i="28"/>
  <c r="H585" i="28"/>
  <c r="G586" i="28"/>
  <c r="H586" i="28"/>
  <c r="G587" i="28"/>
  <c r="H587" i="28"/>
  <c r="G588" i="28"/>
  <c r="H588" i="28"/>
  <c r="G589" i="28"/>
  <c r="H589" i="28"/>
  <c r="G590" i="28"/>
  <c r="H590" i="28"/>
  <c r="G591" i="28"/>
  <c r="H591" i="28"/>
  <c r="G592" i="28"/>
  <c r="H592" i="28"/>
  <c r="G593" i="28"/>
  <c r="H593" i="28"/>
  <c r="G594" i="28"/>
  <c r="H594" i="28"/>
  <c r="G595" i="28"/>
  <c r="H595" i="28"/>
  <c r="G596" i="28"/>
  <c r="H596" i="28"/>
  <c r="G597" i="28"/>
  <c r="H597" i="28"/>
  <c r="G598" i="28"/>
  <c r="H598" i="28"/>
  <c r="G599" i="28"/>
  <c r="H599" i="28"/>
  <c r="G600" i="28"/>
  <c r="H600" i="28"/>
  <c r="G601" i="28"/>
  <c r="H601" i="28"/>
  <c r="G602" i="28"/>
  <c r="H602" i="28"/>
  <c r="G603" i="28"/>
  <c r="H603" i="28"/>
  <c r="G604" i="28"/>
  <c r="H604" i="28"/>
  <c r="G605" i="28"/>
  <c r="H605" i="28"/>
  <c r="G606" i="28"/>
  <c r="H606" i="28"/>
  <c r="G607" i="28"/>
  <c r="H607" i="28"/>
  <c r="G608" i="28"/>
  <c r="H608" i="28"/>
  <c r="G609" i="28"/>
  <c r="H609" i="28"/>
  <c r="G610" i="28"/>
  <c r="H610" i="28"/>
  <c r="G611" i="28"/>
  <c r="H611" i="28"/>
  <c r="G612" i="28"/>
  <c r="H612" i="28"/>
  <c r="G613" i="28"/>
  <c r="H613" i="28"/>
  <c r="G614" i="28"/>
  <c r="H614" i="28"/>
  <c r="G615" i="28"/>
  <c r="H615" i="28"/>
  <c r="G616" i="28"/>
  <c r="H616" i="28"/>
  <c r="G617" i="28"/>
  <c r="H617" i="28"/>
  <c r="H2" i="28"/>
  <c r="G2" i="28"/>
  <c r="A2" i="28"/>
  <c r="B2" i="28"/>
  <c r="C2" i="28"/>
  <c r="D2" i="28"/>
  <c r="J248" i="28" l="1"/>
  <c r="J244" i="28"/>
  <c r="J240" i="28"/>
  <c r="J236" i="28"/>
  <c r="J232" i="28"/>
  <c r="J228" i="28"/>
  <c r="J224" i="28"/>
  <c r="J220" i="28"/>
  <c r="J216" i="28"/>
  <c r="J212" i="28"/>
  <c r="J208" i="28"/>
  <c r="J204" i="28"/>
  <c r="J200" i="28"/>
  <c r="J196" i="28"/>
  <c r="J192" i="28"/>
  <c r="J188" i="28"/>
  <c r="J184" i="28"/>
  <c r="J180" i="28"/>
  <c r="J176" i="28"/>
  <c r="J172" i="28"/>
  <c r="J168" i="28"/>
  <c r="J164" i="28"/>
  <c r="J160" i="28"/>
  <c r="J156" i="28"/>
  <c r="J152" i="28"/>
  <c r="J148" i="28"/>
  <c r="J144" i="28"/>
  <c r="J140" i="28"/>
  <c r="J136" i="28"/>
  <c r="J132" i="28"/>
  <c r="J128" i="28"/>
  <c r="J124" i="28"/>
  <c r="J120" i="28"/>
  <c r="J116" i="28"/>
  <c r="J112" i="28"/>
  <c r="J108" i="28"/>
  <c r="J104" i="28"/>
  <c r="J100" i="28"/>
  <c r="J96" i="28"/>
  <c r="J92" i="28"/>
  <c r="J88" i="28"/>
  <c r="J449" i="28"/>
  <c r="J85" i="28"/>
  <c r="J81" i="28"/>
  <c r="J77" i="28"/>
  <c r="J73" i="28"/>
  <c r="J69" i="28"/>
  <c r="J65" i="28"/>
  <c r="J61" i="28"/>
  <c r="J57" i="28"/>
  <c r="J53" i="28"/>
  <c r="J508" i="28"/>
  <c r="J504" i="28"/>
  <c r="J500" i="28"/>
  <c r="J496" i="28"/>
  <c r="J492" i="28"/>
  <c r="J488" i="28"/>
  <c r="J484" i="28"/>
  <c r="J480" i="28"/>
  <c r="J476" i="28"/>
  <c r="J472" i="28"/>
  <c r="J468" i="28"/>
  <c r="J464" i="28"/>
  <c r="J460" i="28"/>
  <c r="J456" i="28"/>
  <c r="J452" i="28"/>
  <c r="J448" i="28"/>
  <c r="J444" i="28"/>
  <c r="J440" i="28"/>
  <c r="J436" i="28"/>
  <c r="J432" i="28"/>
  <c r="J428" i="28"/>
  <c r="J424" i="28"/>
  <c r="J420" i="28"/>
  <c r="J416" i="28"/>
  <c r="J412" i="28"/>
  <c r="J408" i="28"/>
  <c r="J404" i="28"/>
  <c r="J400" i="28"/>
  <c r="J396" i="28"/>
  <c r="J392" i="28"/>
  <c r="J388" i="28"/>
  <c r="J384" i="28"/>
  <c r="J380" i="28"/>
  <c r="J376" i="28"/>
  <c r="J372" i="28"/>
  <c r="J368" i="28"/>
  <c r="J364" i="28"/>
  <c r="J360" i="28"/>
  <c r="J356" i="28"/>
  <c r="J352" i="28"/>
  <c r="J348" i="28"/>
  <c r="J344" i="28"/>
  <c r="J340" i="28"/>
  <c r="J336" i="28"/>
  <c r="J332" i="28"/>
  <c r="J328" i="28"/>
  <c r="J324" i="28"/>
  <c r="J320" i="28"/>
  <c r="J316" i="28"/>
  <c r="J312" i="28"/>
  <c r="J84" i="28"/>
  <c r="J49" i="28"/>
  <c r="J606" i="28"/>
  <c r="J586" i="28"/>
  <c r="J566" i="28"/>
  <c r="J550" i="28"/>
  <c r="J534" i="28"/>
  <c r="J522" i="28"/>
  <c r="J510" i="28"/>
  <c r="J498" i="28"/>
  <c r="J482" i="28"/>
  <c r="J466" i="28"/>
  <c r="J454" i="28"/>
  <c r="J438" i="28"/>
  <c r="J422" i="28"/>
  <c r="J406" i="28"/>
  <c r="J398" i="28"/>
  <c r="J386" i="28"/>
  <c r="J370" i="28"/>
  <c r="J354" i="28"/>
  <c r="J338" i="28"/>
  <c r="J322" i="28"/>
  <c r="J310" i="28"/>
  <c r="J294" i="28"/>
  <c r="J282" i="28"/>
  <c r="J266" i="28"/>
  <c r="J250" i="28"/>
  <c r="J234" i="28"/>
  <c r="J218" i="28"/>
  <c r="J202" i="28"/>
  <c r="J190" i="28"/>
  <c r="J174" i="28"/>
  <c r="J158" i="28"/>
  <c r="J138" i="28"/>
  <c r="J126" i="28"/>
  <c r="J110" i="28"/>
  <c r="J102" i="28"/>
  <c r="J86" i="28"/>
  <c r="J70" i="28"/>
  <c r="J58" i="28"/>
  <c r="J46" i="28"/>
  <c r="J38" i="28"/>
  <c r="J26" i="28"/>
  <c r="J6" i="28"/>
  <c r="J598" i="28"/>
  <c r="J582" i="28"/>
  <c r="J562" i="28"/>
  <c r="J542" i="28"/>
  <c r="J526" i="28"/>
  <c r="J506" i="28"/>
  <c r="J494" i="28"/>
  <c r="J478" i="28"/>
  <c r="J462" i="28"/>
  <c r="J442" i="28"/>
  <c r="J426" i="28"/>
  <c r="J410" i="28"/>
  <c r="J390" i="28"/>
  <c r="J374" i="28"/>
  <c r="J362" i="28"/>
  <c r="J346" i="28"/>
  <c r="J330" i="28"/>
  <c r="J314" i="28"/>
  <c r="J298" i="28"/>
  <c r="J274" i="28"/>
  <c r="J258" i="28"/>
  <c r="J246" i="28"/>
  <c r="J230" i="28"/>
  <c r="J214" i="28"/>
  <c r="J198" i="28"/>
  <c r="J182" i="28"/>
  <c r="J170" i="28"/>
  <c r="J150" i="28"/>
  <c r="J134" i="28"/>
  <c r="J118" i="28"/>
  <c r="J106" i="28"/>
  <c r="J94" i="28"/>
  <c r="J78" i="28"/>
  <c r="J66" i="28"/>
  <c r="J54" i="28"/>
  <c r="J34" i="28"/>
  <c r="J22" i="28"/>
  <c r="J14" i="28"/>
  <c r="J45" i="28"/>
  <c r="J594" i="28"/>
  <c r="J578" i="28"/>
  <c r="J546" i="28"/>
  <c r="J530" i="28"/>
  <c r="J514" i="28"/>
  <c r="J486" i="28"/>
  <c r="J470" i="28"/>
  <c r="J450" i="28"/>
  <c r="J434" i="28"/>
  <c r="J418" i="28"/>
  <c r="J394" i="28"/>
  <c r="J378" i="28"/>
  <c r="J358" i="28"/>
  <c r="J342" i="28"/>
  <c r="J318" i="28"/>
  <c r="J302" i="28"/>
  <c r="J286" i="28"/>
  <c r="J270" i="28"/>
  <c r="J242" i="28"/>
  <c r="J226" i="28"/>
  <c r="J206" i="28"/>
  <c r="J186" i="28"/>
  <c r="J166" i="28"/>
  <c r="J146" i="28"/>
  <c r="J122" i="28"/>
  <c r="J90" i="28"/>
  <c r="J10" i="28"/>
  <c r="J602" i="28"/>
  <c r="J590" i="28"/>
  <c r="J574" i="28"/>
  <c r="J554" i="28"/>
  <c r="J538" i="28"/>
  <c r="J518" i="28"/>
  <c r="J502" i="28"/>
  <c r="J490" i="28"/>
  <c r="J474" i="28"/>
  <c r="J458" i="28"/>
  <c r="J446" i="28"/>
  <c r="J430" i="28"/>
  <c r="J414" i="28"/>
  <c r="J402" i="28"/>
  <c r="J382" i="28"/>
  <c r="J366" i="28"/>
  <c r="J350" i="28"/>
  <c r="J334" i="28"/>
  <c r="J326" i="28"/>
  <c r="J306" i="28"/>
  <c r="J290" i="28"/>
  <c r="J278" i="28"/>
  <c r="J262" i="28"/>
  <c r="J254" i="28"/>
  <c r="J238" i="28"/>
  <c r="J222" i="28"/>
  <c r="J210" i="28"/>
  <c r="J194" i="28"/>
  <c r="J178" i="28"/>
  <c r="J162" i="28"/>
  <c r="J154" i="28"/>
  <c r="J142" i="28"/>
  <c r="J130" i="28"/>
  <c r="J114" i="28"/>
  <c r="J98" i="28"/>
  <c r="J82" i="28"/>
  <c r="J74" i="28"/>
  <c r="J62" i="28"/>
  <c r="J50" i="28"/>
  <c r="J42" i="28"/>
  <c r="J30" i="28"/>
  <c r="J18" i="28"/>
  <c r="J308" i="28"/>
  <c r="J304" i="28"/>
  <c r="J300" i="28"/>
  <c r="J296" i="28"/>
  <c r="J292" i="28"/>
  <c r="J288" i="28"/>
  <c r="J284" i="28"/>
  <c r="J280" i="28"/>
  <c r="J276" i="28"/>
  <c r="J272" i="28"/>
  <c r="J268" i="28"/>
  <c r="J264" i="28"/>
  <c r="J260" i="28"/>
  <c r="J256" i="28"/>
  <c r="J252" i="28"/>
  <c r="J80" i="28"/>
  <c r="J76" i="28"/>
  <c r="J72" i="28"/>
  <c r="J68" i="28"/>
  <c r="J64" i="28"/>
  <c r="J60" i="28"/>
  <c r="J56" i="28"/>
  <c r="J52" i="28"/>
  <c r="J610" i="28"/>
  <c r="J558" i="28"/>
  <c r="J614" i="28"/>
  <c r="J570" i="28"/>
  <c r="J616" i="28"/>
  <c r="J612" i="28"/>
  <c r="J596" i="28"/>
  <c r="J592" i="28"/>
  <c r="J588" i="28"/>
  <c r="J584" i="28"/>
  <c r="J580" i="28"/>
  <c r="J576" i="28"/>
  <c r="J572" i="28"/>
  <c r="J568" i="28"/>
  <c r="J564" i="28"/>
  <c r="J560" i="28"/>
  <c r="J556" i="28"/>
  <c r="J552" i="28"/>
  <c r="J548" i="28"/>
  <c r="J544" i="28"/>
  <c r="J540" i="28"/>
  <c r="J536" i="28"/>
  <c r="J532" i="28"/>
  <c r="J528" i="28"/>
  <c r="J524" i="28"/>
  <c r="J520" i="28"/>
  <c r="J516" i="28"/>
  <c r="J512" i="28"/>
  <c r="J604" i="28"/>
  <c r="J600" i="28"/>
  <c r="J608" i="28"/>
  <c r="J601" i="28"/>
  <c r="J577" i="28"/>
  <c r="J557" i="28"/>
  <c r="J553" i="28"/>
  <c r="J549" i="28"/>
  <c r="J529" i="28"/>
  <c r="J525" i="28"/>
  <c r="J521" i="28"/>
  <c r="J517" i="28"/>
  <c r="J513" i="28"/>
  <c r="J509" i="28"/>
  <c r="J505" i="28"/>
  <c r="J501" i="28"/>
  <c r="J497" i="28"/>
  <c r="J493" i="28"/>
  <c r="J489" i="28"/>
  <c r="J485" i="28"/>
  <c r="J481" i="28"/>
  <c r="J477" i="28"/>
  <c r="J473" i="28"/>
  <c r="J469" i="28"/>
  <c r="J465" i="28"/>
  <c r="J461" i="28"/>
  <c r="J457" i="28"/>
  <c r="J453" i="28"/>
  <c r="J445" i="28"/>
  <c r="J617" i="28"/>
  <c r="J597" i="28"/>
  <c r="J589" i="28"/>
  <c r="J561" i="28"/>
  <c r="J541" i="28"/>
  <c r="J613" i="28"/>
  <c r="J593" i="28"/>
  <c r="J573" i="28"/>
  <c r="J533" i="28"/>
  <c r="J609" i="28"/>
  <c r="J581" i="28"/>
  <c r="J565" i="28"/>
  <c r="J537" i="28"/>
  <c r="J605" i="28"/>
  <c r="J585" i="28"/>
  <c r="J569" i="28"/>
  <c r="J545" i="28"/>
  <c r="J441" i="28"/>
  <c r="J433" i="28"/>
  <c r="J425" i="28"/>
  <c r="J417" i="28"/>
  <c r="J413" i="28"/>
  <c r="J409" i="28"/>
  <c r="J405" i="28"/>
  <c r="J401" i="28"/>
  <c r="J397" i="28"/>
  <c r="J393" i="28"/>
  <c r="J385" i="28"/>
  <c r="J381" i="28"/>
  <c r="J377" i="28"/>
  <c r="J373" i="28"/>
  <c r="J369" i="28"/>
  <c r="J365" i="28"/>
  <c r="J361" i="28"/>
  <c r="J357" i="28"/>
  <c r="J353" i="28"/>
  <c r="J349" i="28"/>
  <c r="J345" i="28"/>
  <c r="J341" i="28"/>
  <c r="J337" i="28"/>
  <c r="J333" i="28"/>
  <c r="J329" i="28"/>
  <c r="J325" i="28"/>
  <c r="J321" i="28"/>
  <c r="J317" i="28"/>
  <c r="J313" i="28"/>
  <c r="J309" i="28"/>
  <c r="J305" i="28"/>
  <c r="J301" i="28"/>
  <c r="J297" i="28"/>
  <c r="J293" i="28"/>
  <c r="J289" i="28"/>
  <c r="J285" i="28"/>
  <c r="J281" i="28"/>
  <c r="J277" i="28"/>
  <c r="J273" i="28"/>
  <c r="J269" i="28"/>
  <c r="J265" i="28"/>
  <c r="J261" i="28"/>
  <c r="J257" i="28"/>
  <c r="J253" i="28"/>
  <c r="J249" i="28"/>
  <c r="J245" i="28"/>
  <c r="J241" i="28"/>
  <c r="J237" i="28"/>
  <c r="J233" i="28"/>
  <c r="J229" i="28"/>
  <c r="J225" i="28"/>
  <c r="J221" i="28"/>
  <c r="J217" i="28"/>
  <c r="J213" i="28"/>
  <c r="J209" i="28"/>
  <c r="J205" i="28"/>
  <c r="J201" i="28"/>
  <c r="J197" i="28"/>
  <c r="J193" i="28"/>
  <c r="J189" i="28"/>
  <c r="J185" i="28"/>
  <c r="J181" i="28"/>
  <c r="J177" i="28"/>
  <c r="J173" i="28"/>
  <c r="J169" i="28"/>
  <c r="J165" i="28"/>
  <c r="J161" i="28"/>
  <c r="J157" i="28"/>
  <c r="J153" i="28"/>
  <c r="J149" i="28"/>
  <c r="J145" i="28"/>
  <c r="J141" i="28"/>
  <c r="J137" i="28"/>
  <c r="J133" i="28"/>
  <c r="J129" i="28"/>
  <c r="J125" i="28"/>
  <c r="J121" i="28"/>
  <c r="J117" i="28"/>
  <c r="J113" i="28"/>
  <c r="J109" i="28"/>
  <c r="J105" i="28"/>
  <c r="J101" i="28"/>
  <c r="J97" i="28"/>
  <c r="J93" i="28"/>
  <c r="J89" i="28"/>
  <c r="J437" i="28"/>
  <c r="J429" i="28"/>
  <c r="J421" i="28"/>
  <c r="J389" i="28"/>
  <c r="J615" i="28"/>
  <c r="J611" i="28"/>
  <c r="J607" i="28"/>
  <c r="J603" i="28"/>
  <c r="J599" i="28"/>
  <c r="J595" i="28"/>
  <c r="J591" i="28"/>
  <c r="J587" i="28"/>
  <c r="J583" i="28"/>
  <c r="J579" i="28"/>
  <c r="J575" i="28"/>
  <c r="J571" i="28"/>
  <c r="J567" i="28"/>
  <c r="J563" i="28"/>
  <c r="J559" i="28"/>
  <c r="J555" i="28"/>
  <c r="J551" i="28"/>
  <c r="J547" i="28"/>
  <c r="J543" i="28"/>
  <c r="J539" i="28"/>
  <c r="J535" i="28"/>
  <c r="J531" i="28"/>
  <c r="J527" i="28"/>
  <c r="J523" i="28"/>
  <c r="J519" i="28"/>
  <c r="J515" i="28"/>
  <c r="J511" i="28"/>
  <c r="J507" i="28"/>
  <c r="J503" i="28"/>
  <c r="J499" i="28"/>
  <c r="J495" i="28"/>
  <c r="J491" i="28"/>
  <c r="J487" i="28"/>
  <c r="J483" i="28"/>
  <c r="J479" i="28"/>
  <c r="J475" i="28"/>
  <c r="J471" i="28"/>
  <c r="J467" i="28"/>
  <c r="J463" i="28"/>
  <c r="J459" i="28"/>
  <c r="J455" i="28"/>
  <c r="J451" i="28"/>
  <c r="J447" i="28"/>
  <c r="J443" i="28"/>
  <c r="J439" i="28"/>
  <c r="J435" i="28"/>
  <c r="J431" i="28"/>
  <c r="J427" i="28"/>
  <c r="J423" i="28"/>
  <c r="J419" i="28"/>
  <c r="J415" i="28"/>
  <c r="J411" i="28"/>
  <c r="J407" i="28"/>
  <c r="J403" i="28"/>
  <c r="J399" i="28"/>
  <c r="J395" i="28"/>
  <c r="J391" i="28"/>
  <c r="J387" i="28"/>
  <c r="J383" i="28"/>
  <c r="J379" i="28"/>
  <c r="J375" i="28"/>
  <c r="J371" i="28"/>
  <c r="J367" i="28"/>
  <c r="J363" i="28"/>
  <c r="J359" i="28"/>
  <c r="J355" i="28"/>
  <c r="J351" i="28"/>
  <c r="J347" i="28"/>
  <c r="J343" i="28"/>
  <c r="J339" i="28"/>
  <c r="J335" i="28"/>
  <c r="J331" i="28"/>
  <c r="J327" i="28"/>
  <c r="J323" i="28"/>
  <c r="J319" i="28"/>
  <c r="J315" i="28"/>
  <c r="J311" i="28"/>
  <c r="J307" i="28"/>
  <c r="J303" i="28"/>
  <c r="J299" i="28"/>
  <c r="J295" i="28"/>
  <c r="J291" i="28"/>
  <c r="J287" i="28"/>
  <c r="J283" i="28"/>
  <c r="J279" i="28"/>
  <c r="J275" i="28"/>
  <c r="J271" i="28"/>
  <c r="J267" i="28"/>
  <c r="J263" i="28"/>
  <c r="J259" i="28"/>
  <c r="J255" i="28"/>
  <c r="J251" i="28"/>
  <c r="J247" i="28"/>
  <c r="J243" i="28"/>
  <c r="J239" i="28"/>
  <c r="J235" i="28"/>
  <c r="J231" i="28"/>
  <c r="J227" i="28"/>
  <c r="J223" i="28"/>
  <c r="J219" i="28"/>
  <c r="J215" i="28"/>
  <c r="J211" i="28"/>
  <c r="J207" i="28"/>
  <c r="J203" i="28"/>
  <c r="J199" i="28"/>
  <c r="J195" i="28"/>
  <c r="J191" i="28"/>
  <c r="J187" i="28"/>
  <c r="J183" i="28"/>
  <c r="J179" i="28"/>
  <c r="J175" i="28"/>
  <c r="J171" i="28"/>
  <c r="J167" i="28"/>
  <c r="J163" i="28"/>
  <c r="J159" i="28"/>
  <c r="J155" i="28"/>
  <c r="J151" i="28"/>
  <c r="J147" i="28"/>
  <c r="J143" i="28"/>
  <c r="J139" i="28"/>
  <c r="J135" i="28"/>
  <c r="J131" i="28"/>
  <c r="J127" i="28"/>
  <c r="J123" i="28"/>
  <c r="J119" i="28"/>
  <c r="J115" i="28"/>
  <c r="J111" i="28"/>
  <c r="J107" i="28"/>
  <c r="J103" i="28"/>
  <c r="J99" i="28"/>
  <c r="J95" i="28"/>
  <c r="J91" i="28"/>
  <c r="J87" i="28"/>
  <c r="J83" i="28"/>
  <c r="J79" i="28"/>
  <c r="J75" i="28"/>
  <c r="J71" i="28"/>
  <c r="J67" i="28"/>
  <c r="J63" i="28"/>
  <c r="J59" i="28"/>
  <c r="J55" i="28"/>
  <c r="J51" i="28"/>
  <c r="J41" i="28"/>
  <c r="J37" i="28"/>
  <c r="J33" i="28"/>
  <c r="J47" i="28"/>
  <c r="J29" i="28"/>
  <c r="J25" i="28"/>
  <c r="J21" i="28"/>
  <c r="J48" i="28"/>
  <c r="J44" i="28"/>
  <c r="J40" i="28"/>
  <c r="J36" i="28"/>
  <c r="J32" i="28"/>
  <c r="J28" i="28"/>
  <c r="J24" i="28"/>
  <c r="J20" i="28"/>
  <c r="J16" i="28"/>
  <c r="J17" i="28"/>
  <c r="J12" i="28"/>
  <c r="J8" i="28"/>
  <c r="J43" i="28"/>
  <c r="J39" i="28"/>
  <c r="J35" i="28"/>
  <c r="J31" i="28"/>
  <c r="J27" i="28"/>
  <c r="J23" i="28"/>
  <c r="J19" i="28"/>
  <c r="J15" i="28"/>
  <c r="J7" i="28"/>
  <c r="J3" i="28"/>
  <c r="J5" i="28"/>
  <c r="J4" i="28"/>
  <c r="J2" i="28"/>
  <c r="J11" i="28"/>
  <c r="J13" i="28"/>
  <c r="J9" i="28"/>
  <c r="E2" i="28"/>
  <c r="F2" i="28"/>
  <c r="K2" i="28"/>
  <c r="A3" i="28"/>
  <c r="B3" i="28"/>
  <c r="C3" i="28"/>
  <c r="D3" i="28"/>
  <c r="E3" i="28" l="1"/>
  <c r="F3" i="28"/>
  <c r="K3" i="28"/>
  <c r="A4" i="28"/>
  <c r="B4" i="28"/>
  <c r="C4" i="28"/>
  <c r="D4" i="28"/>
  <c r="E4" i="28" l="1"/>
  <c r="F4" i="28"/>
  <c r="K4" i="28"/>
  <c r="A5" i="28"/>
  <c r="B5" i="28"/>
  <c r="C5" i="28"/>
  <c r="D5" i="28"/>
  <c r="E5" i="28" l="1"/>
  <c r="F5" i="28"/>
  <c r="K5" i="28"/>
  <c r="A6" i="28"/>
  <c r="B6" i="28"/>
  <c r="C6" i="28"/>
  <c r="D6" i="28"/>
  <c r="E6" i="28" l="1"/>
  <c r="F6" i="28"/>
  <c r="K6" i="28"/>
  <c r="A7" i="28"/>
  <c r="B7" i="28"/>
  <c r="C7" i="28"/>
  <c r="D7" i="28"/>
  <c r="E7" i="28" l="1"/>
  <c r="F7" i="28"/>
  <c r="K7" i="28"/>
  <c r="A8" i="28"/>
  <c r="B8" i="28"/>
  <c r="C8" i="28"/>
  <c r="D8" i="28"/>
  <c r="E8" i="28" l="1"/>
  <c r="F8" i="28"/>
  <c r="K8" i="28"/>
  <c r="A9" i="28"/>
  <c r="B9" i="28"/>
  <c r="C9" i="28"/>
  <c r="D9" i="28"/>
  <c r="E9" i="28" l="1"/>
  <c r="F9" i="28"/>
  <c r="K9" i="28"/>
  <c r="A10" i="28"/>
  <c r="B10" i="28"/>
  <c r="C10" i="28"/>
  <c r="D10" i="28"/>
  <c r="E10" i="28" l="1"/>
  <c r="F10" i="28"/>
  <c r="K10" i="28"/>
  <c r="A11" i="28"/>
  <c r="B11" i="28"/>
  <c r="C11" i="28"/>
  <c r="E11" i="28"/>
  <c r="F11" i="28"/>
  <c r="K11" i="28"/>
  <c r="A12" i="28"/>
  <c r="B12" i="28"/>
  <c r="C12" i="28"/>
  <c r="D12" i="28"/>
  <c r="D11" i="28"/>
  <c r="E12" i="28" l="1"/>
  <c r="F12" i="28"/>
  <c r="K12" i="28"/>
  <c r="A13" i="28"/>
  <c r="B13" i="28"/>
  <c r="C13" i="28"/>
  <c r="D13" i="28"/>
  <c r="E13" i="28" l="1"/>
  <c r="F13" i="28"/>
  <c r="K13" i="28"/>
  <c r="A14" i="28"/>
  <c r="B14" i="28"/>
  <c r="C14" i="28"/>
  <c r="D14" i="28"/>
  <c r="E14" i="28" l="1"/>
  <c r="F14" i="28"/>
  <c r="K14" i="28"/>
  <c r="A15" i="28"/>
  <c r="B15" i="28"/>
  <c r="C15" i="28"/>
  <c r="D15" i="28"/>
  <c r="E15" i="28" l="1"/>
  <c r="F15" i="28"/>
  <c r="K15" i="28"/>
  <c r="A16" i="28"/>
  <c r="B16" i="28"/>
  <c r="C16" i="28"/>
  <c r="D16" i="28"/>
  <c r="E16" i="28" l="1"/>
  <c r="F16" i="28"/>
  <c r="K16" i="28"/>
  <c r="A17" i="28"/>
  <c r="B17" i="28"/>
  <c r="C17" i="28"/>
  <c r="D17" i="28"/>
  <c r="E17" i="28" l="1"/>
  <c r="F17" i="28"/>
  <c r="K17" i="28"/>
  <c r="A18" i="28"/>
  <c r="B18" i="28"/>
  <c r="C18" i="28"/>
  <c r="D18" i="28"/>
  <c r="E18" i="28" l="1"/>
  <c r="F18" i="28"/>
  <c r="K18" i="28"/>
  <c r="A19" i="28"/>
  <c r="B19" i="28"/>
  <c r="C19" i="28"/>
  <c r="E19" i="28"/>
  <c r="F19" i="28"/>
  <c r="K19" i="28"/>
  <c r="A20" i="28"/>
  <c r="B20" i="28"/>
  <c r="C20" i="28"/>
  <c r="D20" i="28"/>
  <c r="D19" i="28"/>
  <c r="E20" i="28" l="1"/>
  <c r="F20" i="28"/>
  <c r="K20" i="28"/>
  <c r="A21" i="28"/>
  <c r="B21" i="28"/>
  <c r="C21" i="28"/>
  <c r="E21" i="28"/>
  <c r="F21" i="28"/>
  <c r="K21" i="28"/>
  <c r="A22" i="28"/>
  <c r="B22" i="28"/>
  <c r="C22" i="28"/>
  <c r="E22" i="28"/>
  <c r="F22" i="28"/>
  <c r="K22" i="28"/>
  <c r="A23" i="28"/>
  <c r="B23" i="28"/>
  <c r="C23" i="28"/>
  <c r="D21" i="28"/>
  <c r="D22" i="28"/>
  <c r="D23" i="28"/>
  <c r="E23" i="28" l="1"/>
  <c r="F23" i="28"/>
  <c r="K23" i="28"/>
  <c r="A24" i="28"/>
  <c r="B24" i="28"/>
  <c r="C24" i="28"/>
  <c r="D24" i="28"/>
  <c r="E24" i="28" l="1"/>
  <c r="F24" i="28"/>
  <c r="K24" i="28"/>
  <c r="A25" i="28"/>
  <c r="B25" i="28"/>
  <c r="C25" i="28"/>
  <c r="E25" i="28"/>
  <c r="F25" i="28"/>
  <c r="K25" i="28"/>
  <c r="A26" i="28"/>
  <c r="B26" i="28"/>
  <c r="C26" i="28"/>
  <c r="D26" i="28"/>
  <c r="D25" i="28"/>
  <c r="E26" i="28" l="1"/>
  <c r="F26" i="28"/>
  <c r="K26" i="28"/>
  <c r="A27" i="28"/>
  <c r="B27" i="28"/>
  <c r="C27" i="28"/>
  <c r="D27" i="28"/>
  <c r="E27" i="28" l="1"/>
  <c r="F27" i="28"/>
  <c r="K27" i="28"/>
  <c r="A28" i="28"/>
  <c r="B28" i="28"/>
  <c r="C28" i="28"/>
  <c r="E28" i="28"/>
  <c r="F28" i="28"/>
  <c r="K28" i="28"/>
  <c r="A29" i="28"/>
  <c r="B29" i="28"/>
  <c r="C29" i="28"/>
  <c r="D29" i="28"/>
  <c r="D28" i="28"/>
  <c r="E29" i="28" l="1"/>
  <c r="F29" i="28"/>
  <c r="K29" i="28"/>
  <c r="A30" i="28"/>
  <c r="B30" i="28"/>
  <c r="C30" i="28"/>
  <c r="D30" i="28"/>
  <c r="E30" i="28" l="1"/>
  <c r="F30" i="28"/>
  <c r="K30" i="28"/>
  <c r="A31" i="28"/>
  <c r="B31" i="28"/>
  <c r="C31" i="28"/>
  <c r="E31" i="28"/>
  <c r="F31" i="28"/>
  <c r="K31" i="28"/>
  <c r="A32" i="28"/>
  <c r="B32" i="28"/>
  <c r="C32" i="28"/>
  <c r="E32" i="28"/>
  <c r="F32" i="28"/>
  <c r="K32" i="28"/>
  <c r="A33" i="28"/>
  <c r="B33" i="28"/>
  <c r="C33" i="28"/>
  <c r="E33" i="28"/>
  <c r="F33" i="28"/>
  <c r="K33" i="28"/>
  <c r="A34" i="28"/>
  <c r="B34" i="28"/>
  <c r="C34" i="28"/>
  <c r="E34" i="28"/>
  <c r="F34" i="28"/>
  <c r="K34" i="28"/>
  <c r="A35" i="28"/>
  <c r="B35" i="28"/>
  <c r="C35" i="28"/>
  <c r="E35" i="28"/>
  <c r="F35" i="28"/>
  <c r="K35" i="28"/>
  <c r="A36" i="28"/>
  <c r="B36" i="28"/>
  <c r="C36" i="28"/>
  <c r="E36" i="28"/>
  <c r="F36" i="28"/>
  <c r="K36" i="28"/>
  <c r="A37" i="28"/>
  <c r="B37" i="28"/>
  <c r="C37" i="28"/>
  <c r="D37" i="28"/>
  <c r="D31" i="28"/>
  <c r="D34" i="28"/>
  <c r="D36" i="28"/>
  <c r="D35" i="28"/>
  <c r="D32" i="28"/>
  <c r="D33" i="28"/>
  <c r="E37" i="28" l="1"/>
  <c r="F37" i="28"/>
  <c r="K37" i="28"/>
  <c r="A38" i="28"/>
  <c r="B38" i="28"/>
  <c r="C38" i="28"/>
  <c r="E38" i="28"/>
  <c r="F38" i="28"/>
  <c r="K38" i="28"/>
  <c r="A39" i="28"/>
  <c r="B39" i="28"/>
  <c r="C39" i="28"/>
  <c r="E39" i="28"/>
  <c r="F39" i="28"/>
  <c r="K39" i="28"/>
  <c r="A40" i="28"/>
  <c r="B40" i="28"/>
  <c r="C40" i="28"/>
  <c r="E40" i="28"/>
  <c r="F40" i="28"/>
  <c r="K40" i="28"/>
  <c r="A41" i="28"/>
  <c r="B41" i="28"/>
  <c r="C41" i="28"/>
  <c r="E41" i="28"/>
  <c r="F41" i="28"/>
  <c r="K41" i="28"/>
  <c r="A42" i="28"/>
  <c r="B42" i="28"/>
  <c r="C42" i="28"/>
  <c r="E42" i="28"/>
  <c r="F42" i="28"/>
  <c r="K42" i="28"/>
  <c r="A43" i="28"/>
  <c r="B43" i="28"/>
  <c r="C43" i="28"/>
  <c r="E43" i="28"/>
  <c r="F43" i="28"/>
  <c r="K43" i="28"/>
  <c r="A44" i="28"/>
  <c r="B44" i="28"/>
  <c r="C44" i="28"/>
  <c r="E44" i="28"/>
  <c r="F44" i="28"/>
  <c r="K44" i="28"/>
  <c r="A45" i="28"/>
  <c r="B45" i="28"/>
  <c r="C45" i="28"/>
  <c r="E45" i="28"/>
  <c r="F45" i="28"/>
  <c r="K45" i="28"/>
  <c r="A46" i="28"/>
  <c r="B46" i="28"/>
  <c r="C46" i="28"/>
  <c r="E46" i="28"/>
  <c r="F46" i="28"/>
  <c r="K46" i="28"/>
  <c r="A47" i="28"/>
  <c r="B47" i="28"/>
  <c r="C47" i="28"/>
  <c r="E47" i="28"/>
  <c r="F47" i="28"/>
  <c r="K47" i="28"/>
  <c r="A48" i="28"/>
  <c r="B48" i="28"/>
  <c r="C48" i="28"/>
  <c r="D42" i="28"/>
  <c r="D38" i="28"/>
  <c r="D44" i="28"/>
  <c r="D47" i="28"/>
  <c r="D39" i="28"/>
  <c r="D41" i="28"/>
  <c r="D40" i="28"/>
  <c r="D43" i="28"/>
  <c r="D45" i="28"/>
  <c r="D48" i="28"/>
  <c r="D46" i="28"/>
  <c r="E48" i="28" l="1"/>
  <c r="F48" i="28"/>
  <c r="K48" i="28"/>
  <c r="A49" i="28"/>
  <c r="B49" i="28"/>
  <c r="C49" i="28"/>
  <c r="D49" i="28"/>
  <c r="E49" i="28" l="1"/>
  <c r="F49" i="28"/>
  <c r="K49" i="28"/>
  <c r="A50" i="28"/>
  <c r="B50" i="28"/>
  <c r="C50" i="28"/>
  <c r="E50" i="28"/>
  <c r="F50" i="28"/>
  <c r="K50" i="28"/>
  <c r="A51" i="28"/>
  <c r="B51" i="28"/>
  <c r="C51" i="28"/>
  <c r="E51" i="28"/>
  <c r="F51" i="28"/>
  <c r="K51" i="28"/>
  <c r="A52" i="28"/>
  <c r="B52" i="28"/>
  <c r="C52" i="28"/>
  <c r="E52" i="28"/>
  <c r="F52" i="28"/>
  <c r="K52" i="28"/>
  <c r="A53" i="28"/>
  <c r="B53" i="28"/>
  <c r="C53" i="28"/>
  <c r="E53" i="28"/>
  <c r="F53" i="28"/>
  <c r="K53" i="28"/>
  <c r="A54" i="28"/>
  <c r="B54" i="28"/>
  <c r="C54" i="28"/>
  <c r="D52" i="28"/>
  <c r="D54" i="28"/>
  <c r="D53" i="28"/>
  <c r="D51" i="28"/>
  <c r="D50" i="28"/>
  <c r="E54" i="28" l="1"/>
  <c r="F54" i="28"/>
  <c r="K54" i="28"/>
  <c r="A55" i="28"/>
  <c r="B55" i="28"/>
  <c r="C55" i="28"/>
  <c r="E55" i="28"/>
  <c r="F55" i="28"/>
  <c r="K55" i="28"/>
  <c r="A56" i="28"/>
  <c r="B56" i="28"/>
  <c r="C56" i="28"/>
  <c r="D56" i="28"/>
  <c r="D55" i="28"/>
  <c r="E56" i="28" l="1"/>
  <c r="F56" i="28"/>
  <c r="K56" i="28"/>
  <c r="A57" i="28"/>
  <c r="B57" i="28"/>
  <c r="C57" i="28"/>
  <c r="D57" i="28"/>
  <c r="E57" i="28" l="1"/>
  <c r="F57" i="28"/>
  <c r="K57" i="28"/>
  <c r="A58" i="28"/>
  <c r="B58" i="28"/>
  <c r="C58" i="28"/>
  <c r="E58" i="28"/>
  <c r="F58" i="28"/>
  <c r="K58" i="28"/>
  <c r="A59" i="28"/>
  <c r="B59" i="28"/>
  <c r="C59" i="28"/>
  <c r="E59" i="28"/>
  <c r="F59" i="28"/>
  <c r="K59" i="28"/>
  <c r="A60" i="28"/>
  <c r="B60" i="28"/>
  <c r="C60" i="28"/>
  <c r="E60" i="28"/>
  <c r="F60" i="28"/>
  <c r="K60" i="28"/>
  <c r="A61" i="28"/>
  <c r="B61" i="28"/>
  <c r="C61" i="28"/>
  <c r="E61" i="28"/>
  <c r="F61" i="28"/>
  <c r="K61" i="28"/>
  <c r="A62" i="28"/>
  <c r="B62" i="28"/>
  <c r="C62" i="28"/>
  <c r="E62" i="28"/>
  <c r="F62" i="28"/>
  <c r="K62" i="28"/>
  <c r="A63" i="28"/>
  <c r="B63" i="28"/>
  <c r="C63" i="28"/>
  <c r="E63" i="28"/>
  <c r="F63" i="28"/>
  <c r="K63" i="28"/>
  <c r="A64" i="28"/>
  <c r="B64" i="28"/>
  <c r="C64" i="28"/>
  <c r="D63" i="28"/>
  <c r="D60" i="28"/>
  <c r="D59" i="28"/>
  <c r="D64" i="28"/>
  <c r="D62" i="28"/>
  <c r="D61" i="28"/>
  <c r="D58" i="28"/>
  <c r="E64" i="28" l="1"/>
  <c r="F64" i="28"/>
  <c r="K64" i="28"/>
  <c r="A65" i="28"/>
  <c r="B65" i="28"/>
  <c r="C65" i="28"/>
  <c r="E65" i="28"/>
  <c r="F65" i="28"/>
  <c r="K65" i="28"/>
  <c r="A66" i="28"/>
  <c r="B66" i="28"/>
  <c r="C66" i="28"/>
  <c r="D66" i="28"/>
  <c r="D65" i="28"/>
  <c r="E66" i="28" l="1"/>
  <c r="F66" i="28"/>
  <c r="K66" i="28"/>
  <c r="A67" i="28"/>
  <c r="B67" i="28"/>
  <c r="C67" i="28"/>
  <c r="D67" i="28"/>
  <c r="E67" i="28" l="1"/>
  <c r="F67" i="28"/>
  <c r="K67" i="28"/>
  <c r="A68" i="28"/>
  <c r="B68" i="28"/>
  <c r="C68" i="28"/>
  <c r="D68" i="28"/>
  <c r="E68" i="28" l="1"/>
  <c r="F68" i="28"/>
  <c r="K68" i="28"/>
  <c r="A69" i="28"/>
  <c r="B69" i="28"/>
  <c r="C69" i="28"/>
  <c r="D69" i="28"/>
  <c r="E69" i="28" l="1"/>
  <c r="F69" i="28"/>
  <c r="K69" i="28"/>
  <c r="A70" i="28"/>
  <c r="B70" i="28"/>
  <c r="C70" i="28"/>
  <c r="D70" i="28"/>
  <c r="E70" i="28" l="1"/>
  <c r="F70" i="28"/>
  <c r="K70" i="28"/>
  <c r="A71" i="28"/>
  <c r="B71" i="28"/>
  <c r="C71" i="28"/>
  <c r="E71" i="28"/>
  <c r="F71" i="28"/>
  <c r="K71" i="28"/>
  <c r="A72" i="28"/>
  <c r="B72" i="28"/>
  <c r="C72" i="28"/>
  <c r="D72" i="28"/>
  <c r="D71" i="28"/>
  <c r="E72" i="28" l="1"/>
  <c r="F72" i="28"/>
  <c r="K72" i="28"/>
  <c r="A73" i="28"/>
  <c r="B73" i="28"/>
  <c r="C73" i="28"/>
  <c r="D73" i="28"/>
  <c r="E73" i="28" l="1"/>
  <c r="F73" i="28"/>
  <c r="K73" i="28"/>
  <c r="A74" i="28"/>
  <c r="B74" i="28"/>
  <c r="C74" i="28"/>
  <c r="E74" i="28"/>
  <c r="F74" i="28"/>
  <c r="K74" i="28"/>
  <c r="A75" i="28"/>
  <c r="B75" i="28"/>
  <c r="C75" i="28"/>
  <c r="D74" i="28"/>
  <c r="D75" i="28"/>
  <c r="E75" i="28" l="1"/>
  <c r="F75" i="28"/>
  <c r="K75" i="28"/>
  <c r="A76" i="28"/>
  <c r="B76" i="28"/>
  <c r="C76" i="28"/>
  <c r="D76" i="28"/>
  <c r="E76" i="28" l="1"/>
  <c r="F76" i="28"/>
  <c r="K76" i="28"/>
  <c r="A77" i="28"/>
  <c r="B77" i="28"/>
  <c r="C77" i="28"/>
  <c r="D77" i="28"/>
  <c r="E77" i="28" l="1"/>
  <c r="F77" i="28"/>
  <c r="K77" i="28"/>
  <c r="A78" i="28"/>
  <c r="B78" i="28"/>
  <c r="C78" i="28"/>
  <c r="D78" i="28"/>
  <c r="E78" i="28" l="1"/>
  <c r="F78" i="28"/>
  <c r="K78" i="28"/>
  <c r="A79" i="28"/>
  <c r="B79" i="28"/>
  <c r="C79" i="28"/>
  <c r="D79" i="28"/>
  <c r="E79" i="28" l="1"/>
  <c r="F79" i="28"/>
  <c r="K79" i="28"/>
  <c r="A80" i="28"/>
  <c r="B80" i="28"/>
  <c r="C80" i="28"/>
  <c r="D80" i="28"/>
  <c r="E80" i="28" l="1"/>
  <c r="F80" i="28"/>
  <c r="K80" i="28"/>
  <c r="A81" i="28"/>
  <c r="B81" i="28"/>
  <c r="C81" i="28"/>
  <c r="E81" i="28"/>
  <c r="F81" i="28"/>
  <c r="K81" i="28"/>
  <c r="A82" i="28"/>
  <c r="B82" i="28"/>
  <c r="C82" i="28"/>
  <c r="D81" i="28"/>
  <c r="D82" i="28"/>
  <c r="E82" i="28" l="1"/>
  <c r="F82" i="28"/>
  <c r="K82" i="28"/>
  <c r="A83" i="28"/>
  <c r="B83" i="28"/>
  <c r="C83" i="28"/>
  <c r="E83" i="28"/>
  <c r="F83" i="28"/>
  <c r="K83" i="28"/>
  <c r="A84" i="28"/>
  <c r="B84" i="28"/>
  <c r="C84" i="28"/>
  <c r="E84" i="28"/>
  <c r="F84" i="28"/>
  <c r="K84" i="28"/>
  <c r="A85" i="28"/>
  <c r="B85" i="28"/>
  <c r="C85" i="28"/>
  <c r="E85" i="28"/>
  <c r="F85" i="28"/>
  <c r="K85" i="28"/>
  <c r="A86" i="28"/>
  <c r="B86" i="28"/>
  <c r="C86" i="28"/>
  <c r="E86" i="28"/>
  <c r="F86" i="28"/>
  <c r="K86" i="28"/>
  <c r="A87" i="28"/>
  <c r="B87" i="28"/>
  <c r="C87" i="28"/>
  <c r="E87" i="28"/>
  <c r="F87" i="28"/>
  <c r="K87" i="28"/>
  <c r="A88" i="28"/>
  <c r="B88" i="28"/>
  <c r="C88" i="28"/>
  <c r="E88" i="28"/>
  <c r="F88" i="28"/>
  <c r="K88" i="28"/>
  <c r="A89" i="28"/>
  <c r="B89" i="28"/>
  <c r="C89" i="28"/>
  <c r="E89" i="28"/>
  <c r="F89" i="28"/>
  <c r="K89" i="28"/>
  <c r="A90" i="28"/>
  <c r="B90" i="28"/>
  <c r="C90" i="28"/>
  <c r="E90" i="28"/>
  <c r="F90" i="28"/>
  <c r="K90" i="28"/>
  <c r="A91" i="28"/>
  <c r="B91" i="28"/>
  <c r="C91" i="28"/>
  <c r="E91" i="28"/>
  <c r="F91" i="28"/>
  <c r="K91" i="28"/>
  <c r="A92" i="28"/>
  <c r="B92" i="28"/>
  <c r="C92" i="28"/>
  <c r="D88" i="28"/>
  <c r="D89" i="28"/>
  <c r="D86" i="28"/>
  <c r="D90" i="28"/>
  <c r="D87" i="28"/>
  <c r="D92" i="28"/>
  <c r="D83" i="28"/>
  <c r="D85" i="28"/>
  <c r="D84" i="28"/>
  <c r="D91" i="28"/>
  <c r="E92" i="28" l="1"/>
  <c r="F92" i="28"/>
  <c r="K92" i="28"/>
  <c r="A93" i="28"/>
  <c r="B93" i="28"/>
  <c r="C93" i="28"/>
  <c r="E93" i="28"/>
  <c r="F93" i="28"/>
  <c r="K93" i="28"/>
  <c r="A94" i="28"/>
  <c r="B94" i="28"/>
  <c r="C94" i="28"/>
  <c r="D94" i="28"/>
  <c r="D93" i="28"/>
  <c r="E94" i="28" l="1"/>
  <c r="F94" i="28"/>
  <c r="K94" i="28"/>
  <c r="A95" i="28"/>
  <c r="B95" i="28"/>
  <c r="C95" i="28"/>
  <c r="D95" i="28"/>
  <c r="E95" i="28" l="1"/>
  <c r="F95" i="28"/>
  <c r="K95" i="28"/>
  <c r="A96" i="28"/>
  <c r="B96" i="28"/>
  <c r="C96" i="28"/>
  <c r="D96" i="28"/>
  <c r="E96" i="28" l="1"/>
  <c r="F96" i="28"/>
  <c r="K96" i="28"/>
  <c r="A97" i="28"/>
  <c r="B97" i="28"/>
  <c r="C97" i="28"/>
  <c r="D97" i="28"/>
  <c r="E97" i="28" l="1"/>
  <c r="F97" i="28"/>
  <c r="K97" i="28"/>
  <c r="A98" i="28"/>
  <c r="B98" i="28"/>
  <c r="C98" i="28"/>
  <c r="E98" i="28"/>
  <c r="F98" i="28"/>
  <c r="K98" i="28"/>
  <c r="A99" i="28"/>
  <c r="B99" i="28"/>
  <c r="C99" i="28"/>
  <c r="D99" i="28"/>
  <c r="D98" i="28"/>
  <c r="E99" i="28" l="1"/>
  <c r="F99" i="28"/>
  <c r="K99" i="28"/>
  <c r="A100" i="28"/>
  <c r="B100" i="28"/>
  <c r="C100" i="28"/>
  <c r="D100" i="28"/>
  <c r="E100" i="28" l="1"/>
  <c r="F100" i="28"/>
  <c r="K100" i="28"/>
  <c r="A101" i="28"/>
  <c r="B101" i="28"/>
  <c r="C101" i="28"/>
  <c r="D101" i="28"/>
  <c r="E101" i="28" l="1"/>
  <c r="F101" i="28"/>
  <c r="K101" i="28"/>
  <c r="A102" i="28"/>
  <c r="B102" i="28"/>
  <c r="C102" i="28"/>
  <c r="D102" i="28"/>
  <c r="E102" i="28" l="1"/>
  <c r="F102" i="28"/>
  <c r="K102" i="28"/>
  <c r="A103" i="28"/>
  <c r="B103" i="28"/>
  <c r="C103" i="28"/>
  <c r="D103" i="28"/>
  <c r="E103" i="28" l="1"/>
  <c r="F103" i="28"/>
  <c r="K103" i="28"/>
  <c r="A104" i="28"/>
  <c r="B104" i="28"/>
  <c r="C104" i="28"/>
  <c r="D104" i="28"/>
  <c r="E104" i="28" l="1"/>
  <c r="F104" i="28"/>
  <c r="K104" i="28"/>
  <c r="A105" i="28"/>
  <c r="B105" i="28"/>
  <c r="C105" i="28"/>
  <c r="E105" i="28"/>
  <c r="F105" i="28"/>
  <c r="K105" i="28"/>
  <c r="A106" i="28"/>
  <c r="B106" i="28"/>
  <c r="C106" i="28"/>
  <c r="E106" i="28"/>
  <c r="F106" i="28"/>
  <c r="K106" i="28"/>
  <c r="A107" i="28"/>
  <c r="B107" i="28"/>
  <c r="C107" i="28"/>
  <c r="D106" i="28"/>
  <c r="D105" i="28"/>
  <c r="D107" i="28"/>
  <c r="E107" i="28" l="1"/>
  <c r="F107" i="28"/>
  <c r="K107" i="28"/>
  <c r="A108" i="28"/>
  <c r="B108" i="28"/>
  <c r="C108" i="28"/>
  <c r="D108" i="28"/>
  <c r="E108" i="28" l="1"/>
  <c r="F108" i="28"/>
  <c r="K108" i="28"/>
  <c r="A109" i="28"/>
  <c r="B109" i="28"/>
  <c r="C109" i="28"/>
  <c r="E109" i="28"/>
  <c r="F109" i="28"/>
  <c r="K109" i="28"/>
  <c r="A110" i="28"/>
  <c r="B110" i="28"/>
  <c r="C110" i="28"/>
  <c r="D109" i="28"/>
  <c r="D110" i="28"/>
  <c r="E110" i="28" l="1"/>
  <c r="F110" i="28"/>
  <c r="K110" i="28"/>
  <c r="A111" i="28"/>
  <c r="B111" i="28"/>
  <c r="C111" i="28"/>
  <c r="D111" i="28"/>
  <c r="E111" i="28" l="1"/>
  <c r="F111" i="28"/>
  <c r="K111" i="28"/>
  <c r="A112" i="28"/>
  <c r="B112" i="28"/>
  <c r="C112" i="28"/>
  <c r="D112" i="28"/>
  <c r="E112" i="28" l="1"/>
  <c r="F112" i="28"/>
  <c r="K112" i="28"/>
  <c r="A113" i="28"/>
  <c r="B113" i="28"/>
  <c r="C113" i="28"/>
  <c r="E113" i="28"/>
  <c r="F113" i="28"/>
  <c r="K113" i="28"/>
  <c r="A114" i="28"/>
  <c r="B114" i="28"/>
  <c r="C114" i="28"/>
  <c r="D113" i="28"/>
  <c r="D114" i="28"/>
  <c r="E114" i="28" l="1"/>
  <c r="F114" i="28"/>
  <c r="K114" i="28"/>
  <c r="A115" i="28"/>
  <c r="B115" i="28"/>
  <c r="C115" i="28"/>
  <c r="D115" i="28"/>
  <c r="E115" i="28" l="1"/>
  <c r="F115" i="28"/>
  <c r="K115" i="28"/>
  <c r="A116" i="28"/>
  <c r="B116" i="28"/>
  <c r="C116" i="28"/>
  <c r="D116" i="28"/>
  <c r="E116" i="28" l="1"/>
  <c r="F116" i="28"/>
  <c r="K116" i="28"/>
  <c r="A117" i="28"/>
  <c r="B117" i="28"/>
  <c r="C117" i="28"/>
  <c r="D117" i="28"/>
  <c r="E117" i="28" l="1"/>
  <c r="F117" i="28"/>
  <c r="K117" i="28"/>
  <c r="A118" i="28"/>
  <c r="B118" i="28"/>
  <c r="C118" i="28"/>
  <c r="E118" i="28"/>
  <c r="F118" i="28"/>
  <c r="K118" i="28"/>
  <c r="A119" i="28"/>
  <c r="B119" i="28"/>
  <c r="C119" i="28"/>
  <c r="D118" i="28"/>
  <c r="D119" i="28"/>
  <c r="E119" i="28" l="1"/>
  <c r="F119" i="28"/>
  <c r="K119" i="28"/>
  <c r="A120" i="28"/>
  <c r="B120" i="28"/>
  <c r="C120" i="28"/>
  <c r="E120" i="28"/>
  <c r="F120" i="28"/>
  <c r="K120" i="28"/>
  <c r="A121" i="28"/>
  <c r="B121" i="28"/>
  <c r="C121" i="28"/>
  <c r="D121" i="28"/>
  <c r="D120" i="28"/>
  <c r="E121" i="28" l="1"/>
  <c r="F121" i="28"/>
  <c r="K121" i="28"/>
  <c r="A122" i="28"/>
  <c r="B122" i="28"/>
  <c r="C122" i="28"/>
  <c r="D122" i="28"/>
  <c r="E122" i="28" l="1"/>
  <c r="F122" i="28"/>
  <c r="K122" i="28"/>
  <c r="A123" i="28"/>
  <c r="B123" i="28"/>
  <c r="C123" i="28"/>
  <c r="D123" i="28"/>
  <c r="E123" i="28" l="1"/>
  <c r="F123" i="28"/>
  <c r="K123" i="28"/>
  <c r="A124" i="28"/>
  <c r="B124" i="28"/>
  <c r="C124" i="28"/>
  <c r="D124" i="28"/>
  <c r="E124" i="28" l="1"/>
  <c r="F124" i="28"/>
  <c r="K124" i="28"/>
  <c r="A125" i="28"/>
  <c r="B125" i="28"/>
  <c r="C125" i="28"/>
  <c r="D125" i="28"/>
  <c r="E125" i="28" l="1"/>
  <c r="F125" i="28"/>
  <c r="K125" i="28"/>
  <c r="A126" i="28"/>
  <c r="B126" i="28"/>
  <c r="C126" i="28"/>
  <c r="D126" i="28"/>
  <c r="E126" i="28" l="1"/>
  <c r="F126" i="28"/>
  <c r="K126" i="28"/>
  <c r="A127" i="28"/>
  <c r="B127" i="28"/>
  <c r="C127" i="28"/>
  <c r="D127" i="28"/>
  <c r="E127" i="28" l="1"/>
  <c r="F127" i="28"/>
  <c r="K127" i="28"/>
  <c r="A128" i="28"/>
  <c r="B128" i="28"/>
  <c r="C128" i="28"/>
  <c r="D128" i="28"/>
  <c r="E128" i="28" l="1"/>
  <c r="F128" i="28"/>
  <c r="K128" i="28"/>
  <c r="A129" i="28"/>
  <c r="B129" i="28"/>
  <c r="C129" i="28"/>
  <c r="D129" i="28"/>
  <c r="E129" i="28" l="1"/>
  <c r="F129" i="28"/>
  <c r="K129" i="28"/>
  <c r="A130" i="28"/>
  <c r="B130" i="28"/>
  <c r="C130" i="28"/>
  <c r="D130" i="28"/>
  <c r="E130" i="28" l="1"/>
  <c r="F130" i="28"/>
  <c r="K130" i="28"/>
  <c r="A131" i="28"/>
  <c r="B131" i="28"/>
  <c r="C131" i="28"/>
  <c r="D131" i="28"/>
  <c r="E131" i="28" l="1"/>
  <c r="F131" i="28"/>
  <c r="K131" i="28"/>
  <c r="A132" i="28"/>
  <c r="B132" i="28"/>
  <c r="C132" i="28"/>
  <c r="D132" i="28"/>
  <c r="E132" i="28" l="1"/>
  <c r="F132" i="28"/>
  <c r="K132" i="28"/>
  <c r="A133" i="28"/>
  <c r="B133" i="28"/>
  <c r="C133" i="28"/>
  <c r="D133" i="28"/>
  <c r="E133" i="28" l="1"/>
  <c r="F133" i="28"/>
  <c r="K133" i="28"/>
  <c r="A134" i="28"/>
  <c r="B134" i="28"/>
  <c r="C134" i="28"/>
  <c r="E134" i="28"/>
  <c r="F134" i="28"/>
  <c r="K134" i="28"/>
  <c r="A135" i="28"/>
  <c r="B135" i="28"/>
  <c r="C135" i="28"/>
  <c r="D135" i="28"/>
  <c r="D134" i="28"/>
  <c r="E135" i="28" l="1"/>
  <c r="F135" i="28"/>
  <c r="K135" i="28"/>
  <c r="A136" i="28"/>
  <c r="B136" i="28"/>
  <c r="C136" i="28"/>
  <c r="D136" i="28"/>
  <c r="E136" i="28" l="1"/>
  <c r="F136" i="28"/>
  <c r="K136" i="28"/>
  <c r="A137" i="28"/>
  <c r="B137" i="28"/>
  <c r="C137" i="28"/>
  <c r="D137" i="28"/>
  <c r="E137" i="28" l="1"/>
  <c r="F137" i="28"/>
  <c r="K137" i="28"/>
  <c r="A138" i="28"/>
  <c r="B138" i="28"/>
  <c r="C138" i="28"/>
  <c r="E138" i="28"/>
  <c r="F138" i="28"/>
  <c r="K138" i="28"/>
  <c r="A139" i="28"/>
  <c r="B139" i="28"/>
  <c r="C139" i="28"/>
  <c r="D138" i="28"/>
  <c r="D139" i="28"/>
  <c r="E139" i="28" l="1"/>
  <c r="F139" i="28"/>
  <c r="K139" i="28"/>
  <c r="A140" i="28"/>
  <c r="B140" i="28"/>
  <c r="C140" i="28"/>
  <c r="D140" i="28"/>
  <c r="E140" i="28" l="1"/>
  <c r="F140" i="28"/>
  <c r="K140" i="28"/>
  <c r="A141" i="28"/>
  <c r="B141" i="28"/>
  <c r="C141" i="28"/>
  <c r="D141" i="28"/>
  <c r="E141" i="28" l="1"/>
  <c r="F141" i="28"/>
  <c r="K141" i="28"/>
  <c r="A142" i="28"/>
  <c r="B142" i="28"/>
  <c r="C142" i="28"/>
  <c r="D142" i="28"/>
  <c r="E142" i="28" l="1"/>
  <c r="F142" i="28"/>
  <c r="K142" i="28"/>
  <c r="A143" i="28"/>
  <c r="B143" i="28"/>
  <c r="C143" i="28"/>
  <c r="D143" i="28"/>
  <c r="E143" i="28" l="1"/>
  <c r="F143" i="28"/>
  <c r="K143" i="28"/>
  <c r="A144" i="28"/>
  <c r="B144" i="28"/>
  <c r="C144" i="28"/>
  <c r="D144" i="28"/>
  <c r="E144" i="28" l="1"/>
  <c r="F144" i="28"/>
  <c r="K144" i="28"/>
  <c r="A145" i="28"/>
  <c r="B145" i="28"/>
  <c r="C145" i="28"/>
  <c r="D145" i="28"/>
  <c r="E145" i="28" l="1"/>
  <c r="F145" i="28"/>
  <c r="K145" i="28"/>
  <c r="A146" i="28"/>
  <c r="B146" i="28"/>
  <c r="C146" i="28"/>
  <c r="D146" i="28"/>
  <c r="E146" i="28" l="1"/>
  <c r="F146" i="28"/>
  <c r="K146" i="28"/>
  <c r="A147" i="28"/>
  <c r="B147" i="28"/>
  <c r="C147" i="28"/>
  <c r="D147" i="28"/>
  <c r="E147" i="28" l="1"/>
  <c r="F147" i="28"/>
  <c r="K147" i="28"/>
  <c r="A148" i="28"/>
  <c r="B148" i="28"/>
  <c r="C148" i="28"/>
  <c r="D148" i="28"/>
  <c r="E148" i="28" l="1"/>
  <c r="F148" i="28"/>
  <c r="K148" i="28"/>
  <c r="A149" i="28"/>
  <c r="B149" i="28"/>
  <c r="C149" i="28"/>
  <c r="D149" i="28"/>
  <c r="E149" i="28" l="1"/>
  <c r="F149" i="28"/>
  <c r="K149" i="28"/>
  <c r="A150" i="28"/>
  <c r="B150" i="28"/>
  <c r="C150" i="28"/>
  <c r="D150" i="28"/>
  <c r="E150" i="28" l="1"/>
  <c r="F150" i="28"/>
  <c r="K150" i="28"/>
  <c r="A151" i="28"/>
  <c r="B151" i="28"/>
  <c r="C151" i="28"/>
  <c r="D151" i="28"/>
  <c r="E151" i="28" l="1"/>
  <c r="F151" i="28"/>
  <c r="K151" i="28"/>
  <c r="A152" i="28"/>
  <c r="B152" i="28"/>
  <c r="C152" i="28"/>
  <c r="D152" i="28"/>
  <c r="E152" i="28" l="1"/>
  <c r="F152" i="28"/>
  <c r="K152" i="28"/>
  <c r="A153" i="28"/>
  <c r="B153" i="28"/>
  <c r="C153" i="28"/>
  <c r="D153" i="28"/>
  <c r="E153" i="28" l="1"/>
  <c r="F153" i="28"/>
  <c r="K153" i="28"/>
  <c r="A154" i="28"/>
  <c r="B154" i="28"/>
  <c r="C154" i="28"/>
  <c r="D154" i="28"/>
  <c r="E154" i="28" l="1"/>
  <c r="F154" i="28"/>
  <c r="K154" i="28"/>
  <c r="A155" i="28"/>
  <c r="B155" i="28"/>
  <c r="C155" i="28"/>
  <c r="D155" i="28"/>
  <c r="E155" i="28" l="1"/>
  <c r="F155" i="28"/>
  <c r="K155" i="28"/>
  <c r="A156" i="28"/>
  <c r="B156" i="28"/>
  <c r="C156" i="28"/>
  <c r="D156" i="28"/>
  <c r="E156" i="28" l="1"/>
  <c r="F156" i="28"/>
  <c r="K156" i="28"/>
  <c r="A157" i="28"/>
  <c r="B157" i="28"/>
  <c r="C157" i="28"/>
  <c r="E157" i="28"/>
  <c r="F157" i="28"/>
  <c r="K157" i="28"/>
  <c r="A158" i="28"/>
  <c r="B158" i="28"/>
  <c r="C158" i="28"/>
  <c r="D158" i="28"/>
  <c r="D157" i="28"/>
  <c r="E158" i="28" l="1"/>
  <c r="F158" i="28"/>
  <c r="K158" i="28"/>
  <c r="A159" i="28"/>
  <c r="B159" i="28"/>
  <c r="C159" i="28"/>
  <c r="D159" i="28"/>
  <c r="E159" i="28" l="1"/>
  <c r="F159" i="28"/>
  <c r="K159" i="28"/>
  <c r="A160" i="28"/>
  <c r="B160" i="28"/>
  <c r="C160" i="28"/>
  <c r="E160" i="28"/>
  <c r="F160" i="28"/>
  <c r="K160" i="28"/>
  <c r="A161" i="28"/>
  <c r="B161" i="28"/>
  <c r="C161" i="28"/>
  <c r="D161" i="28"/>
  <c r="D160" i="28"/>
  <c r="E161" i="28" l="1"/>
  <c r="F161" i="28"/>
  <c r="K161" i="28"/>
  <c r="A162" i="28"/>
  <c r="B162" i="28"/>
  <c r="C162" i="28"/>
  <c r="D162" i="28"/>
  <c r="E162" i="28" l="1"/>
  <c r="F162" i="28"/>
  <c r="K162" i="28"/>
  <c r="A163" i="28"/>
  <c r="B163" i="28"/>
  <c r="C163" i="28"/>
  <c r="D163" i="28"/>
  <c r="E163" i="28" l="1"/>
  <c r="F163" i="28"/>
  <c r="K163" i="28"/>
  <c r="A164" i="28"/>
  <c r="B164" i="28"/>
  <c r="C164" i="28"/>
  <c r="E164" i="28"/>
  <c r="F164" i="28"/>
  <c r="K164" i="28"/>
  <c r="A165" i="28"/>
  <c r="B165" i="28"/>
  <c r="C165" i="28"/>
  <c r="D164" i="28"/>
  <c r="D165" i="28"/>
  <c r="E165" i="28" l="1"/>
  <c r="F165" i="28"/>
  <c r="K165" i="28"/>
  <c r="A166" i="28"/>
  <c r="B166" i="28"/>
  <c r="C166" i="28"/>
  <c r="E166" i="28"/>
  <c r="F166" i="28"/>
  <c r="K166" i="28"/>
  <c r="A167" i="28"/>
  <c r="B167" i="28"/>
  <c r="C167" i="28"/>
  <c r="E167" i="28"/>
  <c r="F167" i="28"/>
  <c r="K167" i="28"/>
  <c r="A168" i="28"/>
  <c r="B168" i="28"/>
  <c r="C168" i="28"/>
  <c r="E168" i="28"/>
  <c r="F168" i="28"/>
  <c r="K168" i="28"/>
  <c r="A169" i="28"/>
  <c r="B169" i="28"/>
  <c r="C169" i="28"/>
  <c r="D168" i="28"/>
  <c r="D169" i="28"/>
  <c r="D166" i="28"/>
  <c r="D167" i="28"/>
  <c r="E169" i="28" l="1"/>
  <c r="F169" i="28"/>
  <c r="K169" i="28"/>
  <c r="A170" i="28"/>
  <c r="B170" i="28"/>
  <c r="C170" i="28"/>
  <c r="E170" i="28"/>
  <c r="F170" i="28"/>
  <c r="K170" i="28"/>
  <c r="A171" i="28"/>
  <c r="B171" i="28"/>
  <c r="C171" i="28"/>
  <c r="D171" i="28"/>
  <c r="D170" i="28"/>
  <c r="E171" i="28" l="1"/>
  <c r="F171" i="28"/>
  <c r="K171" i="28"/>
  <c r="A172" i="28"/>
  <c r="B172" i="28"/>
  <c r="C172" i="28"/>
  <c r="D172" i="28"/>
  <c r="E172" i="28" l="1"/>
  <c r="F172" i="28"/>
  <c r="K172" i="28"/>
  <c r="A173" i="28"/>
  <c r="B173" i="28"/>
  <c r="C173" i="28"/>
  <c r="E173" i="28"/>
  <c r="F173" i="28"/>
  <c r="K173" i="28"/>
  <c r="A174" i="28"/>
  <c r="B174" i="28"/>
  <c r="C174" i="28"/>
  <c r="D173" i="28"/>
  <c r="D174" i="28"/>
  <c r="E174" i="28" l="1"/>
  <c r="F174" i="28"/>
  <c r="K174" i="28"/>
  <c r="A175" i="28"/>
  <c r="B175" i="28"/>
  <c r="C175" i="28"/>
  <c r="E175" i="28"/>
  <c r="F175" i="28"/>
  <c r="K175" i="28"/>
  <c r="A176" i="28"/>
  <c r="B176" i="28"/>
  <c r="C176" i="28"/>
  <c r="E176" i="28"/>
  <c r="F176" i="28"/>
  <c r="K176" i="28"/>
  <c r="A177" i="28"/>
  <c r="B177" i="28"/>
  <c r="C177" i="28"/>
  <c r="E177" i="28"/>
  <c r="F177" i="28"/>
  <c r="K177" i="28"/>
  <c r="A178" i="28"/>
  <c r="B178" i="28"/>
  <c r="C178" i="28"/>
  <c r="E178" i="28"/>
  <c r="F178" i="28"/>
  <c r="K178" i="28"/>
  <c r="A179" i="28"/>
  <c r="B179" i="28"/>
  <c r="C179" i="28"/>
  <c r="E179" i="28"/>
  <c r="F179" i="28"/>
  <c r="K179" i="28"/>
  <c r="A180" i="28"/>
  <c r="B180" i="28"/>
  <c r="C180" i="28"/>
  <c r="E180" i="28"/>
  <c r="F180" i="28"/>
  <c r="K180" i="28"/>
  <c r="A181" i="28"/>
  <c r="B181" i="28"/>
  <c r="C181" i="28"/>
  <c r="E181" i="28"/>
  <c r="F181" i="28"/>
  <c r="K181" i="28"/>
  <c r="A182" i="28"/>
  <c r="B182" i="28"/>
  <c r="C182" i="28"/>
  <c r="E182" i="28"/>
  <c r="F182" i="28"/>
  <c r="K182" i="28"/>
  <c r="A183" i="28"/>
  <c r="B183" i="28"/>
  <c r="C183" i="28"/>
  <c r="E183" i="28"/>
  <c r="F183" i="28"/>
  <c r="K183" i="28"/>
  <c r="A184" i="28"/>
  <c r="B184" i="28"/>
  <c r="C184" i="28"/>
  <c r="E184" i="28"/>
  <c r="F184" i="28"/>
  <c r="K184" i="28"/>
  <c r="A185" i="28"/>
  <c r="B185" i="28"/>
  <c r="C185" i="28"/>
  <c r="D178" i="28"/>
  <c r="D175" i="28"/>
  <c r="D184" i="28"/>
  <c r="D182" i="28"/>
  <c r="D181" i="28"/>
  <c r="D185" i="28"/>
  <c r="D180" i="28"/>
  <c r="D176" i="28"/>
  <c r="D177" i="28"/>
  <c r="D183" i="28"/>
  <c r="D179" i="28"/>
  <c r="E185" i="28" l="1"/>
  <c r="F185" i="28"/>
  <c r="K185" i="28"/>
  <c r="A186" i="28"/>
  <c r="B186" i="28"/>
  <c r="C186" i="28"/>
  <c r="E186" i="28"/>
  <c r="F186" i="28"/>
  <c r="K186" i="28"/>
  <c r="A187" i="28"/>
  <c r="B187" i="28"/>
  <c r="C187" i="28"/>
  <c r="E187" i="28"/>
  <c r="F187" i="28"/>
  <c r="K187" i="28"/>
  <c r="A188" i="28"/>
  <c r="B188" i="28"/>
  <c r="C188" i="28"/>
  <c r="D188" i="28"/>
  <c r="D187" i="28"/>
  <c r="D186" i="28"/>
  <c r="E188" i="28" l="1"/>
  <c r="F188" i="28"/>
  <c r="K188" i="28"/>
  <c r="A189" i="28"/>
  <c r="B189" i="28"/>
  <c r="C189" i="28"/>
  <c r="E189" i="28"/>
  <c r="F189" i="28"/>
  <c r="K189" i="28"/>
  <c r="A190" i="28"/>
  <c r="B190" i="28"/>
  <c r="C190" i="28"/>
  <c r="D189" i="28"/>
  <c r="D190" i="28"/>
  <c r="E190" i="28" l="1"/>
  <c r="F190" i="28"/>
  <c r="K190" i="28"/>
  <c r="A191" i="28"/>
  <c r="B191" i="28"/>
  <c r="C191" i="28"/>
  <c r="E191" i="28"/>
  <c r="F191" i="28"/>
  <c r="K191" i="28"/>
  <c r="A192" i="28"/>
  <c r="B192" i="28"/>
  <c r="C192" i="28"/>
  <c r="E192" i="28"/>
  <c r="F192" i="28"/>
  <c r="K192" i="28"/>
  <c r="A193" i="28"/>
  <c r="B193" i="28"/>
  <c r="C193" i="28"/>
  <c r="E193" i="28"/>
  <c r="F193" i="28"/>
  <c r="K193" i="28"/>
  <c r="A194" i="28"/>
  <c r="B194" i="28"/>
  <c r="C194" i="28"/>
  <c r="E194" i="28"/>
  <c r="F194" i="28"/>
  <c r="K194" i="28"/>
  <c r="A195" i="28"/>
  <c r="B195" i="28"/>
  <c r="C195" i="28"/>
  <c r="E195" i="28"/>
  <c r="F195" i="28"/>
  <c r="K195" i="28"/>
  <c r="A196" i="28"/>
  <c r="B196" i="28"/>
  <c r="C196" i="28"/>
  <c r="D196" i="28"/>
  <c r="D193" i="28"/>
  <c r="D191" i="28"/>
  <c r="D194" i="28"/>
  <c r="D192" i="28"/>
  <c r="D195" i="28"/>
  <c r="E196" i="28" l="1"/>
  <c r="F196" i="28"/>
  <c r="K196" i="28"/>
  <c r="A197" i="28"/>
  <c r="B197" i="28"/>
  <c r="C197" i="28"/>
  <c r="D197" i="28"/>
  <c r="E197" i="28" l="1"/>
  <c r="F197" i="28"/>
  <c r="K197" i="28"/>
  <c r="A198" i="28"/>
  <c r="B198" i="28"/>
  <c r="C198" i="28"/>
  <c r="D198" i="28"/>
  <c r="E198" i="28" l="1"/>
  <c r="F198" i="28"/>
  <c r="K198" i="28"/>
  <c r="A199" i="28"/>
  <c r="B199" i="28"/>
  <c r="C199" i="28"/>
  <c r="D199" i="28"/>
  <c r="E199" i="28" l="1"/>
  <c r="F199" i="28"/>
  <c r="K199" i="28"/>
  <c r="A200" i="28"/>
  <c r="B200" i="28"/>
  <c r="C200" i="28"/>
  <c r="D200" i="28"/>
  <c r="E200" i="28" l="1"/>
  <c r="F200" i="28"/>
  <c r="K200" i="28"/>
  <c r="A201" i="28"/>
  <c r="B201" i="28"/>
  <c r="C201" i="28"/>
  <c r="D201" i="28"/>
  <c r="E201" i="28" l="1"/>
  <c r="F201" i="28"/>
  <c r="K201" i="28"/>
  <c r="A202" i="28"/>
  <c r="B202" i="28"/>
  <c r="C202" i="28"/>
  <c r="D202" i="28"/>
  <c r="E202" i="28" l="1"/>
  <c r="F202" i="28"/>
  <c r="K202" i="28"/>
  <c r="A203" i="28"/>
  <c r="B203" i="28"/>
  <c r="C203" i="28"/>
  <c r="D203" i="28"/>
  <c r="E203" i="28" l="1"/>
  <c r="F203" i="28"/>
  <c r="K203" i="28"/>
  <c r="A204" i="28"/>
  <c r="B204" i="28"/>
  <c r="C204" i="28"/>
  <c r="D204" i="28"/>
  <c r="E204" i="28" l="1"/>
  <c r="F204" i="28"/>
  <c r="K204" i="28"/>
  <c r="A205" i="28"/>
  <c r="B205" i="28"/>
  <c r="C205" i="28"/>
  <c r="D205" i="28"/>
  <c r="E205" i="28" l="1"/>
  <c r="F205" i="28"/>
  <c r="K205" i="28"/>
  <c r="A206" i="28"/>
  <c r="B206" i="28"/>
  <c r="C206" i="28"/>
  <c r="D206" i="28"/>
  <c r="E206" i="28" l="1"/>
  <c r="F206" i="28"/>
  <c r="K206" i="28"/>
  <c r="A207" i="28"/>
  <c r="B207" i="28"/>
  <c r="C207" i="28"/>
  <c r="D207" i="28"/>
  <c r="E207" i="28" l="1"/>
  <c r="F207" i="28"/>
  <c r="K207" i="28"/>
  <c r="A208" i="28"/>
  <c r="B208" i="28"/>
  <c r="C208" i="28"/>
  <c r="D208" i="28"/>
  <c r="E208" i="28" l="1"/>
  <c r="F208" i="28"/>
  <c r="K208" i="28"/>
  <c r="A209" i="28"/>
  <c r="B209" i="28"/>
  <c r="C209" i="28"/>
  <c r="D209" i="28"/>
  <c r="E209" i="28" l="1"/>
  <c r="F209" i="28"/>
  <c r="K209" i="28"/>
  <c r="A210" i="28"/>
  <c r="B210" i="28"/>
  <c r="C210" i="28"/>
  <c r="D210" i="28"/>
  <c r="E210" i="28" l="1"/>
  <c r="F210" i="28"/>
  <c r="K210" i="28"/>
  <c r="A211" i="28"/>
  <c r="B211" i="28"/>
  <c r="C211" i="28"/>
  <c r="E211" i="28"/>
  <c r="F211" i="28"/>
  <c r="K211" i="28"/>
  <c r="A212" i="28"/>
  <c r="B212" i="28"/>
  <c r="C212" i="28"/>
  <c r="D211" i="28"/>
  <c r="D212" i="28"/>
  <c r="E212" i="28" l="1"/>
  <c r="F212" i="28"/>
  <c r="K212" i="28"/>
  <c r="A213" i="28"/>
  <c r="B213" i="28"/>
  <c r="C213" i="28"/>
  <c r="D213" i="28"/>
  <c r="E213" i="28" l="1"/>
  <c r="F213" i="28"/>
  <c r="K213" i="28"/>
  <c r="A214" i="28"/>
  <c r="B214" i="28"/>
  <c r="C214" i="28"/>
  <c r="D214" i="28"/>
  <c r="E214" i="28" l="1"/>
  <c r="F214" i="28"/>
  <c r="K214" i="28"/>
  <c r="A215" i="28"/>
  <c r="B215" i="28"/>
  <c r="C215" i="28"/>
  <c r="D215" i="28"/>
  <c r="E215" i="28" l="1"/>
  <c r="F215" i="28"/>
  <c r="K215" i="28"/>
  <c r="A216" i="28"/>
  <c r="B216" i="28"/>
  <c r="C216" i="28"/>
  <c r="D216" i="28"/>
  <c r="E216" i="28" l="1"/>
  <c r="F216" i="28"/>
  <c r="K216" i="28"/>
  <c r="A217" i="28"/>
  <c r="B217" i="28"/>
  <c r="C217" i="28"/>
  <c r="E217" i="28"/>
  <c r="F217" i="28"/>
  <c r="K217" i="28"/>
  <c r="A218" i="28"/>
  <c r="B218" i="28"/>
  <c r="C218" i="28"/>
  <c r="D217" i="28"/>
  <c r="D218" i="28"/>
  <c r="E218" i="28" l="1"/>
  <c r="F218" i="28"/>
  <c r="K218" i="28"/>
  <c r="A219" i="28"/>
  <c r="B219" i="28"/>
  <c r="C219" i="28"/>
  <c r="D219" i="28"/>
  <c r="E219" i="28" l="1"/>
  <c r="F219" i="28"/>
  <c r="K219" i="28"/>
  <c r="A220" i="28"/>
  <c r="B220" i="28"/>
  <c r="C220" i="28"/>
  <c r="D220" i="28"/>
  <c r="E220" i="28" l="1"/>
  <c r="F220" i="28"/>
  <c r="K220" i="28"/>
  <c r="A221" i="28"/>
  <c r="B221" i="28"/>
  <c r="C221" i="28"/>
  <c r="D221" i="28"/>
  <c r="E221" i="28" l="1"/>
  <c r="F221" i="28"/>
  <c r="K221" i="28"/>
  <c r="A222" i="28"/>
  <c r="B222" i="28"/>
  <c r="C222" i="28"/>
  <c r="E222" i="28"/>
  <c r="F222" i="28"/>
  <c r="K222" i="28"/>
  <c r="A223" i="28"/>
  <c r="B223" i="28"/>
  <c r="C223" i="28"/>
  <c r="D222" i="28"/>
  <c r="D223" i="28"/>
  <c r="E223" i="28" l="1"/>
  <c r="F223" i="28"/>
  <c r="K223" i="28"/>
  <c r="A224" i="28"/>
  <c r="B224" i="28"/>
  <c r="C224" i="28"/>
  <c r="E224" i="28"/>
  <c r="F224" i="28"/>
  <c r="K224" i="28"/>
  <c r="A225" i="28"/>
  <c r="B225" i="28"/>
  <c r="C225" i="28"/>
  <c r="E225" i="28"/>
  <c r="F225" i="28"/>
  <c r="K225" i="28"/>
  <c r="A226" i="28"/>
  <c r="B226" i="28"/>
  <c r="C226" i="28"/>
  <c r="D226" i="28"/>
  <c r="D225" i="28"/>
  <c r="D224" i="28"/>
  <c r="E226" i="28" l="1"/>
  <c r="F226" i="28"/>
  <c r="K226" i="28"/>
  <c r="A227" i="28"/>
  <c r="B227" i="28"/>
  <c r="C227" i="28"/>
  <c r="E227" i="28"/>
  <c r="F227" i="28"/>
  <c r="K227" i="28"/>
  <c r="A228" i="28"/>
  <c r="B228" i="28"/>
  <c r="C228" i="28"/>
  <c r="D227" i="28"/>
  <c r="D228" i="28"/>
  <c r="E228" i="28" l="1"/>
  <c r="F228" i="28"/>
  <c r="K228" i="28"/>
  <c r="A229" i="28"/>
  <c r="B229" i="28"/>
  <c r="C229" i="28"/>
  <c r="D229" i="28"/>
  <c r="E229" i="28" l="1"/>
  <c r="F229" i="28"/>
  <c r="K229" i="28"/>
  <c r="A230" i="28"/>
  <c r="B230" i="28"/>
  <c r="C230" i="28"/>
  <c r="D230" i="28"/>
  <c r="E230" i="28" l="1"/>
  <c r="F230" i="28"/>
  <c r="K230" i="28"/>
  <c r="A231" i="28"/>
  <c r="B231" i="28"/>
  <c r="C231" i="28"/>
  <c r="D231" i="28"/>
  <c r="E231" i="28" l="1"/>
  <c r="F231" i="28"/>
  <c r="K231" i="28"/>
  <c r="A232" i="28"/>
  <c r="B232" i="28"/>
  <c r="C232" i="28"/>
  <c r="E232" i="28"/>
  <c r="F232" i="28"/>
  <c r="K232" i="28"/>
  <c r="A233" i="28"/>
  <c r="B233" i="28"/>
  <c r="C233" i="28"/>
  <c r="D233" i="28"/>
  <c r="D232" i="28"/>
  <c r="E233" i="28" l="1"/>
  <c r="F233" i="28"/>
  <c r="K233" i="28"/>
  <c r="A234" i="28"/>
  <c r="B234" i="28"/>
  <c r="C234" i="28"/>
  <c r="E234" i="28"/>
  <c r="F234" i="28"/>
  <c r="K234" i="28"/>
  <c r="A235" i="28"/>
  <c r="B235" i="28"/>
  <c r="C235" i="28"/>
  <c r="D234" i="28"/>
  <c r="D235" i="28"/>
  <c r="E235" i="28" l="1"/>
  <c r="F235" i="28"/>
  <c r="K235" i="28"/>
  <c r="A236" i="28"/>
  <c r="B236" i="28"/>
  <c r="C236" i="28"/>
  <c r="D236" i="28"/>
  <c r="E236" i="28" l="1"/>
  <c r="F236" i="28"/>
  <c r="K236" i="28"/>
  <c r="A237" i="28"/>
  <c r="B237" i="28"/>
  <c r="C237" i="28"/>
  <c r="E237" i="28"/>
  <c r="F237" i="28"/>
  <c r="K237" i="28"/>
  <c r="A238" i="28"/>
  <c r="B238" i="28"/>
  <c r="C238" i="28"/>
  <c r="D238" i="28"/>
  <c r="D237" i="28"/>
  <c r="E238" i="28" l="1"/>
  <c r="F238" i="28"/>
  <c r="K238" i="28"/>
  <c r="A239" i="28"/>
  <c r="B239" i="28"/>
  <c r="C239" i="28"/>
  <c r="D239" i="28"/>
  <c r="E239" i="28" l="1"/>
  <c r="F239" i="28"/>
  <c r="K239" i="28"/>
  <c r="A240" i="28"/>
  <c r="B240" i="28"/>
  <c r="C240" i="28"/>
  <c r="E240" i="28"/>
  <c r="F240" i="28"/>
  <c r="K240" i="28"/>
  <c r="A241" i="28"/>
  <c r="B241" i="28"/>
  <c r="C241" i="28"/>
  <c r="D240" i="28"/>
  <c r="D241" i="28"/>
  <c r="E241" i="28" l="1"/>
  <c r="F241" i="28"/>
  <c r="K241" i="28"/>
  <c r="A242" i="28"/>
  <c r="B242" i="28"/>
  <c r="C242" i="28"/>
  <c r="E242" i="28"/>
  <c r="F242" i="28"/>
  <c r="K242" i="28"/>
  <c r="A243" i="28"/>
  <c r="B243" i="28"/>
  <c r="C243" i="28"/>
  <c r="D242" i="28"/>
  <c r="D243" i="28"/>
  <c r="E243" i="28" l="1"/>
  <c r="F243" i="28"/>
  <c r="K243" i="28"/>
  <c r="A244" i="28"/>
  <c r="B244" i="28"/>
  <c r="C244" i="28"/>
  <c r="D244" i="28"/>
  <c r="E244" i="28" l="1"/>
  <c r="F244" i="28"/>
  <c r="K244" i="28"/>
  <c r="A245" i="28"/>
  <c r="B245" i="28"/>
  <c r="C245" i="28"/>
  <c r="D245" i="28"/>
  <c r="E245" i="28" l="1"/>
  <c r="F245" i="28"/>
  <c r="K245" i="28"/>
  <c r="A246" i="28"/>
  <c r="B246" i="28"/>
  <c r="C246" i="28"/>
  <c r="D246" i="28"/>
  <c r="E246" i="28" l="1"/>
  <c r="F246" i="28"/>
  <c r="K246" i="28"/>
  <c r="A247" i="28"/>
  <c r="B247" i="28"/>
  <c r="C247" i="28"/>
  <c r="E247" i="28"/>
  <c r="F247" i="28"/>
  <c r="K247" i="28"/>
  <c r="A248" i="28"/>
  <c r="B248" i="28"/>
  <c r="C248" i="28"/>
  <c r="E248" i="28"/>
  <c r="F248" i="28"/>
  <c r="K248" i="28"/>
  <c r="A249" i="28"/>
  <c r="B249" i="28"/>
  <c r="C249" i="28"/>
  <c r="D248" i="28"/>
  <c r="D247" i="28"/>
  <c r="D249" i="28"/>
  <c r="E249" i="28" l="1"/>
  <c r="F249" i="28"/>
  <c r="K249" i="28"/>
  <c r="A250" i="28"/>
  <c r="B250" i="28"/>
  <c r="C250" i="28"/>
  <c r="D250" i="28"/>
  <c r="E250" i="28" l="1"/>
  <c r="F250" i="28"/>
  <c r="K250" i="28"/>
  <c r="A251" i="28"/>
  <c r="B251" i="28"/>
  <c r="C251" i="28"/>
  <c r="D251" i="28"/>
  <c r="E251" i="28" l="1"/>
  <c r="F251" i="28"/>
  <c r="K251" i="28"/>
  <c r="A252" i="28"/>
  <c r="B252" i="28"/>
  <c r="C252" i="28"/>
  <c r="E252" i="28"/>
  <c r="F252" i="28"/>
  <c r="K252" i="28"/>
  <c r="A253" i="28"/>
  <c r="B253" i="28"/>
  <c r="C253" i="28"/>
  <c r="D253" i="28"/>
  <c r="D252" i="28"/>
  <c r="E253" i="28" l="1"/>
  <c r="F253" i="28"/>
  <c r="K253" i="28"/>
  <c r="A254" i="28"/>
  <c r="B254" i="28"/>
  <c r="C254" i="28"/>
  <c r="E254" i="28"/>
  <c r="F254" i="28"/>
  <c r="K254" i="28"/>
  <c r="A255" i="28"/>
  <c r="B255" i="28"/>
  <c r="C255" i="28"/>
  <c r="D255" i="28"/>
  <c r="D254" i="28"/>
  <c r="E255" i="28" l="1"/>
  <c r="F255" i="28"/>
  <c r="K255" i="28"/>
  <c r="A256" i="28"/>
  <c r="B256" i="28"/>
  <c r="C256" i="28"/>
  <c r="E256" i="28"/>
  <c r="F256" i="28"/>
  <c r="K256" i="28"/>
  <c r="A257" i="28"/>
  <c r="B257" i="28"/>
  <c r="C257" i="28"/>
  <c r="D257" i="28"/>
  <c r="D256" i="28"/>
  <c r="E257" i="28" l="1"/>
  <c r="F257" i="28"/>
  <c r="K257" i="28"/>
  <c r="A258" i="28"/>
  <c r="B258" i="28"/>
  <c r="C258" i="28"/>
  <c r="D258" i="28"/>
  <c r="E258" i="28" l="1"/>
  <c r="F258" i="28"/>
  <c r="K258" i="28"/>
  <c r="A259" i="28"/>
  <c r="B259" i="28"/>
  <c r="C259" i="28"/>
  <c r="D259" i="28"/>
  <c r="E259" i="28" l="1"/>
  <c r="F259" i="28"/>
  <c r="K259" i="28"/>
  <c r="A260" i="28"/>
  <c r="B260" i="28"/>
  <c r="C260" i="28"/>
  <c r="D260" i="28"/>
  <c r="E260" i="28" l="1"/>
  <c r="F260" i="28"/>
  <c r="K260" i="28"/>
  <c r="A261" i="28"/>
  <c r="B261" i="28"/>
  <c r="C261" i="28"/>
  <c r="D261" i="28"/>
  <c r="E261" i="28" l="1"/>
  <c r="F261" i="28"/>
  <c r="K261" i="28"/>
  <c r="A262" i="28"/>
  <c r="B262" i="28"/>
  <c r="C262" i="28"/>
  <c r="D262" i="28"/>
  <c r="E262" i="28" l="1"/>
  <c r="F262" i="28"/>
  <c r="K262" i="28"/>
  <c r="A263" i="28"/>
  <c r="B263" i="28"/>
  <c r="C263" i="28"/>
  <c r="D263" i="28"/>
  <c r="E263" i="28" l="1"/>
  <c r="F263" i="28"/>
  <c r="K263" i="28"/>
  <c r="A264" i="28"/>
  <c r="B264" i="28"/>
  <c r="C264" i="28"/>
  <c r="D264" i="28"/>
  <c r="E264" i="28" l="1"/>
  <c r="F264" i="28"/>
  <c r="K264" i="28"/>
  <c r="A265" i="28"/>
  <c r="B265" i="28"/>
  <c r="C265" i="28"/>
  <c r="E265" i="28"/>
  <c r="F265" i="28"/>
  <c r="K265" i="28"/>
  <c r="A266" i="28"/>
  <c r="B266" i="28"/>
  <c r="C266" i="28"/>
  <c r="E266" i="28"/>
  <c r="F266" i="28"/>
  <c r="K266" i="28"/>
  <c r="A267" i="28"/>
  <c r="B267" i="28"/>
  <c r="C267" i="28"/>
  <c r="D267" i="28"/>
  <c r="D266" i="28"/>
  <c r="D265" i="28"/>
  <c r="E267" i="28" l="1"/>
  <c r="F267" i="28"/>
  <c r="K267" i="28"/>
  <c r="A268" i="28"/>
  <c r="B268" i="28"/>
  <c r="C268" i="28"/>
  <c r="D268" i="28"/>
  <c r="E268" i="28" l="1"/>
  <c r="F268" i="28"/>
  <c r="K268" i="28"/>
  <c r="A269" i="28"/>
  <c r="B269" i="28"/>
  <c r="C269" i="28"/>
  <c r="D269" i="28"/>
  <c r="E269" i="28" l="1"/>
  <c r="F269" i="28"/>
  <c r="K269" i="28"/>
  <c r="A270" i="28"/>
  <c r="B270" i="28"/>
  <c r="C270" i="28"/>
  <c r="D270" i="28"/>
  <c r="E270" i="28" l="1"/>
  <c r="F270" i="28"/>
  <c r="K270" i="28"/>
  <c r="A271" i="28"/>
  <c r="B271" i="28"/>
  <c r="C271" i="28"/>
  <c r="D271" i="28"/>
  <c r="E271" i="28" l="1"/>
  <c r="F271" i="28"/>
  <c r="K271" i="28"/>
  <c r="A272" i="28"/>
  <c r="B272" i="28"/>
  <c r="C272" i="28"/>
  <c r="D272" i="28"/>
  <c r="E272" i="28" l="1"/>
  <c r="F272" i="28"/>
  <c r="K272" i="28"/>
  <c r="A273" i="28"/>
  <c r="B273" i="28"/>
  <c r="C273" i="28"/>
  <c r="E273" i="28"/>
  <c r="F273" i="28"/>
  <c r="K273" i="28"/>
  <c r="A274" i="28"/>
  <c r="B274" i="28"/>
  <c r="C274" i="28"/>
  <c r="E274" i="28"/>
  <c r="F274" i="28"/>
  <c r="K274" i="28"/>
  <c r="A275" i="28"/>
  <c r="B275" i="28"/>
  <c r="C275" i="28"/>
  <c r="D275" i="28"/>
  <c r="D274" i="28"/>
  <c r="D273" i="28"/>
  <c r="E275" i="28" l="1"/>
  <c r="F275" i="28"/>
  <c r="K275" i="28"/>
  <c r="A276" i="28"/>
  <c r="B276" i="28"/>
  <c r="C276" i="28"/>
  <c r="D276" i="28"/>
  <c r="E276" i="28" l="1"/>
  <c r="F276" i="28"/>
  <c r="K276" i="28"/>
  <c r="A277" i="28"/>
  <c r="B277" i="28"/>
  <c r="C277" i="28"/>
  <c r="D277" i="28"/>
  <c r="E277" i="28" l="1"/>
  <c r="F277" i="28"/>
  <c r="K277" i="28"/>
  <c r="A278" i="28"/>
  <c r="B278" i="28"/>
  <c r="C278" i="28"/>
  <c r="D278" i="28"/>
  <c r="E278" i="28" l="1"/>
  <c r="F278" i="28"/>
  <c r="K278" i="28"/>
  <c r="A279" i="28"/>
  <c r="B279" i="28"/>
  <c r="C279" i="28"/>
  <c r="D279" i="28"/>
  <c r="E279" i="28" l="1"/>
  <c r="F279" i="28"/>
  <c r="K279" i="28"/>
  <c r="A280" i="28"/>
  <c r="B280" i="28"/>
  <c r="C280" i="28"/>
  <c r="E280" i="28"/>
  <c r="F280" i="28"/>
  <c r="K280" i="28"/>
  <c r="A281" i="28"/>
  <c r="B281" i="28"/>
  <c r="C281" i="28"/>
  <c r="D281" i="28"/>
  <c r="D280" i="28"/>
  <c r="E281" i="28" l="1"/>
  <c r="F281" i="28"/>
  <c r="K281" i="28"/>
  <c r="A282" i="28"/>
  <c r="B282" i="28"/>
  <c r="C282" i="28"/>
  <c r="D282" i="28"/>
  <c r="E282" i="28" l="1"/>
  <c r="F282" i="28"/>
  <c r="K282" i="28"/>
  <c r="A283" i="28"/>
  <c r="B283" i="28"/>
  <c r="C283" i="28"/>
  <c r="D283" i="28"/>
  <c r="E283" i="28" l="1"/>
  <c r="F283" i="28"/>
  <c r="K283" i="28"/>
  <c r="A284" i="28"/>
  <c r="B284" i="28"/>
  <c r="C284" i="28"/>
  <c r="D284" i="28"/>
  <c r="E284" i="28" l="1"/>
  <c r="F284" i="28"/>
  <c r="K284" i="28"/>
  <c r="A285" i="28"/>
  <c r="B285" i="28"/>
  <c r="C285" i="28"/>
  <c r="D285" i="28"/>
  <c r="E285" i="28" l="1"/>
  <c r="F285" i="28"/>
  <c r="K285" i="28"/>
  <c r="A286" i="28"/>
  <c r="B286" i="28"/>
  <c r="C286" i="28"/>
  <c r="D286" i="28"/>
  <c r="E286" i="28" l="1"/>
  <c r="F286" i="28"/>
  <c r="K286" i="28"/>
  <c r="A287" i="28"/>
  <c r="B287" i="28"/>
  <c r="C287" i="28"/>
  <c r="D287" i="28"/>
  <c r="E287" i="28" l="1"/>
  <c r="F287" i="28"/>
  <c r="K287" i="28"/>
  <c r="A288" i="28"/>
  <c r="B288" i="28"/>
  <c r="C288" i="28"/>
  <c r="D288" i="28"/>
  <c r="E288" i="28" l="1"/>
  <c r="F288" i="28"/>
  <c r="K288" i="28"/>
  <c r="A289" i="28"/>
  <c r="B289" i="28"/>
  <c r="C289" i="28"/>
  <c r="D289" i="28"/>
  <c r="E289" i="28" l="1"/>
  <c r="F289" i="28"/>
  <c r="K289" i="28"/>
  <c r="A290" i="28"/>
  <c r="B290" i="28"/>
  <c r="C290" i="28"/>
  <c r="D290" i="28"/>
  <c r="E290" i="28" l="1"/>
  <c r="F290" i="28"/>
  <c r="K290" i="28"/>
  <c r="A291" i="28"/>
  <c r="B291" i="28"/>
  <c r="C291" i="28"/>
  <c r="D291" i="28"/>
  <c r="E291" i="28" l="1"/>
  <c r="F291" i="28"/>
  <c r="K291" i="28"/>
  <c r="A292" i="28"/>
  <c r="B292" i="28"/>
  <c r="C292" i="28"/>
  <c r="D292" i="28"/>
  <c r="E292" i="28" l="1"/>
  <c r="F292" i="28"/>
  <c r="K292" i="28"/>
  <c r="A293" i="28"/>
  <c r="B293" i="28"/>
  <c r="C293" i="28"/>
  <c r="D293" i="28"/>
  <c r="E293" i="28" l="1"/>
  <c r="F293" i="28"/>
  <c r="K293" i="28"/>
  <c r="A294" i="28"/>
  <c r="B294" i="28"/>
  <c r="C294" i="28"/>
  <c r="D294" i="28"/>
  <c r="E294" i="28" l="1"/>
  <c r="F294" i="28"/>
  <c r="K294" i="28"/>
  <c r="A295" i="28"/>
  <c r="B295" i="28"/>
  <c r="C295" i="28"/>
  <c r="E295" i="28"/>
  <c r="F295" i="28"/>
  <c r="K295" i="28"/>
  <c r="A296" i="28"/>
  <c r="B296" i="28"/>
  <c r="C296" i="28"/>
  <c r="D296" i="28"/>
  <c r="D295" i="28"/>
  <c r="E296" i="28" l="1"/>
  <c r="F296" i="28"/>
  <c r="K296" i="28"/>
  <c r="A297" i="28"/>
  <c r="B297" i="28"/>
  <c r="C297" i="28"/>
  <c r="D297" i="28"/>
  <c r="E297" i="28" l="1"/>
  <c r="F297" i="28"/>
  <c r="K297" i="28"/>
  <c r="A298" i="28"/>
  <c r="B298" i="28"/>
  <c r="C298" i="28"/>
  <c r="D298" i="28"/>
  <c r="E298" i="28" l="1"/>
  <c r="F298" i="28"/>
  <c r="K298" i="28"/>
  <c r="A299" i="28"/>
  <c r="B299" i="28"/>
  <c r="C299" i="28"/>
  <c r="D299" i="28"/>
  <c r="E299" i="28" l="1"/>
  <c r="F299" i="28"/>
  <c r="K299" i="28"/>
  <c r="A300" i="28"/>
  <c r="B300" i="28"/>
  <c r="C300" i="28"/>
  <c r="D300" i="28"/>
  <c r="E300" i="28" l="1"/>
  <c r="F300" i="28"/>
  <c r="K300" i="28"/>
  <c r="A301" i="28"/>
  <c r="B301" i="28"/>
  <c r="C301" i="28"/>
  <c r="E301" i="28"/>
  <c r="F301" i="28"/>
  <c r="K301" i="28"/>
  <c r="A302" i="28"/>
  <c r="B302" i="28"/>
  <c r="C302" i="28"/>
  <c r="D302" i="28"/>
  <c r="D301" i="28"/>
  <c r="E302" i="28" l="1"/>
  <c r="F302" i="28"/>
  <c r="K302" i="28"/>
  <c r="A303" i="28"/>
  <c r="B303" i="28"/>
  <c r="C303" i="28"/>
  <c r="D303" i="28"/>
  <c r="E303" i="28" l="1"/>
  <c r="F303" i="28"/>
  <c r="K303" i="28"/>
  <c r="A304" i="28"/>
  <c r="B304" i="28"/>
  <c r="C304" i="28"/>
  <c r="E304" i="28"/>
  <c r="F304" i="28"/>
  <c r="K304" i="28"/>
  <c r="A305" i="28"/>
  <c r="B305" i="28"/>
  <c r="C305" i="28"/>
  <c r="E305" i="28"/>
  <c r="F305" i="28"/>
  <c r="K305" i="28"/>
  <c r="A306" i="28"/>
  <c r="B306" i="28"/>
  <c r="C306" i="28"/>
  <c r="D304" i="28"/>
  <c r="D306" i="28"/>
  <c r="D305" i="28"/>
  <c r="E306" i="28" l="1"/>
  <c r="F306" i="28"/>
  <c r="K306" i="28"/>
  <c r="A307" i="28"/>
  <c r="B307" i="28"/>
  <c r="C307" i="28"/>
  <c r="E307" i="28"/>
  <c r="F307" i="28"/>
  <c r="K307" i="28"/>
  <c r="A308" i="28"/>
  <c r="B308" i="28"/>
  <c r="C308" i="28"/>
  <c r="E308" i="28"/>
  <c r="F308" i="28"/>
  <c r="K308" i="28"/>
  <c r="A309" i="28"/>
  <c r="B309" i="28"/>
  <c r="C309" i="28"/>
  <c r="E309" i="28"/>
  <c r="F309" i="28"/>
  <c r="K309" i="28"/>
  <c r="A310" i="28"/>
  <c r="B310" i="28"/>
  <c r="C310" i="28"/>
  <c r="D309" i="28"/>
  <c r="D308" i="28"/>
  <c r="D307" i="28"/>
  <c r="D310" i="28"/>
  <c r="E310" i="28" l="1"/>
  <c r="F310" i="28"/>
  <c r="K310" i="28"/>
  <c r="A311" i="28"/>
  <c r="B311" i="28"/>
  <c r="C311" i="28"/>
  <c r="D311" i="28"/>
  <c r="E311" i="28" l="1"/>
  <c r="F311" i="28"/>
  <c r="K311" i="28"/>
  <c r="A312" i="28"/>
  <c r="B312" i="28"/>
  <c r="C312" i="28"/>
  <c r="E312" i="28"/>
  <c r="F312" i="28"/>
  <c r="K312" i="28"/>
  <c r="A313" i="28"/>
  <c r="B313" i="28"/>
  <c r="C313" i="28"/>
  <c r="E313" i="28"/>
  <c r="F313" i="28"/>
  <c r="K313" i="28"/>
  <c r="A314" i="28"/>
  <c r="B314" i="28"/>
  <c r="C314" i="28"/>
  <c r="D313" i="28"/>
  <c r="D314" i="28"/>
  <c r="D312" i="28"/>
  <c r="E314" i="28" l="1"/>
  <c r="F314" i="28"/>
  <c r="K314" i="28"/>
  <c r="A315" i="28"/>
  <c r="B315" i="28"/>
  <c r="C315" i="28"/>
  <c r="D315" i="28"/>
  <c r="E315" i="28" l="1"/>
  <c r="F315" i="28"/>
  <c r="K315" i="28"/>
  <c r="A316" i="28"/>
  <c r="B316" i="28"/>
  <c r="C316" i="28"/>
  <c r="D316" i="28"/>
  <c r="E316" i="28" l="1"/>
  <c r="F316" i="28"/>
  <c r="K316" i="28"/>
  <c r="A317" i="28"/>
  <c r="B317" i="28"/>
  <c r="C317" i="28"/>
  <c r="D317" i="28"/>
  <c r="E317" i="28" l="1"/>
  <c r="F317" i="28"/>
  <c r="K317" i="28"/>
  <c r="A318" i="28"/>
  <c r="B318" i="28"/>
  <c r="C318" i="28"/>
  <c r="D318" i="28"/>
  <c r="E318" i="28" l="1"/>
  <c r="F318" i="28"/>
  <c r="K318" i="28"/>
  <c r="A319" i="28"/>
  <c r="B319" i="28"/>
  <c r="C319" i="28"/>
  <c r="D319" i="28"/>
  <c r="E319" i="28" l="1"/>
  <c r="F319" i="28"/>
  <c r="K319" i="28"/>
  <c r="A320" i="28"/>
  <c r="B320" i="28"/>
  <c r="C320" i="28"/>
  <c r="D320" i="28"/>
  <c r="E320" i="28" l="1"/>
  <c r="F320" i="28"/>
  <c r="K320" i="28"/>
  <c r="A321" i="28"/>
  <c r="B321" i="28"/>
  <c r="C321" i="28"/>
  <c r="D321" i="28"/>
  <c r="E321" i="28" l="1"/>
  <c r="F321" i="28"/>
  <c r="K321" i="28"/>
  <c r="A322" i="28"/>
  <c r="B322" i="28"/>
  <c r="C322" i="28"/>
  <c r="E322" i="28"/>
  <c r="F322" i="28"/>
  <c r="K322" i="28"/>
  <c r="A323" i="28"/>
  <c r="B323" i="28"/>
  <c r="C323" i="28"/>
  <c r="D323" i="28"/>
  <c r="D322" i="28"/>
  <c r="E323" i="28" l="1"/>
  <c r="F323" i="28"/>
  <c r="K323" i="28"/>
  <c r="A324" i="28"/>
  <c r="B324" i="28"/>
  <c r="C324" i="28"/>
  <c r="E324" i="28"/>
  <c r="F324" i="28"/>
  <c r="K324" i="28"/>
  <c r="A325" i="28"/>
  <c r="B325" i="28"/>
  <c r="C325" i="28"/>
  <c r="D324" i="28"/>
  <c r="D325" i="28"/>
  <c r="E325" i="28" l="1"/>
  <c r="F325" i="28"/>
  <c r="K325" i="28"/>
  <c r="A326" i="28"/>
  <c r="B326" i="28"/>
  <c r="C326" i="28"/>
  <c r="D326" i="28"/>
  <c r="E326" i="28" l="1"/>
  <c r="F326" i="28"/>
  <c r="K326" i="28"/>
  <c r="A327" i="28"/>
  <c r="B327" i="28"/>
  <c r="C327" i="28"/>
  <c r="D327" i="28"/>
  <c r="E327" i="28" l="1"/>
  <c r="F327" i="28"/>
  <c r="K327" i="28"/>
  <c r="A328" i="28"/>
  <c r="B328" i="28"/>
  <c r="C328" i="28"/>
  <c r="D328" i="28"/>
  <c r="E328" i="28" l="1"/>
  <c r="F328" i="28"/>
  <c r="K328" i="28"/>
  <c r="A329" i="28"/>
  <c r="B329" i="28"/>
  <c r="C329" i="28"/>
  <c r="D329" i="28"/>
  <c r="E329" i="28" l="1"/>
  <c r="F329" i="28"/>
  <c r="K329" i="28"/>
  <c r="A330" i="28"/>
  <c r="B330" i="28"/>
  <c r="C330" i="28"/>
  <c r="D330" i="28"/>
  <c r="E330" i="28" l="1"/>
  <c r="F330" i="28"/>
  <c r="K330" i="28"/>
  <c r="A331" i="28"/>
  <c r="B331" i="28"/>
  <c r="C331" i="28"/>
  <c r="E331" i="28"/>
  <c r="F331" i="28"/>
  <c r="K331" i="28"/>
  <c r="A332" i="28"/>
  <c r="B332" i="28"/>
  <c r="C332" i="28"/>
  <c r="E332" i="28"/>
  <c r="F332" i="28"/>
  <c r="K332" i="28"/>
  <c r="A333" i="28"/>
  <c r="B333" i="28"/>
  <c r="C333" i="28"/>
  <c r="D331" i="28"/>
  <c r="D332" i="28"/>
  <c r="D333" i="28"/>
  <c r="E333" i="28" l="1"/>
  <c r="F333" i="28"/>
  <c r="K333" i="28"/>
  <c r="A334" i="28"/>
  <c r="B334" i="28"/>
  <c r="C334" i="28"/>
  <c r="E334" i="28"/>
  <c r="F334" i="28"/>
  <c r="K334" i="28"/>
  <c r="A335" i="28"/>
  <c r="B335" i="28"/>
  <c r="C335" i="28"/>
  <c r="E335" i="28"/>
  <c r="F335" i="28"/>
  <c r="K335" i="28"/>
  <c r="A336" i="28"/>
  <c r="B336" i="28"/>
  <c r="C336" i="28"/>
  <c r="E336" i="28"/>
  <c r="F336" i="28"/>
  <c r="K336" i="28"/>
  <c r="A337" i="28"/>
  <c r="B337" i="28"/>
  <c r="C337" i="28"/>
  <c r="D335" i="28"/>
  <c r="D337" i="28"/>
  <c r="D336" i="28"/>
  <c r="D334" i="28"/>
  <c r="E337" i="28" l="1"/>
  <c r="F337" i="28"/>
  <c r="K337" i="28"/>
  <c r="A338" i="28"/>
  <c r="B338" i="28"/>
  <c r="C338" i="28"/>
  <c r="E338" i="28"/>
  <c r="F338" i="28"/>
  <c r="K338" i="28"/>
  <c r="A339" i="28"/>
  <c r="B339" i="28"/>
  <c r="C339" i="28"/>
  <c r="D339" i="28"/>
  <c r="D338" i="28"/>
  <c r="E339" i="28" l="1"/>
  <c r="F339" i="28"/>
  <c r="K339" i="28"/>
  <c r="A340" i="28"/>
  <c r="B340" i="28"/>
  <c r="C340" i="28"/>
  <c r="E340" i="28"/>
  <c r="F340" i="28"/>
  <c r="K340" i="28"/>
  <c r="A341" i="28"/>
  <c r="B341" i="28"/>
  <c r="C341" i="28"/>
  <c r="E341" i="28"/>
  <c r="F341" i="28"/>
  <c r="K341" i="28"/>
  <c r="A342" i="28"/>
  <c r="B342" i="28"/>
  <c r="C342" i="28"/>
  <c r="D340" i="28"/>
  <c r="D342" i="28"/>
  <c r="D341" i="28"/>
  <c r="E342" i="28" l="1"/>
  <c r="F342" i="28"/>
  <c r="K342" i="28"/>
  <c r="A343" i="28"/>
  <c r="B343" i="28"/>
  <c r="C343" i="28"/>
  <c r="D343" i="28"/>
  <c r="E343" i="28" l="1"/>
  <c r="F343" i="28"/>
  <c r="K343" i="28"/>
  <c r="A344" i="28"/>
  <c r="B344" i="28"/>
  <c r="C344" i="28"/>
  <c r="D344" i="28"/>
  <c r="E344" i="28" l="1"/>
  <c r="F344" i="28"/>
  <c r="K344" i="28"/>
  <c r="A345" i="28"/>
  <c r="B345" i="28"/>
  <c r="C345" i="28"/>
  <c r="D345" i="28"/>
  <c r="E345" i="28" l="1"/>
  <c r="F345" i="28"/>
  <c r="K345" i="28"/>
  <c r="A346" i="28"/>
  <c r="B346" i="28"/>
  <c r="C346" i="28"/>
  <c r="D346" i="28"/>
  <c r="E346" i="28" l="1"/>
  <c r="F346" i="28"/>
  <c r="K346" i="28"/>
  <c r="A347" i="28"/>
  <c r="B347" i="28"/>
  <c r="C347" i="28"/>
  <c r="E347" i="28"/>
  <c r="F347" i="28"/>
  <c r="K347" i="28"/>
  <c r="A348" i="28"/>
  <c r="B348" i="28"/>
  <c r="C348" i="28"/>
  <c r="E348" i="28"/>
  <c r="F348" i="28"/>
  <c r="K348" i="28"/>
  <c r="A349" i="28"/>
  <c r="B349" i="28"/>
  <c r="C349" i="28"/>
  <c r="D349" i="28"/>
  <c r="D347" i="28"/>
  <c r="D348" i="28"/>
  <c r="E349" i="28" l="1"/>
  <c r="F349" i="28"/>
  <c r="K349" i="28"/>
  <c r="A350" i="28"/>
  <c r="B350" i="28"/>
  <c r="C350" i="28"/>
  <c r="E350" i="28"/>
  <c r="F350" i="28"/>
  <c r="K350" i="28"/>
  <c r="A351" i="28"/>
  <c r="B351" i="28"/>
  <c r="C351" i="28"/>
  <c r="E351" i="28"/>
  <c r="F351" i="28"/>
  <c r="K351" i="28"/>
  <c r="A352" i="28"/>
  <c r="B352" i="28"/>
  <c r="C352" i="28"/>
  <c r="D352" i="28"/>
  <c r="D350" i="28"/>
  <c r="D351" i="28"/>
  <c r="E352" i="28" l="1"/>
  <c r="F352" i="28"/>
  <c r="K352" i="28"/>
  <c r="A353" i="28"/>
  <c r="B353" i="28"/>
  <c r="C353" i="28"/>
  <c r="D353" i="28"/>
  <c r="E353" i="28" l="1"/>
  <c r="F353" i="28"/>
  <c r="K353" i="28"/>
  <c r="A354" i="28"/>
  <c r="B354" i="28"/>
  <c r="C354" i="28"/>
  <c r="E354" i="28"/>
  <c r="F354" i="28"/>
  <c r="K354" i="28"/>
  <c r="A355" i="28"/>
  <c r="B355" i="28"/>
  <c r="C355" i="28"/>
  <c r="D355" i="28"/>
  <c r="D354" i="28"/>
  <c r="E355" i="28" l="1"/>
  <c r="F355" i="28"/>
  <c r="K355" i="28"/>
  <c r="A356" i="28"/>
  <c r="B356" i="28"/>
  <c r="C356" i="28"/>
  <c r="D356" i="28"/>
  <c r="E356" i="28" l="1"/>
  <c r="F356" i="28"/>
  <c r="K356" i="28"/>
  <c r="A357" i="28"/>
  <c r="B357" i="28"/>
  <c r="C357" i="28"/>
  <c r="D357" i="28"/>
  <c r="E357" i="28" l="1"/>
  <c r="F357" i="28"/>
  <c r="K357" i="28"/>
  <c r="A358" i="28"/>
  <c r="B358" i="28"/>
  <c r="C358" i="28"/>
  <c r="D358" i="28"/>
  <c r="E358" i="28" l="1"/>
  <c r="F358" i="28"/>
  <c r="K358" i="28"/>
  <c r="A359" i="28"/>
  <c r="B359" i="28"/>
  <c r="C359" i="28"/>
  <c r="D359" i="28"/>
  <c r="E359" i="28" l="1"/>
  <c r="F359" i="28"/>
  <c r="K359" i="28"/>
  <c r="A360" i="28"/>
  <c r="B360" i="28"/>
  <c r="C360" i="28"/>
  <c r="E360" i="28"/>
  <c r="F360" i="28"/>
  <c r="K360" i="28"/>
  <c r="A361" i="28"/>
  <c r="B361" i="28"/>
  <c r="C361" i="28"/>
  <c r="E361" i="28"/>
  <c r="F361" i="28"/>
  <c r="K361" i="28"/>
  <c r="A362" i="28"/>
  <c r="B362" i="28"/>
  <c r="C362" i="28"/>
  <c r="E362" i="28"/>
  <c r="F362" i="28"/>
  <c r="K362" i="28"/>
  <c r="A363" i="28"/>
  <c r="B363" i="28"/>
  <c r="C363" i="28"/>
  <c r="E363" i="28"/>
  <c r="F363" i="28"/>
  <c r="K363" i="28"/>
  <c r="A364" i="28"/>
  <c r="B364" i="28"/>
  <c r="C364" i="28"/>
  <c r="D362" i="28"/>
  <c r="D361" i="28"/>
  <c r="D364" i="28"/>
  <c r="D363" i="28"/>
  <c r="D360" i="28"/>
  <c r="E364" i="28" l="1"/>
  <c r="F364" i="28"/>
  <c r="K364" i="28"/>
  <c r="A365" i="28"/>
  <c r="B365" i="28"/>
  <c r="C365" i="28"/>
  <c r="E365" i="28"/>
  <c r="F365" i="28"/>
  <c r="K365" i="28"/>
  <c r="A366" i="28"/>
  <c r="B366" i="28"/>
  <c r="C366" i="28"/>
  <c r="D366" i="28"/>
  <c r="D365" i="28"/>
  <c r="E366" i="28" l="1"/>
  <c r="F366" i="28"/>
  <c r="K366" i="28"/>
  <c r="A367" i="28"/>
  <c r="B367" i="28"/>
  <c r="C367" i="28"/>
  <c r="E367" i="28"/>
  <c r="F367" i="28"/>
  <c r="K367" i="28"/>
  <c r="A368" i="28"/>
  <c r="B368" i="28"/>
  <c r="C368" i="28"/>
  <c r="D367" i="28"/>
  <c r="D368" i="28"/>
  <c r="E368" i="28" l="1"/>
  <c r="F368" i="28"/>
  <c r="K368" i="28"/>
  <c r="A369" i="28"/>
  <c r="B369" i="28"/>
  <c r="C369" i="28"/>
  <c r="E369" i="28"/>
  <c r="F369" i="28"/>
  <c r="K369" i="28"/>
  <c r="A370" i="28"/>
  <c r="B370" i="28"/>
  <c r="C370" i="28"/>
  <c r="D370" i="28"/>
  <c r="D369" i="28"/>
  <c r="E370" i="28" l="1"/>
  <c r="F370" i="28"/>
  <c r="K370" i="28"/>
  <c r="A371" i="28"/>
  <c r="B371" i="28"/>
  <c r="C371" i="28"/>
  <c r="D371" i="28"/>
  <c r="E371" i="28" l="1"/>
  <c r="F371" i="28"/>
  <c r="K371" i="28"/>
  <c r="A372" i="28"/>
  <c r="B372" i="28"/>
  <c r="C372" i="28"/>
  <c r="D372" i="28"/>
  <c r="E372" i="28" l="1"/>
  <c r="F372" i="28"/>
  <c r="K372" i="28"/>
  <c r="A373" i="28"/>
  <c r="B373" i="28"/>
  <c r="C373" i="28"/>
  <c r="D373" i="28"/>
  <c r="E373" i="28" l="1"/>
  <c r="F373" i="28"/>
  <c r="K373" i="28"/>
  <c r="A374" i="28"/>
  <c r="B374" i="28"/>
  <c r="C374" i="28"/>
  <c r="D374" i="28"/>
  <c r="E374" i="28" l="1"/>
  <c r="F374" i="28"/>
  <c r="K374" i="28"/>
  <c r="A375" i="28"/>
  <c r="B375" i="28"/>
  <c r="C375" i="28"/>
  <c r="D375" i="28"/>
  <c r="E375" i="28" l="1"/>
  <c r="F375" i="28"/>
  <c r="K375" i="28"/>
  <c r="A376" i="28"/>
  <c r="B376" i="28"/>
  <c r="C376" i="28"/>
  <c r="D376" i="28"/>
  <c r="E376" i="28" l="1"/>
  <c r="F376" i="28"/>
  <c r="K376" i="28"/>
  <c r="A377" i="28"/>
  <c r="B377" i="28"/>
  <c r="C377" i="28"/>
  <c r="D377" i="28"/>
  <c r="E377" i="28" l="1"/>
  <c r="F377" i="28"/>
  <c r="K377" i="28"/>
  <c r="A378" i="28"/>
  <c r="B378" i="28"/>
  <c r="C378" i="28"/>
  <c r="D378" i="28"/>
  <c r="E378" i="28" l="1"/>
  <c r="F378" i="28"/>
  <c r="K378" i="28"/>
  <c r="A379" i="28"/>
  <c r="B379" i="28"/>
  <c r="C379" i="28"/>
  <c r="D379" i="28"/>
  <c r="E379" i="28" l="1"/>
  <c r="F379" i="28"/>
  <c r="K379" i="28"/>
  <c r="A380" i="28"/>
  <c r="B380" i="28"/>
  <c r="C380" i="28"/>
  <c r="D380" i="28"/>
  <c r="E380" i="28" l="1"/>
  <c r="F380" i="28"/>
  <c r="K380" i="28"/>
  <c r="A381" i="28"/>
  <c r="B381" i="28"/>
  <c r="C381" i="28"/>
  <c r="D381" i="28"/>
  <c r="E381" i="28" l="1"/>
  <c r="F381" i="28"/>
  <c r="K381" i="28"/>
  <c r="A382" i="28"/>
  <c r="B382" i="28"/>
  <c r="C382" i="28"/>
  <c r="D382" i="28"/>
  <c r="E382" i="28" l="1"/>
  <c r="F382" i="28"/>
  <c r="K382" i="28"/>
  <c r="A383" i="28"/>
  <c r="B383" i="28"/>
  <c r="C383" i="28"/>
  <c r="D383" i="28"/>
  <c r="E383" i="28" l="1"/>
  <c r="F383" i="28"/>
  <c r="K383" i="28"/>
  <c r="A384" i="28"/>
  <c r="B384" i="28"/>
  <c r="C384" i="28"/>
  <c r="E384" i="28"/>
  <c r="F384" i="28"/>
  <c r="K384" i="28"/>
  <c r="A385" i="28"/>
  <c r="B385" i="28"/>
  <c r="C385" i="28"/>
  <c r="D384" i="28"/>
  <c r="D385" i="28"/>
  <c r="E385" i="28" l="1"/>
  <c r="F385" i="28"/>
  <c r="K385" i="28"/>
  <c r="A386" i="28"/>
  <c r="B386" i="28"/>
  <c r="C386" i="28"/>
  <c r="D386" i="28"/>
  <c r="E386" i="28" l="1"/>
  <c r="F386" i="28"/>
  <c r="K386" i="28"/>
  <c r="A387" i="28"/>
  <c r="B387" i="28"/>
  <c r="C387" i="28"/>
  <c r="D387" i="28"/>
  <c r="E387" i="28" l="1"/>
  <c r="F387" i="28"/>
  <c r="K387" i="28"/>
  <c r="A388" i="28"/>
  <c r="B388" i="28"/>
  <c r="C388" i="28"/>
  <c r="D388" i="28"/>
  <c r="E388" i="28" l="1"/>
  <c r="F388" i="28"/>
  <c r="K388" i="28"/>
  <c r="A389" i="28"/>
  <c r="B389" i="28"/>
  <c r="C389" i="28"/>
  <c r="D389" i="28"/>
  <c r="E389" i="28" l="1"/>
  <c r="F389" i="28"/>
  <c r="K389" i="28"/>
  <c r="A390" i="28"/>
  <c r="B390" i="28"/>
  <c r="C390" i="28"/>
  <c r="D390" i="28"/>
  <c r="E390" i="28" l="1"/>
  <c r="F390" i="28"/>
  <c r="K390" i="28"/>
  <c r="A391" i="28"/>
  <c r="B391" i="28"/>
  <c r="C391" i="28"/>
  <c r="D391" i="28"/>
  <c r="E391" i="28" l="1"/>
  <c r="F391" i="28"/>
  <c r="K391" i="28"/>
  <c r="A392" i="28"/>
  <c r="B392" i="28"/>
  <c r="C392" i="28"/>
  <c r="D392" i="28"/>
  <c r="E392" i="28" l="1"/>
  <c r="F392" i="28"/>
  <c r="K392" i="28"/>
  <c r="A393" i="28"/>
  <c r="B393" i="28"/>
  <c r="C393" i="28"/>
  <c r="D393" i="28"/>
  <c r="E393" i="28" l="1"/>
  <c r="F393" i="28"/>
  <c r="K393" i="28"/>
  <c r="A394" i="28"/>
  <c r="B394" i="28"/>
  <c r="C394" i="28"/>
  <c r="D394" i="28"/>
  <c r="E394" i="28" l="1"/>
  <c r="F394" i="28"/>
  <c r="K394" i="28"/>
  <c r="A395" i="28"/>
  <c r="B395" i="28"/>
  <c r="C395" i="28"/>
  <c r="D395" i="28"/>
  <c r="E395" i="28" l="1"/>
  <c r="F395" i="28"/>
  <c r="K395" i="28"/>
  <c r="A396" i="28"/>
  <c r="B396" i="28"/>
  <c r="C396" i="28"/>
  <c r="D396" i="28"/>
  <c r="E396" i="28" l="1"/>
  <c r="F396" i="28"/>
  <c r="K396" i="28"/>
  <c r="A397" i="28"/>
  <c r="B397" i="28"/>
  <c r="C397" i="28"/>
  <c r="D397" i="28"/>
  <c r="E397" i="28" l="1"/>
  <c r="F397" i="28"/>
  <c r="K397" i="28"/>
  <c r="A398" i="28"/>
  <c r="B398" i="28"/>
  <c r="C398" i="28"/>
  <c r="D398" i="28"/>
  <c r="E398" i="28" l="1"/>
  <c r="F398" i="28"/>
  <c r="K398" i="28"/>
  <c r="A399" i="28"/>
  <c r="B399" i="28"/>
  <c r="C399" i="28"/>
  <c r="D399" i="28"/>
  <c r="E399" i="28" l="1"/>
  <c r="F399" i="28"/>
  <c r="K399" i="28"/>
  <c r="A400" i="28"/>
  <c r="B400" i="28"/>
  <c r="C400" i="28"/>
  <c r="D400" i="28"/>
  <c r="E400" i="28" l="1"/>
  <c r="F400" i="28"/>
  <c r="K400" i="28"/>
  <c r="A401" i="28"/>
  <c r="B401" i="28"/>
  <c r="C401" i="28"/>
  <c r="D401" i="28"/>
  <c r="E401" i="28" l="1"/>
  <c r="F401" i="28"/>
  <c r="K401" i="28"/>
  <c r="A402" i="28"/>
  <c r="B402" i="28"/>
  <c r="C402" i="28"/>
  <c r="D402" i="28"/>
  <c r="E402" i="28" l="1"/>
  <c r="F402" i="28"/>
  <c r="K402" i="28"/>
  <c r="A403" i="28"/>
  <c r="B403" i="28"/>
  <c r="C403" i="28"/>
  <c r="D403" i="28"/>
  <c r="E403" i="28" l="1"/>
  <c r="F403" i="28"/>
  <c r="K403" i="28"/>
  <c r="A404" i="28"/>
  <c r="B404" i="28"/>
  <c r="C404" i="28"/>
  <c r="E404" i="28"/>
  <c r="F404" i="28"/>
  <c r="K404" i="28"/>
  <c r="A405" i="28"/>
  <c r="B405" i="28"/>
  <c r="C405" i="28"/>
  <c r="D404" i="28"/>
  <c r="D405" i="28"/>
  <c r="E405" i="28" l="1"/>
  <c r="F405" i="28"/>
  <c r="K405" i="28"/>
  <c r="A406" i="28"/>
  <c r="B406" i="28"/>
  <c r="C406" i="28"/>
  <c r="D406" i="28"/>
  <c r="E406" i="28" l="1"/>
  <c r="F406" i="28"/>
  <c r="K406" i="28"/>
  <c r="A407" i="28"/>
  <c r="B407" i="28"/>
  <c r="C407" i="28"/>
  <c r="D407" i="28"/>
  <c r="E407" i="28" l="1"/>
  <c r="F407" i="28"/>
  <c r="K407" i="28"/>
  <c r="A408" i="28"/>
  <c r="B408" i="28"/>
  <c r="C408" i="28"/>
  <c r="D408" i="28"/>
  <c r="E408" i="28" l="1"/>
  <c r="F408" i="28"/>
  <c r="K408" i="28"/>
  <c r="A409" i="28"/>
  <c r="B409" i="28"/>
  <c r="C409" i="28"/>
  <c r="D409" i="28"/>
  <c r="E409" i="28" l="1"/>
  <c r="F409" i="28"/>
  <c r="K409" i="28"/>
  <c r="A410" i="28"/>
  <c r="B410" i="28"/>
  <c r="C410" i="28"/>
  <c r="D410" i="28"/>
  <c r="E410" i="28" l="1"/>
  <c r="F410" i="28"/>
  <c r="K410" i="28"/>
  <c r="A411" i="28"/>
  <c r="B411" i="28"/>
  <c r="C411" i="28"/>
  <c r="D411" i="28"/>
  <c r="E411" i="28" l="1"/>
  <c r="F411" i="28"/>
  <c r="K411" i="28"/>
  <c r="A412" i="28"/>
  <c r="B412" i="28"/>
  <c r="C412" i="28"/>
  <c r="D412" i="28"/>
  <c r="E412" i="28" l="1"/>
  <c r="F412" i="28"/>
  <c r="K412" i="28"/>
  <c r="A413" i="28"/>
  <c r="B413" i="28"/>
  <c r="C413" i="28"/>
  <c r="D413" i="28"/>
  <c r="E413" i="28" l="1"/>
  <c r="F413" i="28"/>
  <c r="K413" i="28"/>
  <c r="A414" i="28"/>
  <c r="B414" i="28"/>
  <c r="C414" i="28"/>
  <c r="D414" i="28"/>
  <c r="E414" i="28" l="1"/>
  <c r="F414" i="28"/>
  <c r="K414" i="28"/>
  <c r="A415" i="28"/>
  <c r="B415" i="28"/>
  <c r="C415" i="28"/>
  <c r="D415" i="28"/>
  <c r="E415" i="28" l="1"/>
  <c r="F415" i="28"/>
  <c r="K415" i="28"/>
  <c r="A416" i="28"/>
  <c r="B416" i="28"/>
  <c r="C416" i="28"/>
  <c r="D416" i="28"/>
  <c r="E416" i="28" l="1"/>
  <c r="F416" i="28"/>
  <c r="K416" i="28"/>
  <c r="A417" i="28"/>
  <c r="B417" i="28"/>
  <c r="C417" i="28"/>
  <c r="E417" i="28"/>
  <c r="F417" i="28"/>
  <c r="K417" i="28"/>
  <c r="A418" i="28"/>
  <c r="B418" i="28"/>
  <c r="C418" i="28"/>
  <c r="D418" i="28"/>
  <c r="D417" i="28"/>
  <c r="E418" i="28" l="1"/>
  <c r="F418" i="28"/>
  <c r="K418" i="28"/>
  <c r="A419" i="28"/>
  <c r="B419" i="28"/>
  <c r="C419" i="28"/>
  <c r="E419" i="28"/>
  <c r="F419" i="28"/>
  <c r="K419" i="28"/>
  <c r="A420" i="28"/>
  <c r="B420" i="28"/>
  <c r="C420" i="28"/>
  <c r="D419" i="28"/>
  <c r="D420" i="28"/>
  <c r="E420" i="28" l="1"/>
  <c r="F420" i="28"/>
  <c r="K420" i="28"/>
  <c r="A421" i="28"/>
  <c r="B421" i="28"/>
  <c r="C421" i="28"/>
  <c r="D421" i="28"/>
  <c r="E421" i="28" l="1"/>
  <c r="F421" i="28"/>
  <c r="K421" i="28"/>
  <c r="A422" i="28"/>
  <c r="B422" i="28"/>
  <c r="C422" i="28"/>
  <c r="D422" i="28"/>
  <c r="E422" i="28" l="1"/>
  <c r="F422" i="28"/>
  <c r="K422" i="28"/>
  <c r="A423" i="28"/>
  <c r="B423" i="28"/>
  <c r="C423" i="28"/>
  <c r="D423" i="28"/>
  <c r="E423" i="28" l="1"/>
  <c r="F423" i="28"/>
  <c r="K423" i="28"/>
  <c r="A424" i="28"/>
  <c r="B424" i="28"/>
  <c r="C424" i="28"/>
  <c r="D424" i="28"/>
  <c r="E424" i="28" l="1"/>
  <c r="F424" i="28"/>
  <c r="K424" i="28"/>
  <c r="A425" i="28"/>
  <c r="B425" i="28"/>
  <c r="C425" i="28"/>
  <c r="D425" i="28"/>
  <c r="E425" i="28" l="1"/>
  <c r="F425" i="28"/>
  <c r="K425" i="28"/>
  <c r="A426" i="28"/>
  <c r="B426" i="28"/>
  <c r="C426" i="28"/>
  <c r="E426" i="28"/>
  <c r="F426" i="28"/>
  <c r="K426" i="28"/>
  <c r="A427" i="28"/>
  <c r="B427" i="28"/>
  <c r="C427" i="28"/>
  <c r="E427" i="28"/>
  <c r="F427" i="28"/>
  <c r="K427" i="28"/>
  <c r="A428" i="28"/>
  <c r="B428" i="28"/>
  <c r="C428" i="28"/>
  <c r="D426" i="28"/>
  <c r="D427" i="28"/>
  <c r="D428" i="28"/>
  <c r="E428" i="28" l="1"/>
  <c r="F428" i="28"/>
  <c r="K428" i="28"/>
  <c r="A429" i="28"/>
  <c r="B429" i="28"/>
  <c r="C429" i="28"/>
  <c r="E429" i="28"/>
  <c r="F429" i="28"/>
  <c r="K429" i="28"/>
  <c r="A430" i="28"/>
  <c r="B430" i="28"/>
  <c r="C430" i="28"/>
  <c r="E430" i="28"/>
  <c r="F430" i="28"/>
  <c r="K430" i="28"/>
  <c r="A431" i="28"/>
  <c r="B431" i="28"/>
  <c r="C431" i="28"/>
  <c r="D429" i="28"/>
  <c r="D431" i="28"/>
  <c r="D430" i="28"/>
  <c r="E431" i="28" l="1"/>
  <c r="F431" i="28"/>
  <c r="K431" i="28"/>
  <c r="A432" i="28"/>
  <c r="B432" i="28"/>
  <c r="C432" i="28"/>
  <c r="D432" i="28"/>
  <c r="E432" i="28" l="1"/>
  <c r="F432" i="28"/>
  <c r="K432" i="28"/>
  <c r="A433" i="28"/>
  <c r="B433" i="28"/>
  <c r="C433" i="28"/>
  <c r="D433" i="28"/>
  <c r="E433" i="28" l="1"/>
  <c r="F433" i="28"/>
  <c r="K433" i="28"/>
  <c r="A434" i="28"/>
  <c r="B434" i="28"/>
  <c r="C434" i="28"/>
  <c r="D434" i="28"/>
  <c r="E434" i="28" l="1"/>
  <c r="F434" i="28"/>
  <c r="K434" i="28"/>
  <c r="A435" i="28"/>
  <c r="B435" i="28"/>
  <c r="C435" i="28"/>
  <c r="E435" i="28"/>
  <c r="F435" i="28"/>
  <c r="K435" i="28"/>
  <c r="A436" i="28"/>
  <c r="B436" i="28"/>
  <c r="C436" i="28"/>
  <c r="D436" i="28"/>
  <c r="D435" i="28"/>
  <c r="E436" i="28" l="1"/>
  <c r="F436" i="28"/>
  <c r="K436" i="28"/>
  <c r="A437" i="28"/>
  <c r="B437" i="28"/>
  <c r="C437" i="28"/>
  <c r="D437" i="28"/>
  <c r="E437" i="28" l="1"/>
  <c r="F437" i="28"/>
  <c r="K437" i="28"/>
  <c r="A438" i="28"/>
  <c r="B438" i="28"/>
  <c r="C438" i="28"/>
  <c r="D438" i="28"/>
  <c r="E438" i="28" l="1"/>
  <c r="F438" i="28"/>
  <c r="K438" i="28"/>
  <c r="A439" i="28"/>
  <c r="B439" i="28"/>
  <c r="C439" i="28"/>
  <c r="D439" i="28"/>
  <c r="E439" i="28" l="1"/>
  <c r="F439" i="28"/>
  <c r="K439" i="28"/>
  <c r="A440" i="28"/>
  <c r="B440" i="28"/>
  <c r="C440" i="28"/>
  <c r="D440" i="28"/>
  <c r="E440" i="28" l="1"/>
  <c r="F440" i="28"/>
  <c r="K440" i="28"/>
  <c r="A441" i="28"/>
  <c r="B441" i="28"/>
  <c r="C441" i="28"/>
  <c r="D441" i="28"/>
  <c r="E441" i="28" l="1"/>
  <c r="F441" i="28"/>
  <c r="K441" i="28"/>
  <c r="A442" i="28"/>
  <c r="B442" i="28"/>
  <c r="C442" i="28"/>
  <c r="D442" i="28"/>
  <c r="E442" i="28" l="1"/>
  <c r="F442" i="28"/>
  <c r="K442" i="28"/>
  <c r="A443" i="28"/>
  <c r="B443" i="28"/>
  <c r="C443" i="28"/>
  <c r="D443" i="28"/>
  <c r="E443" i="28" l="1"/>
  <c r="F443" i="28"/>
  <c r="K443" i="28"/>
  <c r="A444" i="28"/>
  <c r="B444" i="28"/>
  <c r="C444" i="28"/>
  <c r="D444" i="28"/>
  <c r="E444" i="28" l="1"/>
  <c r="F444" i="28"/>
  <c r="K444" i="28"/>
  <c r="A445" i="28"/>
  <c r="B445" i="28"/>
  <c r="C445" i="28"/>
  <c r="D445" i="28"/>
  <c r="E445" i="28" l="1"/>
  <c r="F445" i="28"/>
  <c r="K445" i="28"/>
  <c r="A446" i="28"/>
  <c r="B446" i="28"/>
  <c r="C446" i="28"/>
  <c r="D446" i="28"/>
  <c r="E446" i="28" l="1"/>
  <c r="F446" i="28"/>
  <c r="K446" i="28"/>
  <c r="A447" i="28"/>
  <c r="B447" i="28"/>
  <c r="C447" i="28"/>
  <c r="D447" i="28"/>
  <c r="E447" i="28" l="1"/>
  <c r="F447" i="28"/>
  <c r="K447" i="28"/>
  <c r="A448" i="28"/>
  <c r="B448" i="28"/>
  <c r="C448" i="28"/>
  <c r="D448" i="28"/>
  <c r="E448" i="28" l="1"/>
  <c r="F448" i="28"/>
  <c r="K448" i="28"/>
  <c r="A449" i="28"/>
  <c r="B449" i="28"/>
  <c r="C449" i="28"/>
  <c r="D449" i="28"/>
  <c r="E449" i="28" l="1"/>
  <c r="F449" i="28"/>
  <c r="K449" i="28"/>
  <c r="A450" i="28"/>
  <c r="B450" i="28"/>
  <c r="C450" i="28"/>
  <c r="E450" i="28"/>
  <c r="F450" i="28"/>
  <c r="K450" i="28"/>
  <c r="A451" i="28"/>
  <c r="B451" i="28"/>
  <c r="C451" i="28"/>
  <c r="D451" i="28"/>
  <c r="D450" i="28"/>
  <c r="E451" i="28" l="1"/>
  <c r="F451" i="28"/>
  <c r="K451" i="28"/>
  <c r="A452" i="28"/>
  <c r="B452" i="28"/>
  <c r="C452" i="28"/>
  <c r="D452" i="28"/>
  <c r="E452" i="28" l="1"/>
  <c r="F452" i="28"/>
  <c r="K452" i="28"/>
  <c r="A453" i="28"/>
  <c r="B453" i="28"/>
  <c r="C453" i="28"/>
  <c r="D453" i="28"/>
  <c r="E453" i="28" l="1"/>
  <c r="F453" i="28"/>
  <c r="K453" i="28"/>
  <c r="A454" i="28"/>
  <c r="B454" i="28"/>
  <c r="C454" i="28"/>
  <c r="D454" i="28"/>
  <c r="E454" i="28" l="1"/>
  <c r="F454" i="28"/>
  <c r="K454" i="28"/>
  <c r="A455" i="28"/>
  <c r="B455" i="28"/>
  <c r="C455" i="28"/>
  <c r="D455" i="28"/>
  <c r="E455" i="28" l="1"/>
  <c r="F455" i="28"/>
  <c r="K455" i="28"/>
  <c r="A456" i="28"/>
  <c r="B456" i="28"/>
  <c r="C456" i="28"/>
  <c r="D456" i="28"/>
  <c r="E456" i="28" l="1"/>
  <c r="F456" i="28"/>
  <c r="K456" i="28"/>
  <c r="A457" i="28"/>
  <c r="B457" i="28"/>
  <c r="C457" i="28"/>
  <c r="E457" i="28"/>
  <c r="F457" i="28"/>
  <c r="K457" i="28"/>
  <c r="A458" i="28"/>
  <c r="B458" i="28"/>
  <c r="C458" i="28"/>
  <c r="D458" i="28"/>
  <c r="D457" i="28"/>
  <c r="E458" i="28" l="1"/>
  <c r="F458" i="28"/>
  <c r="K458" i="28"/>
  <c r="A459" i="28"/>
  <c r="B459" i="28"/>
  <c r="C459" i="28"/>
  <c r="E459" i="28"/>
  <c r="F459" i="28"/>
  <c r="K459" i="28"/>
  <c r="A460" i="28"/>
  <c r="B460" i="28"/>
  <c r="C460" i="28"/>
  <c r="E460" i="28"/>
  <c r="F460" i="28"/>
  <c r="K460" i="28"/>
  <c r="A461" i="28"/>
  <c r="B461" i="28"/>
  <c r="C461" i="28"/>
  <c r="E461" i="28"/>
  <c r="F461" i="28"/>
  <c r="K461" i="28"/>
  <c r="A462" i="28"/>
  <c r="B462" i="28"/>
  <c r="C462" i="28"/>
  <c r="E462" i="28"/>
  <c r="F462" i="28"/>
  <c r="K462" i="28"/>
  <c r="A463" i="28"/>
  <c r="B463" i="28"/>
  <c r="C463" i="28"/>
  <c r="D461" i="28"/>
  <c r="D459" i="28"/>
  <c r="D460" i="28"/>
  <c r="D463" i="28"/>
  <c r="D462" i="28"/>
  <c r="E463" i="28" l="1"/>
  <c r="F463" i="28"/>
  <c r="K463" i="28"/>
  <c r="A464" i="28"/>
  <c r="B464" i="28"/>
  <c r="C464" i="28"/>
  <c r="E464" i="28"/>
  <c r="F464" i="28"/>
  <c r="K464" i="28"/>
  <c r="A465" i="28"/>
  <c r="B465" i="28"/>
  <c r="C465" i="28"/>
  <c r="E465" i="28"/>
  <c r="F465" i="28"/>
  <c r="K465" i="28"/>
  <c r="A466" i="28"/>
  <c r="B466" i="28"/>
  <c r="C466" i="28"/>
  <c r="E466" i="28"/>
  <c r="F466" i="28"/>
  <c r="K466" i="28"/>
  <c r="A467" i="28"/>
  <c r="B467" i="28"/>
  <c r="C467" i="28"/>
  <c r="E467" i="28"/>
  <c r="F467" i="28"/>
  <c r="K467" i="28"/>
  <c r="A468" i="28"/>
  <c r="B468" i="28"/>
  <c r="C468" i="28"/>
  <c r="E468" i="28"/>
  <c r="F468" i="28"/>
  <c r="K468" i="28"/>
  <c r="A469" i="28"/>
  <c r="B469" i="28"/>
  <c r="C469" i="28"/>
  <c r="E469" i="28"/>
  <c r="F469" i="28"/>
  <c r="K469" i="28"/>
  <c r="A470" i="28"/>
  <c r="B470" i="28"/>
  <c r="C470" i="28"/>
  <c r="E470" i="28"/>
  <c r="F470" i="28"/>
  <c r="K470" i="28"/>
  <c r="A471" i="28"/>
  <c r="B471" i="28"/>
  <c r="C471" i="28"/>
  <c r="E471" i="28"/>
  <c r="F471" i="28"/>
  <c r="K471" i="28"/>
  <c r="A472" i="28"/>
  <c r="B472" i="28"/>
  <c r="C472" i="28"/>
  <c r="D468" i="28"/>
  <c r="D467" i="28"/>
  <c r="D464" i="28"/>
  <c r="D470" i="28"/>
  <c r="D472" i="28"/>
  <c r="D465" i="28"/>
  <c r="D471" i="28"/>
  <c r="D469" i="28"/>
  <c r="D466" i="28"/>
  <c r="E472" i="28" l="1"/>
  <c r="F472" i="28"/>
  <c r="K472" i="28"/>
  <c r="A473" i="28"/>
  <c r="B473" i="28"/>
  <c r="C473" i="28"/>
  <c r="D473" i="28"/>
  <c r="E473" i="28" l="1"/>
  <c r="F473" i="28"/>
  <c r="K473" i="28"/>
  <c r="A474" i="28"/>
  <c r="B474" i="28"/>
  <c r="C474" i="28"/>
  <c r="E474" i="28"/>
  <c r="F474" i="28"/>
  <c r="K474" i="28"/>
  <c r="A475" i="28"/>
  <c r="B475" i="28"/>
  <c r="C475" i="28"/>
  <c r="D474" i="28"/>
  <c r="D475" i="28"/>
  <c r="E475" i="28" l="1"/>
  <c r="F475" i="28"/>
  <c r="K475" i="28"/>
  <c r="A476" i="28"/>
  <c r="B476" i="28"/>
  <c r="C476" i="28"/>
  <c r="E476" i="28"/>
  <c r="F476" i="28"/>
  <c r="K476" i="28"/>
  <c r="A477" i="28"/>
  <c r="B477" i="28"/>
  <c r="C477" i="28"/>
  <c r="D476" i="28"/>
  <c r="D477" i="28"/>
  <c r="E477" i="28" l="1"/>
  <c r="F477" i="28"/>
  <c r="K477" i="28"/>
  <c r="A478" i="28"/>
  <c r="B478" i="28"/>
  <c r="C478" i="28"/>
  <c r="D478" i="28"/>
  <c r="E478" i="28" l="1"/>
  <c r="F478" i="28"/>
  <c r="K478" i="28"/>
  <c r="A479" i="28"/>
  <c r="B479" i="28"/>
  <c r="C479" i="28"/>
  <c r="D479" i="28"/>
  <c r="E479" i="28" l="1"/>
  <c r="F479" i="28"/>
  <c r="K479" i="28"/>
  <c r="A480" i="28"/>
  <c r="B480" i="28"/>
  <c r="C480" i="28"/>
  <c r="E480" i="28"/>
  <c r="F480" i="28"/>
  <c r="K480" i="28"/>
  <c r="A481" i="28"/>
  <c r="B481" i="28"/>
  <c r="C481" i="28"/>
  <c r="D480" i="28"/>
  <c r="D481" i="28"/>
  <c r="E481" i="28" l="1"/>
  <c r="F481" i="28"/>
  <c r="K481" i="28"/>
  <c r="A482" i="28"/>
  <c r="B482" i="28"/>
  <c r="C482" i="28"/>
  <c r="D482" i="28"/>
  <c r="E482" i="28" l="1"/>
  <c r="F482" i="28"/>
  <c r="K482" i="28"/>
  <c r="A483" i="28"/>
  <c r="B483" i="28"/>
  <c r="C483" i="28"/>
  <c r="E483" i="28"/>
  <c r="F483" i="28"/>
  <c r="K483" i="28"/>
  <c r="A484" i="28"/>
  <c r="B484" i="28"/>
  <c r="C484" i="28"/>
  <c r="D484" i="28"/>
  <c r="D483" i="28"/>
  <c r="E484" i="28" l="1"/>
  <c r="F484" i="28"/>
  <c r="K484" i="28"/>
  <c r="A485" i="28"/>
  <c r="B485" i="28"/>
  <c r="C485" i="28"/>
  <c r="D485" i="28"/>
  <c r="E485" i="28" l="1"/>
  <c r="F485" i="28"/>
  <c r="K485" i="28"/>
  <c r="A486" i="28"/>
  <c r="B486" i="28"/>
  <c r="C486" i="28"/>
  <c r="D486" i="28"/>
  <c r="E486" i="28" l="1"/>
  <c r="F486" i="28"/>
  <c r="K486" i="28"/>
  <c r="A487" i="28"/>
  <c r="B487" i="28"/>
  <c r="C487" i="28"/>
  <c r="D487" i="28"/>
  <c r="E487" i="28" l="1"/>
  <c r="F487" i="28"/>
  <c r="K487" i="28"/>
  <c r="A488" i="28"/>
  <c r="B488" i="28"/>
  <c r="C488" i="28"/>
  <c r="D488" i="28"/>
  <c r="E488" i="28" l="1"/>
  <c r="F488" i="28"/>
  <c r="K488" i="28"/>
  <c r="A489" i="28"/>
  <c r="B489" i="28"/>
  <c r="C489" i="28"/>
  <c r="D489" i="28"/>
  <c r="E489" i="28" l="1"/>
  <c r="F489" i="28"/>
  <c r="K489" i="28"/>
  <c r="A490" i="28"/>
  <c r="B490" i="28"/>
  <c r="C490" i="28"/>
  <c r="D490" i="28"/>
  <c r="E490" i="28" l="1"/>
  <c r="F490" i="28"/>
  <c r="K490" i="28"/>
  <c r="A491" i="28"/>
  <c r="B491" i="28"/>
  <c r="C491" i="28"/>
  <c r="E491" i="28"/>
  <c r="F491" i="28"/>
  <c r="K491" i="28"/>
  <c r="A492" i="28"/>
  <c r="B492" i="28"/>
  <c r="C492" i="28"/>
  <c r="D492" i="28"/>
  <c r="D491" i="28"/>
  <c r="E492" i="28" l="1"/>
  <c r="F492" i="28"/>
  <c r="K492" i="28"/>
  <c r="A493" i="28"/>
  <c r="B493" i="28"/>
  <c r="C493" i="28"/>
  <c r="D493" i="28"/>
  <c r="E493" i="28" l="1"/>
  <c r="F493" i="28"/>
  <c r="K493" i="28"/>
  <c r="A494" i="28"/>
  <c r="B494" i="28"/>
  <c r="C494" i="28"/>
  <c r="E494" i="28"/>
  <c r="F494" i="28"/>
  <c r="K494" i="28"/>
  <c r="A495" i="28"/>
  <c r="B495" i="28"/>
  <c r="C495" i="28"/>
  <c r="E495" i="28"/>
  <c r="F495" i="28"/>
  <c r="K495" i="28"/>
  <c r="A496" i="28"/>
  <c r="B496" i="28"/>
  <c r="C496" i="28"/>
  <c r="D494" i="28"/>
  <c r="D496" i="28"/>
  <c r="D495" i="28"/>
  <c r="E496" i="28" l="1"/>
  <c r="F496" i="28"/>
  <c r="K496" i="28"/>
  <c r="A497" i="28"/>
  <c r="B497" i="28"/>
  <c r="C497" i="28"/>
  <c r="D497" i="28"/>
  <c r="E497" i="28" l="1"/>
  <c r="F497" i="28"/>
  <c r="K497" i="28"/>
  <c r="A498" i="28"/>
  <c r="B498" i="28"/>
  <c r="C498" i="28"/>
  <c r="D498" i="28"/>
  <c r="E498" i="28" l="1"/>
  <c r="F498" i="28"/>
  <c r="K498" i="28"/>
  <c r="A499" i="28"/>
  <c r="B499" i="28"/>
  <c r="C499" i="28"/>
  <c r="D499" i="28"/>
  <c r="E499" i="28" l="1"/>
  <c r="F499" i="28"/>
  <c r="K499" i="28"/>
  <c r="A500" i="28"/>
  <c r="B500" i="28"/>
  <c r="C500" i="28"/>
  <c r="D500" i="28"/>
  <c r="E500" i="28" l="1"/>
  <c r="F500" i="28"/>
  <c r="K500" i="28"/>
  <c r="A501" i="28"/>
  <c r="B501" i="28"/>
  <c r="C501" i="28"/>
  <c r="D501" i="28"/>
  <c r="E501" i="28" l="1"/>
  <c r="F501" i="28"/>
  <c r="K501" i="28"/>
  <c r="A502" i="28"/>
  <c r="B502" i="28"/>
  <c r="C502" i="28"/>
  <c r="D502" i="28"/>
  <c r="E502" i="28" l="1"/>
  <c r="F502" i="28"/>
  <c r="K502" i="28"/>
  <c r="A503" i="28"/>
  <c r="B503" i="28"/>
  <c r="C503" i="28"/>
  <c r="D503" i="28"/>
  <c r="E503" i="28" l="1"/>
  <c r="F503" i="28"/>
  <c r="K503" i="28"/>
  <c r="A504" i="28"/>
  <c r="B504" i="28"/>
  <c r="C504" i="28"/>
  <c r="D504" i="28"/>
  <c r="E504" i="28" l="1"/>
  <c r="F504" i="28"/>
  <c r="K504" i="28"/>
  <c r="A505" i="28"/>
  <c r="B505" i="28"/>
  <c r="C505" i="28"/>
  <c r="D505" i="28"/>
  <c r="E505" i="28" l="1"/>
  <c r="F505" i="28"/>
  <c r="K505" i="28"/>
  <c r="A506" i="28"/>
  <c r="B506" i="28"/>
  <c r="C506" i="28"/>
  <c r="D506" i="28"/>
  <c r="E506" i="28" l="1"/>
  <c r="F506" i="28"/>
  <c r="K506" i="28"/>
  <c r="A507" i="28"/>
  <c r="B507" i="28"/>
  <c r="C507" i="28"/>
  <c r="D507" i="28"/>
  <c r="E507" i="28" l="1"/>
  <c r="F507" i="28"/>
  <c r="K507" i="28"/>
  <c r="A508" i="28"/>
  <c r="B508" i="28"/>
  <c r="C508" i="28"/>
  <c r="D508" i="28"/>
  <c r="E508" i="28" l="1"/>
  <c r="F508" i="28"/>
  <c r="K508" i="28"/>
  <c r="A509" i="28"/>
  <c r="B509" i="28"/>
  <c r="C509" i="28"/>
  <c r="D509" i="28"/>
  <c r="E509" i="28" l="1"/>
  <c r="F509" i="28"/>
  <c r="K509" i="28"/>
  <c r="A510" i="28"/>
  <c r="B510" i="28"/>
  <c r="C510" i="28"/>
  <c r="D510" i="28"/>
  <c r="E510" i="28" l="1"/>
  <c r="F510" i="28"/>
  <c r="K510" i="28"/>
  <c r="A511" i="28"/>
  <c r="B511" i="28"/>
  <c r="C511" i="28"/>
  <c r="E511" i="28"/>
  <c r="F511" i="28"/>
  <c r="K511" i="28"/>
  <c r="A512" i="28"/>
  <c r="B512" i="28"/>
  <c r="C512" i="28"/>
  <c r="D511" i="28"/>
  <c r="D512" i="28"/>
  <c r="E512" i="28" l="1"/>
  <c r="F512" i="28"/>
  <c r="K512" i="28"/>
  <c r="A513" i="28"/>
  <c r="B513" i="28"/>
  <c r="C513" i="28"/>
  <c r="D513" i="28"/>
  <c r="E513" i="28" l="1"/>
  <c r="F513" i="28"/>
  <c r="K513" i="28"/>
  <c r="A514" i="28"/>
  <c r="B514" i="28"/>
  <c r="C514" i="28"/>
  <c r="E514" i="28"/>
  <c r="F514" i="28"/>
  <c r="K514" i="28"/>
  <c r="A515" i="28"/>
  <c r="B515" i="28"/>
  <c r="C515" i="28"/>
  <c r="D515" i="28"/>
  <c r="D514" i="28"/>
  <c r="E515" i="28" l="1"/>
  <c r="F515" i="28"/>
  <c r="K515" i="28"/>
  <c r="A516" i="28"/>
  <c r="B516" i="28"/>
  <c r="C516" i="28"/>
  <c r="E516" i="28"/>
  <c r="F516" i="28"/>
  <c r="K516" i="28"/>
  <c r="A517" i="28"/>
  <c r="B517" i="28"/>
  <c r="C517" i="28"/>
  <c r="D516" i="28"/>
  <c r="D517" i="28"/>
  <c r="E517" i="28" l="1"/>
  <c r="F517" i="28"/>
  <c r="K517" i="28"/>
  <c r="A518" i="28"/>
  <c r="B518" i="28"/>
  <c r="C518" i="28"/>
  <c r="D518" i="28"/>
  <c r="E518" i="28" l="1"/>
  <c r="F518" i="28"/>
  <c r="K518" i="28"/>
  <c r="A519" i="28"/>
  <c r="B519" i="28"/>
  <c r="C519" i="28"/>
  <c r="D519" i="28"/>
  <c r="E519" i="28" l="1"/>
  <c r="F519" i="28"/>
  <c r="K519" i="28"/>
  <c r="A520" i="28"/>
  <c r="B520" i="28"/>
  <c r="C520" i="28"/>
  <c r="D520" i="28"/>
  <c r="E520" i="28" l="1"/>
  <c r="F520" i="28"/>
  <c r="K520" i="28"/>
  <c r="A521" i="28"/>
  <c r="B521" i="28"/>
  <c r="C521" i="28"/>
  <c r="D521" i="28"/>
  <c r="E521" i="28" l="1"/>
  <c r="F521" i="28"/>
  <c r="K521" i="28"/>
  <c r="A522" i="28"/>
  <c r="B522" i="28"/>
  <c r="C522" i="28"/>
  <c r="D522" i="28"/>
  <c r="E522" i="28" l="1"/>
  <c r="F522" i="28"/>
  <c r="K522" i="28"/>
  <c r="A523" i="28"/>
  <c r="B523" i="28"/>
  <c r="C523" i="28"/>
  <c r="D523" i="28"/>
  <c r="E523" i="28" l="1"/>
  <c r="F523" i="28"/>
  <c r="K523" i="28"/>
  <c r="A524" i="28"/>
  <c r="B524" i="28"/>
  <c r="C524" i="28"/>
  <c r="D524" i="28"/>
  <c r="E524" i="28" l="1"/>
  <c r="F524" i="28"/>
  <c r="K524" i="28"/>
  <c r="A525" i="28"/>
  <c r="B525" i="28"/>
  <c r="C525" i="28"/>
  <c r="E525" i="28"/>
  <c r="F525" i="28"/>
  <c r="K525" i="28"/>
  <c r="A526" i="28"/>
  <c r="B526" i="28"/>
  <c r="C526" i="28"/>
  <c r="D526" i="28"/>
  <c r="D525" i="28"/>
  <c r="E526" i="28" l="1"/>
  <c r="F526" i="28"/>
  <c r="K526" i="28"/>
  <c r="A527" i="28"/>
  <c r="B527" i="28"/>
  <c r="C527" i="28"/>
  <c r="D527" i="28"/>
  <c r="E527" i="28" l="1"/>
  <c r="F527" i="28"/>
  <c r="K527" i="28"/>
  <c r="A528" i="28"/>
  <c r="B528" i="28"/>
  <c r="C528" i="28"/>
  <c r="E528" i="28"/>
  <c r="F528" i="28"/>
  <c r="K528" i="28"/>
  <c r="A529" i="28"/>
  <c r="B529" i="28"/>
  <c r="C529" i="28"/>
  <c r="D529" i="28"/>
  <c r="D528" i="28"/>
  <c r="E529" i="28" l="1"/>
  <c r="F529" i="28"/>
  <c r="K529" i="28"/>
  <c r="A530" i="28"/>
  <c r="B530" i="28"/>
  <c r="C530" i="28"/>
  <c r="D530" i="28"/>
  <c r="E530" i="28" l="1"/>
  <c r="F530" i="28"/>
  <c r="K530" i="28"/>
  <c r="A531" i="28"/>
  <c r="B531" i="28"/>
  <c r="C531" i="28"/>
  <c r="E531" i="28"/>
  <c r="F531" i="28"/>
  <c r="K531" i="28"/>
  <c r="A532" i="28"/>
  <c r="B532" i="28"/>
  <c r="C532" i="28"/>
  <c r="E532" i="28"/>
  <c r="F532" i="28"/>
  <c r="K532" i="28"/>
  <c r="A533" i="28"/>
  <c r="B533" i="28"/>
  <c r="C533" i="28"/>
  <c r="E533" i="28"/>
  <c r="F533" i="28"/>
  <c r="K533" i="28"/>
  <c r="A534" i="28"/>
  <c r="B534" i="28"/>
  <c r="C534" i="28"/>
  <c r="D534" i="28"/>
  <c r="D531" i="28"/>
  <c r="D533" i="28"/>
  <c r="D532" i="28"/>
  <c r="E534" i="28" l="1"/>
  <c r="F534" i="28"/>
  <c r="K534" i="28"/>
  <c r="A535" i="28"/>
  <c r="B535" i="28"/>
  <c r="C535" i="28"/>
  <c r="E535" i="28"/>
  <c r="F535" i="28"/>
  <c r="K535" i="28"/>
  <c r="A536" i="28"/>
  <c r="B536" i="28"/>
  <c r="C536" i="28"/>
  <c r="D536" i="28"/>
  <c r="D535" i="28"/>
  <c r="E536" i="28" l="1"/>
  <c r="F536" i="28"/>
  <c r="K536" i="28"/>
  <c r="A537" i="28"/>
  <c r="B537" i="28"/>
  <c r="C537" i="28"/>
  <c r="E537" i="28"/>
  <c r="F537" i="28"/>
  <c r="K537" i="28"/>
  <c r="A538" i="28"/>
  <c r="B538" i="28"/>
  <c r="C538" i="28"/>
  <c r="E538" i="28"/>
  <c r="F538" i="28"/>
  <c r="K538" i="28"/>
  <c r="A539" i="28"/>
  <c r="B539" i="28"/>
  <c r="C539" i="28"/>
  <c r="E539" i="28"/>
  <c r="F539" i="28"/>
  <c r="K539" i="28"/>
  <c r="A540" i="28"/>
  <c r="B540" i="28"/>
  <c r="C540" i="28"/>
  <c r="D538" i="28"/>
  <c r="D539" i="28"/>
  <c r="D540" i="28"/>
  <c r="D537" i="28"/>
  <c r="E540" i="28" l="1"/>
  <c r="F540" i="28"/>
  <c r="K540" i="28"/>
  <c r="A541" i="28"/>
  <c r="B541" i="28"/>
  <c r="C541" i="28"/>
  <c r="D541" i="28"/>
  <c r="E541" i="28" l="1"/>
  <c r="F541" i="28"/>
  <c r="K541" i="28"/>
  <c r="A542" i="28"/>
  <c r="B542" i="28"/>
  <c r="C542" i="28"/>
  <c r="D542" i="28"/>
  <c r="E542" i="28" l="1"/>
  <c r="F542" i="28"/>
  <c r="K542" i="28"/>
  <c r="A543" i="28"/>
  <c r="B543" i="28"/>
  <c r="C543" i="28"/>
  <c r="D543" i="28"/>
  <c r="E543" i="28" l="1"/>
  <c r="F543" i="28"/>
  <c r="K543" i="28"/>
  <c r="A544" i="28"/>
  <c r="B544" i="28"/>
  <c r="C544" i="28"/>
  <c r="E544" i="28"/>
  <c r="F544" i="28"/>
  <c r="K544" i="28"/>
  <c r="A545" i="28"/>
  <c r="B545" i="28"/>
  <c r="C545" i="28"/>
  <c r="E545" i="28"/>
  <c r="F545" i="28"/>
  <c r="K545" i="28"/>
  <c r="A546" i="28"/>
  <c r="B546" i="28"/>
  <c r="C546" i="28"/>
  <c r="E546" i="28"/>
  <c r="F546" i="28"/>
  <c r="K546" i="28"/>
  <c r="A547" i="28"/>
  <c r="B547" i="28"/>
  <c r="C547" i="28"/>
  <c r="D547" i="28"/>
  <c r="D546" i="28"/>
  <c r="D544" i="28"/>
  <c r="D545" i="28"/>
  <c r="E547" i="28" l="1"/>
  <c r="F547" i="28"/>
  <c r="K547" i="28"/>
  <c r="A548" i="28"/>
  <c r="B548" i="28"/>
  <c r="C548" i="28"/>
  <c r="E548" i="28"/>
  <c r="F548" i="28"/>
  <c r="K548" i="28"/>
  <c r="A549" i="28"/>
  <c r="B549" i="28"/>
  <c r="C549" i="28"/>
  <c r="D548" i="28"/>
  <c r="D549" i="28"/>
  <c r="E549" i="28" l="1"/>
  <c r="F549" i="28"/>
  <c r="K549" i="28"/>
  <c r="A550" i="28"/>
  <c r="B550" i="28"/>
  <c r="C550" i="28"/>
  <c r="D550" i="28"/>
  <c r="E550" i="28" l="1"/>
  <c r="F550" i="28"/>
  <c r="K550" i="28"/>
  <c r="A551" i="28"/>
  <c r="B551" i="28"/>
  <c r="C551" i="28"/>
  <c r="E551" i="28"/>
  <c r="F551" i="28"/>
  <c r="K551" i="28"/>
  <c r="A552" i="28"/>
  <c r="B552" i="28"/>
  <c r="C552" i="28"/>
  <c r="D551" i="28"/>
  <c r="D552" i="28"/>
  <c r="E552" i="28" l="1"/>
  <c r="F552" i="28"/>
  <c r="K552" i="28"/>
  <c r="A553" i="28"/>
  <c r="B553" i="28"/>
  <c r="C553" i="28"/>
  <c r="D553" i="28"/>
  <c r="E553" i="28" l="1"/>
  <c r="F553" i="28"/>
  <c r="K553" i="28"/>
  <c r="A554" i="28"/>
  <c r="B554" i="28"/>
  <c r="C554" i="28"/>
  <c r="D554" i="28"/>
  <c r="E554" i="28" l="1"/>
  <c r="F554" i="28"/>
  <c r="K554" i="28"/>
  <c r="A555" i="28"/>
  <c r="B555" i="28"/>
  <c r="C555" i="28"/>
  <c r="D555" i="28"/>
  <c r="E555" i="28" l="1"/>
  <c r="F555" i="28"/>
  <c r="K555" i="28"/>
  <c r="A556" i="28"/>
  <c r="B556" i="28"/>
  <c r="C556" i="28"/>
  <c r="D556" i="28"/>
  <c r="E556" i="28" l="1"/>
  <c r="F556" i="28"/>
  <c r="K556" i="28"/>
  <c r="A557" i="28"/>
  <c r="B557" i="28"/>
  <c r="C557" i="28"/>
  <c r="E557" i="28"/>
  <c r="F557" i="28"/>
  <c r="K557" i="28"/>
  <c r="A558" i="28"/>
  <c r="B558" i="28"/>
  <c r="C558" i="28"/>
  <c r="D557" i="28"/>
  <c r="D558" i="28"/>
  <c r="E558" i="28" l="1"/>
  <c r="F558" i="28"/>
  <c r="K558" i="28"/>
  <c r="A559" i="28"/>
  <c r="B559" i="28"/>
  <c r="C559" i="28"/>
  <c r="E559" i="28"/>
  <c r="F559" i="28"/>
  <c r="K559" i="28"/>
  <c r="A560" i="28"/>
  <c r="B560" i="28"/>
  <c r="C560" i="28"/>
  <c r="D559" i="28"/>
  <c r="D560" i="28"/>
  <c r="E560" i="28" l="1"/>
  <c r="F560" i="28"/>
  <c r="K560" i="28"/>
  <c r="A561" i="28"/>
  <c r="B561" i="28"/>
  <c r="C561" i="28"/>
  <c r="D561" i="28"/>
  <c r="E561" i="28" l="1"/>
  <c r="F561" i="28"/>
  <c r="K561" i="28"/>
  <c r="A562" i="28"/>
  <c r="B562" i="28"/>
  <c r="C562" i="28"/>
  <c r="E562" i="28"/>
  <c r="F562" i="28"/>
  <c r="K562" i="28"/>
  <c r="A563" i="28"/>
  <c r="B563" i="28"/>
  <c r="C563" i="28"/>
  <c r="D562" i="28"/>
  <c r="D563" i="28"/>
  <c r="E563" i="28" l="1"/>
  <c r="F563" i="28"/>
  <c r="K563" i="28"/>
  <c r="A564" i="28"/>
  <c r="B564" i="28"/>
  <c r="C564" i="28"/>
  <c r="D564" i="28"/>
  <c r="E564" i="28" l="1"/>
  <c r="F564" i="28"/>
  <c r="K564" i="28"/>
  <c r="A565" i="28"/>
  <c r="B565" i="28"/>
  <c r="C565" i="28"/>
  <c r="D565" i="28"/>
  <c r="F565" i="28" l="1"/>
  <c r="K565" i="28"/>
  <c r="A566" i="28"/>
  <c r="B566" i="28"/>
  <c r="C566" i="28"/>
  <c r="E566" i="28"/>
  <c r="F566" i="28"/>
  <c r="K566" i="28"/>
  <c r="A567" i="28"/>
  <c r="B567" i="28"/>
  <c r="C567" i="28"/>
  <c r="D567" i="28"/>
  <c r="D566" i="28"/>
  <c r="E567" i="28" l="1"/>
  <c r="F567" i="28"/>
  <c r="K567" i="28"/>
  <c r="A568" i="28"/>
  <c r="B568" i="28"/>
  <c r="C568" i="28"/>
  <c r="D568" i="28"/>
  <c r="E568" i="28" l="1"/>
  <c r="F568" i="28"/>
  <c r="K568" i="28"/>
  <c r="A569" i="28"/>
  <c r="B569" i="28"/>
  <c r="C569" i="28"/>
  <c r="D569" i="28"/>
  <c r="E569" i="28" l="1"/>
  <c r="F569" i="28"/>
  <c r="K569" i="28"/>
  <c r="A570" i="28"/>
  <c r="B570" i="28"/>
  <c r="C570" i="28"/>
  <c r="D570" i="28"/>
  <c r="E570" i="28" l="1"/>
  <c r="F570" i="28"/>
  <c r="K570" i="28"/>
  <c r="A571" i="28"/>
  <c r="B571" i="28"/>
  <c r="C571" i="28"/>
  <c r="E571" i="28"/>
  <c r="F571" i="28"/>
  <c r="K571" i="28"/>
  <c r="A572" i="28"/>
  <c r="B572" i="28"/>
  <c r="C572" i="28"/>
  <c r="D572" i="28"/>
  <c r="D571" i="28"/>
  <c r="E572" i="28" l="1"/>
  <c r="F572" i="28"/>
  <c r="K572" i="28"/>
  <c r="A573" i="28"/>
  <c r="B573" i="28"/>
  <c r="C573" i="28"/>
  <c r="D573" i="28"/>
  <c r="E573" i="28" l="1"/>
  <c r="F573" i="28"/>
  <c r="K573" i="28"/>
  <c r="A574" i="28"/>
  <c r="B574" i="28"/>
  <c r="C574" i="28"/>
  <c r="E574" i="28"/>
  <c r="F574" i="28"/>
  <c r="K574" i="28"/>
  <c r="A575" i="28"/>
  <c r="B575" i="28"/>
  <c r="C575" i="28"/>
  <c r="D574" i="28"/>
  <c r="D575" i="28"/>
  <c r="E575" i="28" l="1"/>
  <c r="F575" i="28"/>
  <c r="K575" i="28"/>
  <c r="A576" i="28"/>
  <c r="B576" i="28"/>
  <c r="C576" i="28"/>
  <c r="D576" i="28"/>
  <c r="E576" i="28" l="1"/>
  <c r="F576" i="28"/>
  <c r="K576" i="28"/>
  <c r="A577" i="28"/>
  <c r="B577" i="28"/>
  <c r="C577" i="28"/>
  <c r="D577" i="28"/>
  <c r="E577" i="28" l="1"/>
  <c r="F577" i="28"/>
  <c r="K577" i="28"/>
  <c r="A578" i="28"/>
  <c r="B578" i="28"/>
  <c r="C578" i="28"/>
  <c r="E578" i="28"/>
  <c r="F578" i="28"/>
  <c r="K578" i="28"/>
  <c r="A579" i="28"/>
  <c r="B579" i="28"/>
  <c r="C579" i="28"/>
  <c r="E579" i="28"/>
  <c r="F579" i="28"/>
  <c r="K579" i="28"/>
  <c r="A580" i="28"/>
  <c r="B580" i="28"/>
  <c r="C580" i="28"/>
  <c r="D580" i="28"/>
  <c r="D578" i="28"/>
  <c r="D579" i="28"/>
  <c r="E580" i="28" l="1"/>
  <c r="F580" i="28"/>
  <c r="K580" i="28"/>
  <c r="A581" i="28"/>
  <c r="B581" i="28"/>
  <c r="C581" i="28"/>
  <c r="E581" i="28"/>
  <c r="F581" i="28"/>
  <c r="K581" i="28"/>
  <c r="A582" i="28"/>
  <c r="B582" i="28"/>
  <c r="C582" i="28"/>
  <c r="D582" i="28"/>
  <c r="D581" i="28"/>
  <c r="E582" i="28" l="1"/>
  <c r="F582" i="28"/>
  <c r="K582" i="28"/>
  <c r="A583" i="28"/>
  <c r="B583" i="28"/>
  <c r="C583" i="28"/>
  <c r="D583" i="28"/>
  <c r="E583" i="28" l="1"/>
  <c r="F583" i="28"/>
  <c r="K583" i="28"/>
  <c r="A584" i="28"/>
  <c r="B584" i="28"/>
  <c r="C584" i="28"/>
  <c r="D584" i="28"/>
  <c r="E584" i="28" l="1"/>
  <c r="F584" i="28"/>
  <c r="K584" i="28"/>
  <c r="A585" i="28"/>
  <c r="B585" i="28"/>
  <c r="C585" i="28"/>
  <c r="D585" i="28"/>
  <c r="E585" i="28" l="1"/>
  <c r="F585" i="28"/>
  <c r="K585" i="28"/>
  <c r="A586" i="28"/>
  <c r="B586" i="28"/>
  <c r="C586" i="28"/>
  <c r="D586" i="28"/>
  <c r="E586" i="28" l="1"/>
  <c r="F586" i="28"/>
  <c r="K586" i="28"/>
  <c r="A587" i="28"/>
  <c r="B587" i="28"/>
  <c r="C587" i="28"/>
  <c r="D587" i="28"/>
  <c r="E587" i="28" l="1"/>
  <c r="F587" i="28"/>
  <c r="K587" i="28"/>
  <c r="A588" i="28"/>
  <c r="B588" i="28"/>
  <c r="C588" i="28"/>
  <c r="D588" i="28"/>
  <c r="E588" i="28" l="1"/>
  <c r="F588" i="28"/>
  <c r="K588" i="28"/>
  <c r="A589" i="28"/>
  <c r="B589" i="28"/>
  <c r="C589" i="28"/>
  <c r="D589" i="28"/>
  <c r="E589" i="28" l="1"/>
  <c r="F589" i="28"/>
  <c r="K589" i="28"/>
  <c r="A590" i="28"/>
  <c r="B590" i="28"/>
  <c r="C590" i="28"/>
  <c r="D590" i="28"/>
  <c r="E590" i="28" l="1"/>
  <c r="F590" i="28"/>
  <c r="K590" i="28"/>
  <c r="A591" i="28"/>
  <c r="B591" i="28"/>
  <c r="C591" i="28"/>
  <c r="E591" i="28"/>
  <c r="F591" i="28"/>
  <c r="K591" i="28"/>
  <c r="A592" i="28"/>
  <c r="B592" i="28"/>
  <c r="C592" i="28"/>
  <c r="D592" i="28"/>
  <c r="D591" i="28"/>
  <c r="E592" i="28" l="1"/>
  <c r="F592" i="28"/>
  <c r="K592" i="28"/>
  <c r="A593" i="28"/>
  <c r="B593" i="28"/>
  <c r="C593" i="28"/>
  <c r="E593" i="28"/>
  <c r="F593" i="28"/>
  <c r="K593" i="28"/>
  <c r="A594" i="28"/>
  <c r="B594" i="28"/>
  <c r="C594" i="28"/>
  <c r="E594" i="28"/>
  <c r="F594" i="28"/>
  <c r="K594" i="28"/>
  <c r="A595" i="28"/>
  <c r="B595" i="28"/>
  <c r="C595" i="28"/>
  <c r="E595" i="28"/>
  <c r="F595" i="28"/>
  <c r="K595" i="28"/>
  <c r="A596" i="28"/>
  <c r="B596" i="28"/>
  <c r="C596" i="28"/>
  <c r="E596" i="28"/>
  <c r="F596" i="28"/>
  <c r="K596" i="28"/>
  <c r="A597" i="28"/>
  <c r="B597" i="28"/>
  <c r="C597" i="28"/>
  <c r="D597" i="28"/>
  <c r="D595" i="28"/>
  <c r="D596" i="28"/>
  <c r="D594" i="28"/>
  <c r="D593" i="28"/>
  <c r="E597" i="28" l="1"/>
  <c r="F597" i="28"/>
  <c r="K597" i="28"/>
  <c r="A598" i="28"/>
  <c r="B598" i="28"/>
  <c r="C598" i="28"/>
  <c r="D598" i="28"/>
  <c r="E598" i="28" l="1"/>
  <c r="F598" i="28"/>
  <c r="K598" i="28"/>
  <c r="A599" i="28"/>
  <c r="B599" i="28"/>
  <c r="C599" i="28"/>
  <c r="D599" i="28"/>
  <c r="E599" i="28" l="1"/>
  <c r="F599" i="28"/>
  <c r="K599" i="28"/>
  <c r="A600" i="28"/>
  <c r="B600" i="28"/>
  <c r="C600" i="28"/>
  <c r="E600" i="28"/>
  <c r="F600" i="28"/>
  <c r="K600" i="28"/>
  <c r="A601" i="28"/>
  <c r="B601" i="28"/>
  <c r="C601" i="28"/>
  <c r="D601" i="28"/>
  <c r="D600" i="28"/>
  <c r="E601" i="28" l="1"/>
  <c r="F601" i="28"/>
  <c r="K601" i="28"/>
  <c r="A602" i="28"/>
  <c r="B602" i="28"/>
  <c r="C602" i="28"/>
  <c r="D602" i="28"/>
  <c r="E602" i="28" l="1"/>
  <c r="F602" i="28"/>
  <c r="K602" i="28"/>
  <c r="A603" i="28"/>
  <c r="B603" i="28"/>
  <c r="C603" i="28"/>
  <c r="D603" i="28"/>
  <c r="E603" i="28" l="1"/>
  <c r="F603" i="28"/>
  <c r="K603" i="28"/>
  <c r="A604" i="28"/>
  <c r="B604" i="28"/>
  <c r="C604" i="28"/>
  <c r="D604" i="28"/>
  <c r="E604" i="28" l="1"/>
  <c r="F604" i="28"/>
  <c r="K604" i="28"/>
  <c r="A605" i="28"/>
  <c r="B605" i="28"/>
  <c r="C605" i="28"/>
  <c r="D605" i="28"/>
  <c r="E605" i="28" l="1"/>
  <c r="F605" i="28"/>
  <c r="K605" i="28"/>
  <c r="A606" i="28"/>
  <c r="B606" i="28"/>
  <c r="C606" i="28"/>
  <c r="D606" i="28"/>
  <c r="E606" i="28" l="1"/>
  <c r="F606" i="28"/>
  <c r="K606" i="28"/>
  <c r="A607" i="28"/>
  <c r="B607" i="28"/>
  <c r="C607" i="28"/>
  <c r="D607" i="28"/>
  <c r="E607" i="28" l="1"/>
  <c r="F607" i="28"/>
  <c r="K607" i="28"/>
  <c r="A608" i="28"/>
  <c r="B608" i="28"/>
  <c r="C608" i="28"/>
  <c r="D608" i="28"/>
  <c r="E608" i="28" l="1"/>
  <c r="F608" i="28"/>
  <c r="K608" i="28"/>
  <c r="A609" i="28"/>
  <c r="B609" i="28"/>
  <c r="C609" i="28"/>
  <c r="D609" i="28"/>
  <c r="E609" i="28" l="1"/>
  <c r="F609" i="28"/>
  <c r="K609" i="28"/>
  <c r="A610" i="28"/>
  <c r="B610" i="28"/>
  <c r="C610" i="28"/>
  <c r="E610" i="28"/>
  <c r="F610" i="28"/>
  <c r="K610" i="28"/>
  <c r="A611" i="28"/>
  <c r="B611" i="28"/>
  <c r="C611" i="28"/>
  <c r="D610" i="28"/>
  <c r="D611" i="28"/>
  <c r="E611" i="28" l="1"/>
  <c r="F611" i="28"/>
  <c r="K611" i="28"/>
  <c r="A612" i="28"/>
  <c r="B612" i="28"/>
  <c r="C612" i="28"/>
  <c r="D612" i="28"/>
  <c r="E612" i="28" l="1"/>
  <c r="F612" i="28"/>
  <c r="K612" i="28"/>
  <c r="A613" i="28"/>
  <c r="B613" i="28"/>
  <c r="C613" i="28"/>
  <c r="D613" i="28"/>
  <c r="E613" i="28" l="1"/>
  <c r="F613" i="28"/>
  <c r="K613" i="28"/>
  <c r="A614" i="28"/>
  <c r="B614" i="28"/>
  <c r="C614" i="28"/>
  <c r="D614" i="28"/>
  <c r="E614" i="28" l="1"/>
  <c r="F614" i="28"/>
  <c r="K614" i="28"/>
  <c r="A615" i="28"/>
  <c r="B615" i="28"/>
  <c r="C615" i="28"/>
  <c r="D615" i="28"/>
  <c r="E615" i="28" l="1"/>
  <c r="F615" i="28"/>
  <c r="K615" i="28"/>
  <c r="A616" i="28"/>
  <c r="B616" i="28"/>
  <c r="C616" i="28"/>
  <c r="D616" i="28"/>
  <c r="E616" i="28" l="1"/>
  <c r="F616" i="28"/>
  <c r="K616" i="28"/>
  <c r="A617" i="28"/>
  <c r="B617" i="28"/>
  <c r="C617" i="28"/>
  <c r="E617" i="28"/>
  <c r="F617" i="28"/>
  <c r="K617" i="28"/>
  <c r="D617" i="28"/>
  <c r="L2" i="28" l="1"/>
  <c r="L3" i="28"/>
  <c r="L4" i="28"/>
  <c r="L5"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152" i="28"/>
  <c r="L153" i="28"/>
  <c r="L154" i="28"/>
  <c r="L155" i="28"/>
  <c r="L156" i="28"/>
  <c r="L157" i="28"/>
  <c r="L158" i="28"/>
  <c r="L159" i="28"/>
  <c r="L160" i="28"/>
  <c r="L161" i="28"/>
  <c r="L162" i="28"/>
  <c r="L163" i="28"/>
  <c r="L164" i="28"/>
  <c r="L165" i="28"/>
  <c r="L166" i="28"/>
  <c r="L167" i="28"/>
  <c r="L168" i="28"/>
  <c r="L169" i="28"/>
  <c r="L170" i="28"/>
  <c r="L171" i="28"/>
  <c r="L172" i="28"/>
  <c r="L173" i="28"/>
  <c r="L174" i="28"/>
  <c r="L175" i="28"/>
  <c r="L176" i="28"/>
  <c r="L177" i="28"/>
  <c r="L178" i="28"/>
  <c r="L179" i="28"/>
  <c r="L180" i="28"/>
  <c r="L181" i="28"/>
  <c r="L182" i="28"/>
  <c r="L183" i="28"/>
  <c r="L184" i="28"/>
  <c r="L185" i="28"/>
  <c r="L186" i="28"/>
  <c r="L187" i="28"/>
  <c r="L188" i="28"/>
  <c r="L189" i="28"/>
  <c r="L190" i="28"/>
  <c r="L191" i="28"/>
  <c r="L192" i="28"/>
  <c r="L193" i="28"/>
  <c r="L194" i="28"/>
  <c r="L195" i="28"/>
  <c r="L196" i="28"/>
  <c r="L197" i="28"/>
  <c r="L198" i="28"/>
  <c r="L199" i="28"/>
  <c r="L200" i="28"/>
  <c r="L201" i="28"/>
  <c r="L202" i="28"/>
  <c r="L203" i="28"/>
  <c r="L204" i="28"/>
  <c r="L205" i="28"/>
  <c r="L206" i="28"/>
  <c r="L207" i="28"/>
  <c r="L208" i="28"/>
  <c r="L209" i="28"/>
  <c r="L210" i="28"/>
  <c r="L211" i="28"/>
  <c r="L212" i="28"/>
  <c r="L213" i="28"/>
  <c r="L214" i="28"/>
  <c r="L215" i="28"/>
  <c r="L216" i="28"/>
  <c r="L217" i="28"/>
  <c r="L218" i="28"/>
  <c r="L219" i="28"/>
  <c r="L220" i="28"/>
  <c r="L221" i="28"/>
  <c r="L222" i="28"/>
  <c r="L223" i="28"/>
  <c r="L224" i="28"/>
  <c r="L225" i="28"/>
  <c r="L226" i="28"/>
  <c r="L227" i="28"/>
  <c r="L228" i="28"/>
  <c r="L229" i="28"/>
  <c r="L230" i="28"/>
  <c r="L231" i="28"/>
  <c r="L232" i="28"/>
  <c r="L233" i="28"/>
  <c r="L234" i="28"/>
  <c r="L235" i="28"/>
  <c r="L236" i="28"/>
  <c r="L237" i="28"/>
  <c r="L238" i="28"/>
  <c r="L239" i="28"/>
  <c r="L240" i="28"/>
  <c r="L241" i="28"/>
  <c r="L242" i="28"/>
  <c r="L243" i="28"/>
  <c r="L244" i="28"/>
  <c r="L245" i="28"/>
  <c r="L246" i="28"/>
  <c r="L247" i="28"/>
  <c r="L248" i="28"/>
  <c r="L249" i="28"/>
  <c r="L250" i="28"/>
  <c r="L251" i="28"/>
  <c r="L252" i="28"/>
  <c r="L253" i="28"/>
  <c r="L254" i="28"/>
  <c r="L255" i="28"/>
  <c r="L256" i="28"/>
  <c r="L257" i="28"/>
  <c r="L258" i="28"/>
  <c r="L259" i="28"/>
  <c r="L260" i="28"/>
  <c r="L261" i="28"/>
  <c r="L262" i="28"/>
  <c r="L263" i="28"/>
  <c r="L264" i="28"/>
  <c r="L265" i="28"/>
  <c r="L266" i="28"/>
  <c r="L267" i="28"/>
  <c r="L268" i="28"/>
  <c r="L269" i="28"/>
  <c r="L270" i="28"/>
  <c r="L271" i="28"/>
  <c r="L272" i="28"/>
  <c r="L273" i="28"/>
  <c r="L274" i="28"/>
  <c r="L275" i="28"/>
  <c r="L276" i="28"/>
  <c r="L277" i="28"/>
  <c r="L278" i="28"/>
  <c r="L279" i="28"/>
  <c r="L280" i="28"/>
  <c r="L281" i="28"/>
  <c r="L282" i="28"/>
  <c r="L283" i="28"/>
  <c r="L284" i="28"/>
  <c r="L285" i="28"/>
  <c r="L286" i="28"/>
  <c r="L287" i="28"/>
  <c r="L288" i="28"/>
  <c r="L289" i="28"/>
  <c r="L290" i="28"/>
  <c r="L291" i="28"/>
  <c r="L292" i="28"/>
  <c r="L293" i="28"/>
  <c r="L294" i="28"/>
  <c r="L295" i="28"/>
  <c r="L296" i="28"/>
  <c r="L297" i="28"/>
  <c r="L298" i="28"/>
  <c r="L299" i="28"/>
  <c r="L300" i="28"/>
  <c r="L301" i="28"/>
  <c r="L302" i="28"/>
  <c r="L303" i="28"/>
  <c r="L304" i="28"/>
  <c r="L305" i="28"/>
  <c r="L306" i="28"/>
  <c r="L307" i="28"/>
  <c r="L308" i="28"/>
  <c r="L309" i="28"/>
  <c r="L310" i="28"/>
  <c r="L311" i="28"/>
  <c r="L312" i="28"/>
  <c r="L313" i="28"/>
  <c r="L314" i="28"/>
  <c r="L315" i="28"/>
  <c r="L316" i="28"/>
  <c r="L317" i="28"/>
  <c r="L318" i="28"/>
  <c r="L319" i="28"/>
  <c r="L320" i="28"/>
  <c r="L321" i="28"/>
  <c r="L322" i="28"/>
  <c r="L323" i="28"/>
  <c r="L324" i="28"/>
  <c r="L325" i="28"/>
  <c r="L326" i="28"/>
  <c r="L327" i="28"/>
  <c r="L328" i="28"/>
  <c r="L329" i="28"/>
  <c r="L330" i="28"/>
  <c r="L331" i="28"/>
  <c r="L332" i="28"/>
  <c r="L333" i="28"/>
  <c r="L334" i="28"/>
  <c r="L335" i="28"/>
  <c r="L336" i="28"/>
  <c r="L337" i="28"/>
  <c r="L338" i="28"/>
  <c r="L339" i="28"/>
  <c r="L340" i="28"/>
  <c r="L341" i="28"/>
  <c r="L342" i="28"/>
  <c r="L343" i="28"/>
  <c r="L344" i="28"/>
  <c r="L345" i="28"/>
  <c r="L346" i="28"/>
  <c r="L347" i="28"/>
  <c r="L348" i="28"/>
  <c r="L349" i="28"/>
  <c r="L350" i="28"/>
  <c r="L351" i="28"/>
  <c r="L352" i="28"/>
  <c r="L353" i="28"/>
  <c r="L354" i="28"/>
  <c r="L355" i="28"/>
  <c r="L356" i="28"/>
  <c r="L357" i="28"/>
  <c r="L358" i="28"/>
  <c r="L359" i="28"/>
  <c r="L360" i="28"/>
  <c r="L361" i="28"/>
  <c r="L362" i="28"/>
  <c r="L363" i="28"/>
  <c r="L364" i="28"/>
  <c r="L365" i="28"/>
  <c r="L366" i="28"/>
  <c r="L367" i="28"/>
  <c r="L368" i="28"/>
  <c r="L369" i="28"/>
  <c r="L370" i="28"/>
  <c r="L371" i="28"/>
  <c r="L372" i="28"/>
  <c r="L373" i="28"/>
  <c r="L374" i="28"/>
  <c r="L375" i="28"/>
  <c r="L376" i="28"/>
  <c r="L377" i="28"/>
  <c r="L378" i="28"/>
  <c r="L379" i="28"/>
  <c r="L380" i="28"/>
  <c r="L381" i="28"/>
  <c r="L382" i="28"/>
  <c r="L383" i="28"/>
  <c r="L384" i="28"/>
  <c r="L385" i="28"/>
  <c r="L386" i="28"/>
  <c r="L387" i="28"/>
  <c r="L388" i="28"/>
  <c r="L389" i="28"/>
  <c r="L390" i="28"/>
  <c r="L391" i="28"/>
  <c r="L392" i="28"/>
  <c r="L393" i="28"/>
  <c r="L394" i="28"/>
  <c r="L395" i="28"/>
  <c r="L396" i="28"/>
  <c r="L397" i="28"/>
  <c r="L398" i="28"/>
  <c r="L399" i="28"/>
  <c r="L400" i="28"/>
  <c r="L401" i="28"/>
  <c r="L402" i="28"/>
  <c r="L403" i="28"/>
  <c r="L404" i="28"/>
  <c r="L405" i="28"/>
  <c r="L406" i="28"/>
  <c r="L407" i="28"/>
  <c r="L408" i="28"/>
  <c r="L409" i="28"/>
  <c r="L410" i="28"/>
  <c r="L411" i="28"/>
  <c r="L412" i="28"/>
  <c r="L413" i="28"/>
  <c r="L414" i="28"/>
  <c r="L415" i="28"/>
  <c r="L416" i="28"/>
  <c r="L417" i="28"/>
  <c r="L418" i="28"/>
  <c r="L419" i="28"/>
  <c r="L420" i="28"/>
  <c r="L421" i="28"/>
  <c r="L422" i="28"/>
  <c r="L423" i="28"/>
  <c r="L424" i="28"/>
  <c r="L425" i="28"/>
  <c r="L426" i="28"/>
  <c r="L427" i="28"/>
  <c r="L428" i="28"/>
  <c r="L429" i="28"/>
  <c r="L430" i="28"/>
  <c r="L431" i="28"/>
  <c r="L432" i="28"/>
  <c r="L433" i="28"/>
  <c r="L434" i="28"/>
  <c r="L435" i="28"/>
  <c r="L436" i="28"/>
  <c r="L437" i="28"/>
  <c r="L438" i="28"/>
  <c r="L439" i="28"/>
  <c r="L440" i="28"/>
  <c r="L441" i="28"/>
  <c r="L442" i="28"/>
  <c r="L443" i="28"/>
  <c r="L444" i="28"/>
  <c r="L445" i="28"/>
  <c r="L446" i="28"/>
  <c r="L447" i="28"/>
  <c r="L448" i="28"/>
  <c r="L449" i="28"/>
  <c r="L450" i="28"/>
  <c r="L451" i="28"/>
  <c r="L452" i="28"/>
  <c r="L453" i="28"/>
  <c r="L454" i="28"/>
  <c r="L455" i="28"/>
  <c r="L456" i="28"/>
  <c r="L457" i="28"/>
  <c r="L458" i="28"/>
  <c r="L459" i="28"/>
  <c r="L460" i="28"/>
  <c r="L461" i="28"/>
  <c r="L462" i="28"/>
  <c r="L463" i="28"/>
  <c r="L464" i="28"/>
  <c r="L465" i="28"/>
  <c r="L466" i="28"/>
  <c r="L467" i="28"/>
  <c r="L468" i="28"/>
  <c r="L469" i="28"/>
  <c r="L470" i="28"/>
  <c r="L471" i="28"/>
  <c r="L472" i="28"/>
  <c r="L473" i="28"/>
  <c r="L474" i="28"/>
  <c r="L475" i="28"/>
  <c r="L476" i="28"/>
  <c r="L477" i="28"/>
  <c r="L478" i="28"/>
  <c r="L479" i="28"/>
  <c r="L480" i="28"/>
  <c r="L481" i="28"/>
  <c r="L482" i="28"/>
  <c r="L483" i="28"/>
  <c r="L484" i="28"/>
  <c r="L485" i="28"/>
  <c r="L486" i="28"/>
  <c r="L487" i="28"/>
  <c r="L488" i="28"/>
  <c r="L489" i="28"/>
  <c r="L490" i="28"/>
  <c r="L491" i="28"/>
  <c r="L492" i="28"/>
  <c r="L493" i="28"/>
  <c r="L494" i="28"/>
  <c r="L495" i="28"/>
  <c r="L496" i="28"/>
  <c r="L497" i="28"/>
  <c r="L498" i="28"/>
  <c r="L499" i="28"/>
  <c r="L500" i="28"/>
  <c r="L501" i="28"/>
  <c r="L502" i="28"/>
  <c r="L503" i="28"/>
  <c r="L504" i="28"/>
  <c r="L505" i="28"/>
  <c r="L506" i="28"/>
  <c r="L507" i="28"/>
  <c r="L508" i="28"/>
  <c r="L509" i="28"/>
  <c r="L510" i="28"/>
  <c r="L511" i="28"/>
  <c r="L512" i="28"/>
  <c r="L513" i="28"/>
  <c r="L514" i="28"/>
  <c r="L515" i="28"/>
  <c r="L516" i="28"/>
  <c r="L517" i="28"/>
  <c r="L518" i="28"/>
  <c r="L519" i="28"/>
  <c r="L520" i="28"/>
  <c r="L521" i="28"/>
  <c r="L522" i="28"/>
  <c r="L523" i="28"/>
  <c r="L524" i="28"/>
  <c r="L525" i="28"/>
  <c r="L526" i="28"/>
  <c r="L527" i="28"/>
  <c r="L528" i="28"/>
  <c r="L529" i="28"/>
  <c r="L530" i="28"/>
  <c r="L531" i="28"/>
  <c r="L532" i="28"/>
  <c r="L533" i="28"/>
  <c r="L534" i="28"/>
  <c r="L535" i="28"/>
  <c r="L536" i="28"/>
  <c r="L537" i="28"/>
  <c r="L538" i="28"/>
  <c r="L539" i="28"/>
  <c r="L540" i="28"/>
  <c r="L541" i="28"/>
  <c r="L542" i="28"/>
  <c r="L543" i="28"/>
  <c r="L544" i="28"/>
  <c r="L545" i="28"/>
  <c r="L546" i="28"/>
  <c r="L547" i="28"/>
  <c r="L548" i="28"/>
  <c r="L549" i="28"/>
  <c r="L550" i="28"/>
  <c r="L551" i="28"/>
  <c r="L552" i="28"/>
  <c r="L553" i="28"/>
  <c r="L554" i="28"/>
  <c r="L555" i="28"/>
  <c r="L556" i="28"/>
  <c r="L557" i="28"/>
  <c r="L558" i="28"/>
  <c r="L559" i="28"/>
  <c r="L560" i="28"/>
  <c r="L561" i="28"/>
  <c r="L562" i="28"/>
  <c r="L563" i="28"/>
  <c r="L564" i="28"/>
  <c r="L565" i="28"/>
  <c r="L566" i="28"/>
  <c r="L567" i="28"/>
  <c r="L568" i="28"/>
  <c r="L569" i="28"/>
  <c r="L570" i="28"/>
  <c r="L571" i="28"/>
  <c r="L572" i="28"/>
  <c r="L573" i="28"/>
  <c r="L574" i="28"/>
  <c r="L575" i="28"/>
  <c r="L576" i="28"/>
  <c r="L577" i="28"/>
  <c r="L578" i="28"/>
  <c r="L579" i="28"/>
  <c r="L580" i="28"/>
  <c r="L581" i="28"/>
  <c r="L582" i="28"/>
  <c r="L583" i="28"/>
  <c r="L584" i="28"/>
  <c r="L585" i="28"/>
  <c r="L586" i="28"/>
  <c r="L587" i="28"/>
  <c r="L588" i="28"/>
  <c r="L589" i="28"/>
  <c r="L590" i="28"/>
  <c r="L591" i="28"/>
  <c r="L592" i="28"/>
  <c r="L593" i="28"/>
  <c r="L594" i="28"/>
  <c r="L595" i="28"/>
  <c r="L596" i="28"/>
  <c r="L597" i="28"/>
  <c r="L598" i="28"/>
  <c r="L599" i="28"/>
  <c r="L600" i="28"/>
  <c r="L601" i="28"/>
  <c r="L602" i="28"/>
  <c r="L603" i="28"/>
  <c r="L604" i="28"/>
  <c r="L605" i="28"/>
  <c r="L606" i="28"/>
  <c r="L607" i="28"/>
  <c r="L608" i="28"/>
  <c r="L609" i="28"/>
  <c r="L610" i="28"/>
  <c r="L611" i="28"/>
  <c r="L612" i="28"/>
  <c r="L613" i="28"/>
  <c r="L614" i="28"/>
  <c r="L615" i="28"/>
  <c r="L616" i="28"/>
  <c r="L617" i="28"/>
  <c r="M3" i="28"/>
  <c r="N3" i="28" s="1"/>
  <c r="M4" i="28"/>
  <c r="N4" i="28" s="1"/>
  <c r="M5" i="28"/>
  <c r="N5" i="28" s="1"/>
  <c r="M6" i="28"/>
  <c r="N6" i="28" s="1"/>
  <c r="M7" i="28"/>
  <c r="N7" i="28" s="1"/>
  <c r="M8" i="28"/>
  <c r="N8" i="28" s="1"/>
  <c r="M9" i="28"/>
  <c r="N9" i="28" s="1"/>
  <c r="M10" i="28"/>
  <c r="N10" i="28" s="1"/>
  <c r="M12" i="28"/>
  <c r="N12" i="28" s="1"/>
  <c r="M13" i="28"/>
  <c r="N13" i="28" s="1"/>
  <c r="M14" i="28"/>
  <c r="N14" i="28" s="1"/>
  <c r="M15" i="28"/>
  <c r="N15" i="28" s="1"/>
  <c r="M16" i="28"/>
  <c r="N16" i="28" s="1"/>
  <c r="M17" i="28"/>
  <c r="N17" i="28" s="1"/>
  <c r="M18" i="28"/>
  <c r="N18" i="28" s="1"/>
  <c r="M19" i="28"/>
  <c r="N19" i="28" s="1"/>
  <c r="M20" i="28"/>
  <c r="N20" i="28" s="1"/>
  <c r="M21" i="28"/>
  <c r="N21" i="28" s="1"/>
  <c r="M22" i="28"/>
  <c r="N22" i="28" s="1"/>
  <c r="M23" i="28"/>
  <c r="N23" i="28" s="1"/>
  <c r="M24" i="28"/>
  <c r="N24" i="28" s="1"/>
  <c r="M25" i="28"/>
  <c r="N25" i="28" s="1"/>
  <c r="M26" i="28"/>
  <c r="N26" i="28" s="1"/>
  <c r="M27" i="28"/>
  <c r="N27" i="28" s="1"/>
  <c r="M28" i="28"/>
  <c r="N28" i="28" s="1"/>
  <c r="M29" i="28"/>
  <c r="N29" i="28" s="1"/>
  <c r="M30" i="28"/>
  <c r="N30" i="28" s="1"/>
  <c r="M31" i="28"/>
  <c r="N31" i="28" s="1"/>
  <c r="M32" i="28"/>
  <c r="N32" i="28" s="1"/>
  <c r="M33" i="28"/>
  <c r="N33" i="28" s="1"/>
  <c r="M34" i="28"/>
  <c r="N34" i="28" s="1"/>
  <c r="M35" i="28"/>
  <c r="N35" i="28" s="1"/>
  <c r="M36" i="28"/>
  <c r="N36" i="28" s="1"/>
  <c r="M37" i="28"/>
  <c r="N37" i="28" s="1"/>
  <c r="M38" i="28"/>
  <c r="N38" i="28" s="1"/>
  <c r="M39" i="28"/>
  <c r="N39" i="28" s="1"/>
  <c r="M40" i="28"/>
  <c r="N40" i="28" s="1"/>
  <c r="M41" i="28"/>
  <c r="N41" i="28" s="1"/>
  <c r="M42" i="28"/>
  <c r="N42" i="28" s="1"/>
  <c r="M43" i="28"/>
  <c r="N43" i="28" s="1"/>
  <c r="M44" i="28"/>
  <c r="N44" i="28" s="1"/>
  <c r="M45" i="28"/>
  <c r="N45" i="28" s="1"/>
  <c r="M46" i="28"/>
  <c r="N46" i="28" s="1"/>
  <c r="M47" i="28"/>
  <c r="N47" i="28" s="1"/>
  <c r="M48" i="28"/>
  <c r="N48" i="28" s="1"/>
  <c r="M49" i="28"/>
  <c r="N49" i="28" s="1"/>
  <c r="M50" i="28"/>
  <c r="N50" i="28" s="1"/>
  <c r="M51" i="28"/>
  <c r="N51" i="28" s="1"/>
  <c r="M52" i="28"/>
  <c r="N52" i="28" s="1"/>
  <c r="M53" i="28"/>
  <c r="N53" i="28" s="1"/>
  <c r="M54" i="28"/>
  <c r="N54" i="28" s="1"/>
  <c r="M55" i="28"/>
  <c r="N55" i="28" s="1"/>
  <c r="M56" i="28"/>
  <c r="N56" i="28" s="1"/>
  <c r="M57" i="28"/>
  <c r="N57" i="28" s="1"/>
  <c r="M58" i="28"/>
  <c r="N58" i="28" s="1"/>
  <c r="M59" i="28"/>
  <c r="N59" i="28" s="1"/>
  <c r="M60" i="28"/>
  <c r="N60" i="28" s="1"/>
  <c r="M61" i="28"/>
  <c r="N61" i="28" s="1"/>
  <c r="M62" i="28"/>
  <c r="N62" i="28" s="1"/>
  <c r="M63" i="28"/>
  <c r="N63" i="28" s="1"/>
  <c r="M64" i="28"/>
  <c r="N64" i="28" s="1"/>
  <c r="M65" i="28"/>
  <c r="N65" i="28" s="1"/>
  <c r="M66" i="28"/>
  <c r="N66" i="28" s="1"/>
  <c r="M67" i="28"/>
  <c r="N67" i="28" s="1"/>
  <c r="M68" i="28"/>
  <c r="N68" i="28" s="1"/>
  <c r="M69" i="28"/>
  <c r="N69" i="28" s="1"/>
  <c r="M70" i="28"/>
  <c r="N70" i="28" s="1"/>
  <c r="M71" i="28"/>
  <c r="N71" i="28" s="1"/>
  <c r="M72" i="28"/>
  <c r="N72" i="28" s="1"/>
  <c r="M73" i="28"/>
  <c r="N73" i="28" s="1"/>
  <c r="M74" i="28"/>
  <c r="N74" i="28" s="1"/>
  <c r="M75" i="28"/>
  <c r="N75" i="28" s="1"/>
  <c r="M76" i="28"/>
  <c r="N76" i="28" s="1"/>
  <c r="M77" i="28"/>
  <c r="N77" i="28" s="1"/>
  <c r="M78" i="28"/>
  <c r="N78" i="28" s="1"/>
  <c r="M79" i="28"/>
  <c r="N79" i="28" s="1"/>
  <c r="M80" i="28"/>
  <c r="N80" i="28" s="1"/>
  <c r="M81" i="28"/>
  <c r="N81" i="28" s="1"/>
  <c r="M82" i="28"/>
  <c r="N82" i="28" s="1"/>
  <c r="M83" i="28"/>
  <c r="N83" i="28" s="1"/>
  <c r="M84" i="28"/>
  <c r="N84" i="28" s="1"/>
  <c r="M85" i="28"/>
  <c r="N85" i="28" s="1"/>
  <c r="M86" i="28"/>
  <c r="N86" i="28" s="1"/>
  <c r="M87" i="28"/>
  <c r="N87" i="28" s="1"/>
  <c r="M88" i="28"/>
  <c r="N88" i="28" s="1"/>
  <c r="M89" i="28"/>
  <c r="N89" i="28" s="1"/>
  <c r="M90" i="28"/>
  <c r="N90" i="28" s="1"/>
  <c r="M91" i="28"/>
  <c r="N91" i="28" s="1"/>
  <c r="M92" i="28"/>
  <c r="N92" i="28" s="1"/>
  <c r="M93" i="28"/>
  <c r="N93" i="28" s="1"/>
  <c r="M94" i="28"/>
  <c r="N94" i="28" s="1"/>
  <c r="M95" i="28"/>
  <c r="N95" i="28" s="1"/>
  <c r="M96" i="28"/>
  <c r="N96" i="28" s="1"/>
  <c r="M97" i="28"/>
  <c r="N97" i="28" s="1"/>
  <c r="M98" i="28"/>
  <c r="N98" i="28" s="1"/>
  <c r="M99" i="28"/>
  <c r="N99" i="28" s="1"/>
  <c r="M100" i="28"/>
  <c r="N100" i="28" s="1"/>
  <c r="M101" i="28"/>
  <c r="N101" i="28" s="1"/>
  <c r="M102" i="28"/>
  <c r="N102" i="28" s="1"/>
  <c r="M103" i="28"/>
  <c r="N103" i="28" s="1"/>
  <c r="M104" i="28"/>
  <c r="N104" i="28" s="1"/>
  <c r="M105" i="28"/>
  <c r="N105" i="28" s="1"/>
  <c r="M106" i="28"/>
  <c r="N106" i="28" s="1"/>
  <c r="M107" i="28"/>
  <c r="N107" i="28" s="1"/>
  <c r="M108" i="28"/>
  <c r="N108" i="28" s="1"/>
  <c r="M109" i="28"/>
  <c r="N109" i="28" s="1"/>
  <c r="M110" i="28"/>
  <c r="N110" i="28" s="1"/>
  <c r="M111" i="28"/>
  <c r="N111" i="28" s="1"/>
  <c r="M112" i="28"/>
  <c r="N112" i="28" s="1"/>
  <c r="M113" i="28"/>
  <c r="N113" i="28" s="1"/>
  <c r="M114" i="28"/>
  <c r="N114" i="28" s="1"/>
  <c r="M115" i="28"/>
  <c r="N115" i="28" s="1"/>
  <c r="M116" i="28"/>
  <c r="N116" i="28" s="1"/>
  <c r="M117" i="28"/>
  <c r="N117" i="28" s="1"/>
  <c r="M118" i="28"/>
  <c r="N118" i="28" s="1"/>
  <c r="M119" i="28"/>
  <c r="N119" i="28" s="1"/>
  <c r="M120" i="28"/>
  <c r="N120" i="28" s="1"/>
  <c r="M121" i="28"/>
  <c r="N121" i="28" s="1"/>
  <c r="M122" i="28"/>
  <c r="N122" i="28" s="1"/>
  <c r="M123" i="28"/>
  <c r="N123" i="28" s="1"/>
  <c r="M124" i="28"/>
  <c r="N124" i="28" s="1"/>
  <c r="M125" i="28"/>
  <c r="N125" i="28" s="1"/>
  <c r="M126" i="28"/>
  <c r="N126" i="28" s="1"/>
  <c r="M127" i="28"/>
  <c r="N127" i="28" s="1"/>
  <c r="M128" i="28"/>
  <c r="N128" i="28" s="1"/>
  <c r="M129" i="28"/>
  <c r="N129" i="28" s="1"/>
  <c r="M130" i="28"/>
  <c r="N130" i="28" s="1"/>
  <c r="M131" i="28"/>
  <c r="N131" i="28" s="1"/>
  <c r="M132" i="28"/>
  <c r="N132" i="28" s="1"/>
  <c r="M133" i="28"/>
  <c r="N133" i="28" s="1"/>
  <c r="M134" i="28"/>
  <c r="N134" i="28" s="1"/>
  <c r="M135" i="28"/>
  <c r="N135" i="28" s="1"/>
  <c r="M136" i="28"/>
  <c r="N136" i="28" s="1"/>
  <c r="M137" i="28"/>
  <c r="N137" i="28" s="1"/>
  <c r="M138" i="28"/>
  <c r="N138" i="28" s="1"/>
  <c r="M139" i="28"/>
  <c r="N139" i="28" s="1"/>
  <c r="M140" i="28"/>
  <c r="N140" i="28" s="1"/>
  <c r="M141" i="28"/>
  <c r="N141" i="28" s="1"/>
  <c r="M142" i="28"/>
  <c r="N142" i="28" s="1"/>
  <c r="M143" i="28"/>
  <c r="N143" i="28" s="1"/>
  <c r="M144" i="28"/>
  <c r="N144" i="28" s="1"/>
  <c r="M145" i="28"/>
  <c r="N145" i="28" s="1"/>
  <c r="M146" i="28"/>
  <c r="N146" i="28" s="1"/>
  <c r="M147" i="28"/>
  <c r="N147" i="28" s="1"/>
  <c r="M148" i="28"/>
  <c r="N148" i="28" s="1"/>
  <c r="M149" i="28"/>
  <c r="N149" i="28" s="1"/>
  <c r="M150" i="28"/>
  <c r="N150" i="28" s="1"/>
  <c r="M151" i="28"/>
  <c r="N151" i="28" s="1"/>
  <c r="M152" i="28"/>
  <c r="N152" i="28" s="1"/>
  <c r="M153" i="28"/>
  <c r="N153" i="28" s="1"/>
  <c r="M154" i="28"/>
  <c r="N154" i="28" s="1"/>
  <c r="M155" i="28"/>
  <c r="N155" i="28" s="1"/>
  <c r="M156" i="28"/>
  <c r="N156" i="28" s="1"/>
  <c r="M157" i="28"/>
  <c r="N157" i="28" s="1"/>
  <c r="M158" i="28"/>
  <c r="N158" i="28" s="1"/>
  <c r="M159" i="28"/>
  <c r="N159" i="28" s="1"/>
  <c r="M160" i="28"/>
  <c r="N160" i="28" s="1"/>
  <c r="M161" i="28"/>
  <c r="N161" i="28" s="1"/>
  <c r="M162" i="28"/>
  <c r="N162" i="28" s="1"/>
  <c r="M163" i="28"/>
  <c r="N163" i="28" s="1"/>
  <c r="M164" i="28"/>
  <c r="N164" i="28" s="1"/>
  <c r="M165" i="28"/>
  <c r="N165" i="28" s="1"/>
  <c r="M166" i="28"/>
  <c r="N166" i="28" s="1"/>
  <c r="M167" i="28"/>
  <c r="N167" i="28" s="1"/>
  <c r="M168" i="28"/>
  <c r="N168" i="28" s="1"/>
  <c r="M169" i="28"/>
  <c r="N169" i="28" s="1"/>
  <c r="M170" i="28"/>
  <c r="N170" i="28" s="1"/>
  <c r="M171" i="28"/>
  <c r="N171" i="28" s="1"/>
  <c r="M172" i="28"/>
  <c r="N172" i="28" s="1"/>
  <c r="M173" i="28"/>
  <c r="N173" i="28" s="1"/>
  <c r="M174" i="28"/>
  <c r="N174" i="28" s="1"/>
  <c r="M175" i="28"/>
  <c r="N175" i="28" s="1"/>
  <c r="M176" i="28"/>
  <c r="N176" i="28" s="1"/>
  <c r="M177" i="28"/>
  <c r="N177" i="28" s="1"/>
  <c r="M178" i="28"/>
  <c r="N178" i="28" s="1"/>
  <c r="M179" i="28"/>
  <c r="N179" i="28" s="1"/>
  <c r="M180" i="28"/>
  <c r="N180" i="28" s="1"/>
  <c r="M181" i="28"/>
  <c r="N181" i="28" s="1"/>
  <c r="M182" i="28"/>
  <c r="N182" i="28" s="1"/>
  <c r="M183" i="28"/>
  <c r="N183" i="28" s="1"/>
  <c r="M184" i="28"/>
  <c r="N184" i="28" s="1"/>
  <c r="M185" i="28"/>
  <c r="N185" i="28" s="1"/>
  <c r="M186" i="28"/>
  <c r="N186" i="28" s="1"/>
  <c r="M187" i="28"/>
  <c r="N187" i="28" s="1"/>
  <c r="M188" i="28"/>
  <c r="N188" i="28" s="1"/>
  <c r="M189" i="28"/>
  <c r="N189" i="28" s="1"/>
  <c r="M190" i="28"/>
  <c r="N190" i="28" s="1"/>
  <c r="M191" i="28"/>
  <c r="N191" i="28" s="1"/>
  <c r="M192" i="28"/>
  <c r="N192" i="28" s="1"/>
  <c r="M193" i="28"/>
  <c r="N193" i="28" s="1"/>
  <c r="M194" i="28"/>
  <c r="N194" i="28" s="1"/>
  <c r="M195" i="28"/>
  <c r="N195" i="28" s="1"/>
  <c r="M196" i="28"/>
  <c r="N196" i="28" s="1"/>
  <c r="M197" i="28"/>
  <c r="N197" i="28" s="1"/>
  <c r="M198" i="28"/>
  <c r="N198" i="28" s="1"/>
  <c r="M199" i="28"/>
  <c r="N199" i="28" s="1"/>
  <c r="M200" i="28"/>
  <c r="N200" i="28" s="1"/>
  <c r="M201" i="28"/>
  <c r="N201" i="28" s="1"/>
  <c r="M202" i="28"/>
  <c r="N202" i="28" s="1"/>
  <c r="M203" i="28"/>
  <c r="N203" i="28" s="1"/>
  <c r="M204" i="28"/>
  <c r="N204" i="28" s="1"/>
  <c r="M205" i="28"/>
  <c r="N205" i="28" s="1"/>
  <c r="M206" i="28"/>
  <c r="N206" i="28" s="1"/>
  <c r="M207" i="28"/>
  <c r="N207" i="28" s="1"/>
  <c r="M208" i="28"/>
  <c r="N208" i="28" s="1"/>
  <c r="M209" i="28"/>
  <c r="N209" i="28" s="1"/>
  <c r="M210" i="28"/>
  <c r="N210" i="28" s="1"/>
  <c r="M211" i="28"/>
  <c r="N211" i="28" s="1"/>
  <c r="M212" i="28"/>
  <c r="N212" i="28" s="1"/>
  <c r="M213" i="28"/>
  <c r="N213" i="28" s="1"/>
  <c r="M214" i="28"/>
  <c r="N214" i="28" s="1"/>
  <c r="M215" i="28"/>
  <c r="N215" i="28" s="1"/>
  <c r="M216" i="28"/>
  <c r="N216" i="28" s="1"/>
  <c r="M217" i="28"/>
  <c r="N217" i="28" s="1"/>
  <c r="M218" i="28"/>
  <c r="N218" i="28" s="1"/>
  <c r="M219" i="28"/>
  <c r="N219" i="28" s="1"/>
  <c r="M220" i="28"/>
  <c r="N220" i="28" s="1"/>
  <c r="M221" i="28"/>
  <c r="N221" i="28" s="1"/>
  <c r="M222" i="28"/>
  <c r="N222" i="28" s="1"/>
  <c r="M223" i="28"/>
  <c r="N223" i="28" s="1"/>
  <c r="M224" i="28"/>
  <c r="N224" i="28" s="1"/>
  <c r="M225" i="28"/>
  <c r="N225" i="28" s="1"/>
  <c r="M226" i="28"/>
  <c r="N226" i="28" s="1"/>
  <c r="M227" i="28"/>
  <c r="N227" i="28" s="1"/>
  <c r="M228" i="28"/>
  <c r="N228" i="28" s="1"/>
  <c r="M229" i="28"/>
  <c r="N229" i="28" s="1"/>
  <c r="M230" i="28"/>
  <c r="N230" i="28" s="1"/>
  <c r="M231" i="28"/>
  <c r="N231" i="28" s="1"/>
  <c r="M232" i="28"/>
  <c r="N232" i="28" s="1"/>
  <c r="M233" i="28"/>
  <c r="N233" i="28" s="1"/>
  <c r="M234" i="28"/>
  <c r="N234" i="28" s="1"/>
  <c r="M235" i="28"/>
  <c r="N235" i="28" s="1"/>
  <c r="M236" i="28"/>
  <c r="N236" i="28" s="1"/>
  <c r="M237" i="28"/>
  <c r="N237" i="28" s="1"/>
  <c r="M238" i="28"/>
  <c r="N238" i="28" s="1"/>
  <c r="M239" i="28"/>
  <c r="N239" i="28" s="1"/>
  <c r="M240" i="28"/>
  <c r="N240" i="28" s="1"/>
  <c r="M241" i="28"/>
  <c r="N241" i="28" s="1"/>
  <c r="M242" i="28"/>
  <c r="N242" i="28" s="1"/>
  <c r="M243" i="28"/>
  <c r="N243" i="28" s="1"/>
  <c r="M244" i="28"/>
  <c r="N244" i="28" s="1"/>
  <c r="M245" i="28"/>
  <c r="N245" i="28" s="1"/>
  <c r="M246" i="28"/>
  <c r="N246" i="28" s="1"/>
  <c r="M247" i="28"/>
  <c r="N247" i="28" s="1"/>
  <c r="M248" i="28"/>
  <c r="N248" i="28" s="1"/>
  <c r="M249" i="28"/>
  <c r="N249" i="28" s="1"/>
  <c r="M250" i="28"/>
  <c r="N250" i="28" s="1"/>
  <c r="M251" i="28"/>
  <c r="N251" i="28" s="1"/>
  <c r="M252" i="28"/>
  <c r="N252" i="28" s="1"/>
  <c r="M253" i="28"/>
  <c r="N253" i="28" s="1"/>
  <c r="M254" i="28"/>
  <c r="N254" i="28" s="1"/>
  <c r="M255" i="28"/>
  <c r="N255" i="28" s="1"/>
  <c r="M256" i="28"/>
  <c r="N256" i="28" s="1"/>
  <c r="M257" i="28"/>
  <c r="N257" i="28" s="1"/>
  <c r="M258" i="28"/>
  <c r="N258" i="28" s="1"/>
  <c r="M259" i="28"/>
  <c r="N259" i="28" s="1"/>
  <c r="M260" i="28"/>
  <c r="N260" i="28" s="1"/>
  <c r="M261" i="28"/>
  <c r="N261" i="28" s="1"/>
  <c r="M262" i="28"/>
  <c r="N262" i="28" s="1"/>
  <c r="M263" i="28"/>
  <c r="N263" i="28" s="1"/>
  <c r="M264" i="28"/>
  <c r="N264" i="28" s="1"/>
  <c r="M265" i="28"/>
  <c r="N265" i="28" s="1"/>
  <c r="M266" i="28"/>
  <c r="N266" i="28" s="1"/>
  <c r="M267" i="28"/>
  <c r="N267" i="28" s="1"/>
  <c r="M268" i="28"/>
  <c r="N268" i="28" s="1"/>
  <c r="M269" i="28"/>
  <c r="N269" i="28" s="1"/>
  <c r="M270" i="28"/>
  <c r="N270" i="28" s="1"/>
  <c r="M271" i="28"/>
  <c r="N271" i="28" s="1"/>
  <c r="M272" i="28"/>
  <c r="N272" i="28" s="1"/>
  <c r="M273" i="28"/>
  <c r="N273" i="28" s="1"/>
  <c r="M274" i="28"/>
  <c r="N274" i="28" s="1"/>
  <c r="M275" i="28"/>
  <c r="N275" i="28" s="1"/>
  <c r="M276" i="28"/>
  <c r="N276" i="28" s="1"/>
  <c r="M277" i="28"/>
  <c r="N277" i="28" s="1"/>
  <c r="M278" i="28"/>
  <c r="N278" i="28" s="1"/>
  <c r="M279" i="28"/>
  <c r="N279" i="28" s="1"/>
  <c r="M280" i="28"/>
  <c r="N280" i="28" s="1"/>
  <c r="M281" i="28"/>
  <c r="N281" i="28" s="1"/>
  <c r="M282" i="28"/>
  <c r="N282" i="28" s="1"/>
  <c r="M283" i="28"/>
  <c r="N283" i="28" s="1"/>
  <c r="M284" i="28"/>
  <c r="N284" i="28" s="1"/>
  <c r="M285" i="28"/>
  <c r="N285" i="28" s="1"/>
  <c r="M286" i="28"/>
  <c r="N286" i="28" s="1"/>
  <c r="M287" i="28"/>
  <c r="N287" i="28" s="1"/>
  <c r="M288" i="28"/>
  <c r="N288" i="28" s="1"/>
  <c r="M289" i="28"/>
  <c r="N289" i="28" s="1"/>
  <c r="M290" i="28"/>
  <c r="N290" i="28" s="1"/>
  <c r="M291" i="28"/>
  <c r="N291" i="28" s="1"/>
  <c r="M292" i="28"/>
  <c r="N292" i="28" s="1"/>
  <c r="M293" i="28"/>
  <c r="N293" i="28" s="1"/>
  <c r="M294" i="28"/>
  <c r="N294" i="28" s="1"/>
  <c r="M295" i="28"/>
  <c r="N295" i="28" s="1"/>
  <c r="M296" i="28"/>
  <c r="N296" i="28" s="1"/>
  <c r="M297" i="28"/>
  <c r="N297" i="28" s="1"/>
  <c r="M298" i="28"/>
  <c r="N298" i="28" s="1"/>
  <c r="M299" i="28"/>
  <c r="N299" i="28" s="1"/>
  <c r="M300" i="28"/>
  <c r="N300" i="28" s="1"/>
  <c r="M301" i="28"/>
  <c r="N301" i="28" s="1"/>
  <c r="M302" i="28"/>
  <c r="N302" i="28" s="1"/>
  <c r="M303" i="28"/>
  <c r="N303" i="28" s="1"/>
  <c r="M304" i="28"/>
  <c r="N304" i="28" s="1"/>
  <c r="M305" i="28"/>
  <c r="N305" i="28" s="1"/>
  <c r="M306" i="28"/>
  <c r="N306" i="28" s="1"/>
  <c r="M307" i="28"/>
  <c r="N307" i="28" s="1"/>
  <c r="M308" i="28"/>
  <c r="N308" i="28" s="1"/>
  <c r="M309" i="28"/>
  <c r="N309" i="28" s="1"/>
  <c r="M310" i="28"/>
  <c r="N310" i="28" s="1"/>
  <c r="M311" i="28"/>
  <c r="N311" i="28" s="1"/>
  <c r="M312" i="28"/>
  <c r="N312" i="28" s="1"/>
  <c r="M313" i="28"/>
  <c r="N313" i="28" s="1"/>
  <c r="M314" i="28"/>
  <c r="N314" i="28" s="1"/>
  <c r="M315" i="28"/>
  <c r="N315" i="28" s="1"/>
  <c r="M316" i="28"/>
  <c r="N316" i="28" s="1"/>
  <c r="M317" i="28"/>
  <c r="N317" i="28" s="1"/>
  <c r="M318" i="28"/>
  <c r="N318" i="28" s="1"/>
  <c r="M319" i="28"/>
  <c r="N319" i="28" s="1"/>
  <c r="M320" i="28"/>
  <c r="N320" i="28" s="1"/>
  <c r="M321" i="28"/>
  <c r="N321" i="28" s="1"/>
  <c r="M322" i="28"/>
  <c r="N322" i="28" s="1"/>
  <c r="M323" i="28"/>
  <c r="N323" i="28" s="1"/>
  <c r="M324" i="28"/>
  <c r="N324" i="28" s="1"/>
  <c r="M325" i="28"/>
  <c r="N325" i="28" s="1"/>
  <c r="M326" i="28"/>
  <c r="N326" i="28" s="1"/>
  <c r="M327" i="28"/>
  <c r="N327" i="28" s="1"/>
  <c r="M328" i="28"/>
  <c r="N328" i="28" s="1"/>
  <c r="M329" i="28"/>
  <c r="N329" i="28" s="1"/>
  <c r="M330" i="28"/>
  <c r="N330" i="28" s="1"/>
  <c r="M331" i="28"/>
  <c r="N331" i="28" s="1"/>
  <c r="M332" i="28"/>
  <c r="N332" i="28" s="1"/>
  <c r="M333" i="28"/>
  <c r="N333" i="28" s="1"/>
  <c r="M334" i="28"/>
  <c r="N334" i="28" s="1"/>
  <c r="M335" i="28"/>
  <c r="N335" i="28" s="1"/>
  <c r="M336" i="28"/>
  <c r="N336" i="28" s="1"/>
  <c r="M337" i="28"/>
  <c r="N337" i="28" s="1"/>
  <c r="M338" i="28"/>
  <c r="N338" i="28" s="1"/>
  <c r="M339" i="28"/>
  <c r="N339" i="28" s="1"/>
  <c r="M340" i="28"/>
  <c r="N340" i="28" s="1"/>
  <c r="M341" i="28"/>
  <c r="N341" i="28" s="1"/>
  <c r="M342" i="28"/>
  <c r="N342" i="28" s="1"/>
  <c r="M343" i="28"/>
  <c r="N343" i="28" s="1"/>
  <c r="M344" i="28"/>
  <c r="N344" i="28" s="1"/>
  <c r="M345" i="28"/>
  <c r="N345" i="28" s="1"/>
  <c r="M346" i="28"/>
  <c r="N346" i="28" s="1"/>
  <c r="M347" i="28"/>
  <c r="N347" i="28" s="1"/>
  <c r="M348" i="28"/>
  <c r="N348" i="28" s="1"/>
  <c r="M349" i="28"/>
  <c r="N349" i="28" s="1"/>
  <c r="M350" i="28"/>
  <c r="N350" i="28" s="1"/>
  <c r="M351" i="28"/>
  <c r="N351" i="28" s="1"/>
  <c r="M352" i="28"/>
  <c r="N352" i="28" s="1"/>
  <c r="M353" i="28"/>
  <c r="N353" i="28" s="1"/>
  <c r="M354" i="28"/>
  <c r="N354" i="28" s="1"/>
  <c r="M355" i="28"/>
  <c r="N355" i="28" s="1"/>
  <c r="M356" i="28"/>
  <c r="N356" i="28" s="1"/>
  <c r="M357" i="28"/>
  <c r="N357" i="28" s="1"/>
  <c r="M358" i="28"/>
  <c r="N358" i="28" s="1"/>
  <c r="M359" i="28"/>
  <c r="N359" i="28" s="1"/>
  <c r="M360" i="28"/>
  <c r="N360" i="28" s="1"/>
  <c r="M361" i="28"/>
  <c r="N361" i="28" s="1"/>
  <c r="M362" i="28"/>
  <c r="N362" i="28" s="1"/>
  <c r="M363" i="28"/>
  <c r="N363" i="28" s="1"/>
  <c r="M364" i="28"/>
  <c r="N364" i="28" s="1"/>
  <c r="M365" i="28"/>
  <c r="N365" i="28" s="1"/>
  <c r="M366" i="28"/>
  <c r="N366" i="28" s="1"/>
  <c r="M367" i="28"/>
  <c r="N367" i="28" s="1"/>
  <c r="M368" i="28"/>
  <c r="N368" i="28" s="1"/>
  <c r="M369" i="28"/>
  <c r="N369" i="28" s="1"/>
  <c r="M370" i="28"/>
  <c r="N370" i="28" s="1"/>
  <c r="M371" i="28"/>
  <c r="N371" i="28" s="1"/>
  <c r="M372" i="28"/>
  <c r="N372" i="28" s="1"/>
  <c r="M373" i="28"/>
  <c r="N373" i="28" s="1"/>
  <c r="M374" i="28"/>
  <c r="N374" i="28" s="1"/>
  <c r="M375" i="28"/>
  <c r="N375" i="28" s="1"/>
  <c r="M376" i="28"/>
  <c r="N376" i="28" s="1"/>
  <c r="M377" i="28"/>
  <c r="N377" i="28" s="1"/>
  <c r="M378" i="28"/>
  <c r="N378" i="28" s="1"/>
  <c r="M379" i="28"/>
  <c r="N379" i="28" s="1"/>
  <c r="M380" i="28"/>
  <c r="N380" i="28" s="1"/>
  <c r="M381" i="28"/>
  <c r="N381" i="28" s="1"/>
  <c r="M382" i="28"/>
  <c r="N382" i="28" s="1"/>
  <c r="M383" i="28"/>
  <c r="N383" i="28" s="1"/>
  <c r="M384" i="28"/>
  <c r="N384" i="28" s="1"/>
  <c r="M385" i="28"/>
  <c r="N385" i="28" s="1"/>
  <c r="M386" i="28"/>
  <c r="N386" i="28" s="1"/>
  <c r="M387" i="28"/>
  <c r="N387" i="28" s="1"/>
  <c r="M388" i="28"/>
  <c r="N388" i="28" s="1"/>
  <c r="M389" i="28"/>
  <c r="N389" i="28" s="1"/>
  <c r="M390" i="28"/>
  <c r="N390" i="28" s="1"/>
  <c r="M391" i="28"/>
  <c r="N391" i="28" s="1"/>
  <c r="M392" i="28"/>
  <c r="N392" i="28" s="1"/>
  <c r="M393" i="28"/>
  <c r="N393" i="28" s="1"/>
  <c r="M394" i="28"/>
  <c r="N394" i="28" s="1"/>
  <c r="M395" i="28"/>
  <c r="N395" i="28" s="1"/>
  <c r="M396" i="28"/>
  <c r="N396" i="28" s="1"/>
  <c r="M397" i="28"/>
  <c r="N397" i="28" s="1"/>
  <c r="M398" i="28"/>
  <c r="N398" i="28" s="1"/>
  <c r="M399" i="28"/>
  <c r="N399" i="28" s="1"/>
  <c r="M400" i="28"/>
  <c r="N400" i="28" s="1"/>
  <c r="M401" i="28"/>
  <c r="N401" i="28" s="1"/>
  <c r="M402" i="28"/>
  <c r="N402" i="28" s="1"/>
  <c r="M403" i="28"/>
  <c r="N403" i="28" s="1"/>
  <c r="M404" i="28"/>
  <c r="N404" i="28" s="1"/>
  <c r="M405" i="28"/>
  <c r="N405" i="28" s="1"/>
  <c r="M406" i="28"/>
  <c r="N406" i="28" s="1"/>
  <c r="M407" i="28"/>
  <c r="N407" i="28" s="1"/>
  <c r="M408" i="28"/>
  <c r="N408" i="28" s="1"/>
  <c r="M409" i="28"/>
  <c r="N409" i="28" s="1"/>
  <c r="M410" i="28"/>
  <c r="N410" i="28" s="1"/>
  <c r="M411" i="28"/>
  <c r="N411" i="28" s="1"/>
  <c r="M412" i="28"/>
  <c r="N412" i="28" s="1"/>
  <c r="M413" i="28"/>
  <c r="N413" i="28" s="1"/>
  <c r="M414" i="28"/>
  <c r="N414" i="28" s="1"/>
  <c r="M415" i="28"/>
  <c r="N415" i="28" s="1"/>
  <c r="M416" i="28"/>
  <c r="N416" i="28" s="1"/>
  <c r="M417" i="28"/>
  <c r="N417" i="28" s="1"/>
  <c r="M418" i="28"/>
  <c r="N418" i="28" s="1"/>
  <c r="M419" i="28"/>
  <c r="N419" i="28" s="1"/>
  <c r="M420" i="28"/>
  <c r="N420" i="28" s="1"/>
  <c r="M421" i="28"/>
  <c r="N421" i="28" s="1"/>
  <c r="M422" i="28"/>
  <c r="N422" i="28" s="1"/>
  <c r="M423" i="28"/>
  <c r="N423" i="28" s="1"/>
  <c r="M424" i="28"/>
  <c r="N424" i="28" s="1"/>
  <c r="M425" i="28"/>
  <c r="N425" i="28" s="1"/>
  <c r="M426" i="28"/>
  <c r="N426" i="28" s="1"/>
  <c r="M427" i="28"/>
  <c r="N427" i="28" s="1"/>
  <c r="M428" i="28"/>
  <c r="N428" i="28" s="1"/>
  <c r="M429" i="28"/>
  <c r="N429" i="28" s="1"/>
  <c r="M430" i="28"/>
  <c r="N430" i="28" s="1"/>
  <c r="M431" i="28"/>
  <c r="N431" i="28" s="1"/>
  <c r="M432" i="28"/>
  <c r="N432" i="28" s="1"/>
  <c r="M433" i="28"/>
  <c r="N433" i="28" s="1"/>
  <c r="M434" i="28"/>
  <c r="N434" i="28" s="1"/>
  <c r="M435" i="28"/>
  <c r="N435" i="28" s="1"/>
  <c r="M436" i="28"/>
  <c r="N436" i="28" s="1"/>
  <c r="M437" i="28"/>
  <c r="N437" i="28" s="1"/>
  <c r="M438" i="28"/>
  <c r="N438" i="28" s="1"/>
  <c r="M439" i="28"/>
  <c r="N439" i="28" s="1"/>
  <c r="M440" i="28"/>
  <c r="N440" i="28" s="1"/>
  <c r="M441" i="28"/>
  <c r="N441" i="28" s="1"/>
  <c r="M442" i="28"/>
  <c r="N442" i="28" s="1"/>
  <c r="M443" i="28"/>
  <c r="N443" i="28" s="1"/>
  <c r="M444" i="28"/>
  <c r="N444" i="28" s="1"/>
  <c r="M445" i="28"/>
  <c r="N445" i="28" s="1"/>
  <c r="M446" i="28"/>
  <c r="N446" i="28" s="1"/>
  <c r="M447" i="28"/>
  <c r="N447" i="28" s="1"/>
  <c r="M448" i="28"/>
  <c r="N448" i="28" s="1"/>
  <c r="M449" i="28"/>
  <c r="N449" i="28" s="1"/>
  <c r="M450" i="28"/>
  <c r="N450" i="28" s="1"/>
  <c r="M451" i="28"/>
  <c r="N451" i="28" s="1"/>
  <c r="M452" i="28"/>
  <c r="N452" i="28" s="1"/>
  <c r="M453" i="28"/>
  <c r="N453" i="28" s="1"/>
  <c r="M454" i="28"/>
  <c r="N454" i="28" s="1"/>
  <c r="M455" i="28"/>
  <c r="N455" i="28" s="1"/>
  <c r="M456" i="28"/>
  <c r="N456" i="28" s="1"/>
  <c r="M457" i="28"/>
  <c r="N457" i="28" s="1"/>
  <c r="M458" i="28"/>
  <c r="N458" i="28" s="1"/>
  <c r="M459" i="28"/>
  <c r="N459" i="28" s="1"/>
  <c r="M460" i="28"/>
  <c r="N460" i="28" s="1"/>
  <c r="M461" i="28"/>
  <c r="N461" i="28" s="1"/>
  <c r="M462" i="28"/>
  <c r="N462" i="28" s="1"/>
  <c r="M463" i="28"/>
  <c r="N463" i="28" s="1"/>
  <c r="M464" i="28"/>
  <c r="N464" i="28" s="1"/>
  <c r="M465" i="28"/>
  <c r="N465" i="28" s="1"/>
  <c r="M466" i="28"/>
  <c r="N466" i="28" s="1"/>
  <c r="M467" i="28"/>
  <c r="N467" i="28" s="1"/>
  <c r="M468" i="28"/>
  <c r="N468" i="28" s="1"/>
  <c r="M469" i="28"/>
  <c r="N469" i="28" s="1"/>
  <c r="M470" i="28"/>
  <c r="N470" i="28" s="1"/>
  <c r="M471" i="28"/>
  <c r="N471" i="28" s="1"/>
  <c r="M472" i="28"/>
  <c r="N472" i="28" s="1"/>
  <c r="M473" i="28"/>
  <c r="N473" i="28" s="1"/>
  <c r="M474" i="28"/>
  <c r="N474" i="28" s="1"/>
  <c r="M475" i="28"/>
  <c r="N475" i="28" s="1"/>
  <c r="M476" i="28"/>
  <c r="N476" i="28" s="1"/>
  <c r="M477" i="28"/>
  <c r="N477" i="28" s="1"/>
  <c r="M478" i="28"/>
  <c r="N478" i="28" s="1"/>
  <c r="M479" i="28"/>
  <c r="N479" i="28" s="1"/>
  <c r="M480" i="28"/>
  <c r="N480" i="28" s="1"/>
  <c r="M481" i="28"/>
  <c r="N481" i="28" s="1"/>
  <c r="M482" i="28"/>
  <c r="N482" i="28" s="1"/>
  <c r="M483" i="28"/>
  <c r="N483" i="28" s="1"/>
  <c r="M484" i="28"/>
  <c r="N484" i="28" s="1"/>
  <c r="M485" i="28"/>
  <c r="N485" i="28" s="1"/>
  <c r="M486" i="28"/>
  <c r="N486" i="28" s="1"/>
  <c r="M487" i="28"/>
  <c r="N487" i="28" s="1"/>
  <c r="M488" i="28"/>
  <c r="N488" i="28" s="1"/>
  <c r="M489" i="28"/>
  <c r="N489" i="28" s="1"/>
  <c r="M490" i="28"/>
  <c r="N490" i="28" s="1"/>
  <c r="M491" i="28"/>
  <c r="N491" i="28" s="1"/>
  <c r="M492" i="28"/>
  <c r="N492" i="28" s="1"/>
  <c r="M493" i="28"/>
  <c r="N493" i="28" s="1"/>
  <c r="M494" i="28"/>
  <c r="N494" i="28" s="1"/>
  <c r="M495" i="28"/>
  <c r="N495" i="28" s="1"/>
  <c r="M496" i="28"/>
  <c r="N496" i="28" s="1"/>
  <c r="M497" i="28"/>
  <c r="N497" i="28" s="1"/>
  <c r="M498" i="28"/>
  <c r="N498" i="28" s="1"/>
  <c r="M499" i="28"/>
  <c r="N499" i="28" s="1"/>
  <c r="M500" i="28"/>
  <c r="N500" i="28" s="1"/>
  <c r="M501" i="28"/>
  <c r="N501" i="28" s="1"/>
  <c r="M502" i="28"/>
  <c r="N502" i="28" s="1"/>
  <c r="M503" i="28"/>
  <c r="N503" i="28" s="1"/>
  <c r="M504" i="28"/>
  <c r="N504" i="28" s="1"/>
  <c r="M505" i="28"/>
  <c r="N505" i="28" s="1"/>
  <c r="M506" i="28"/>
  <c r="N506" i="28" s="1"/>
  <c r="M507" i="28"/>
  <c r="N507" i="28" s="1"/>
  <c r="M508" i="28"/>
  <c r="N508" i="28" s="1"/>
  <c r="M509" i="28"/>
  <c r="N509" i="28" s="1"/>
  <c r="M510" i="28"/>
  <c r="N510" i="28" s="1"/>
  <c r="M511" i="28"/>
  <c r="N511" i="28" s="1"/>
  <c r="M512" i="28"/>
  <c r="N512" i="28" s="1"/>
  <c r="M513" i="28"/>
  <c r="N513" i="28" s="1"/>
  <c r="M514" i="28"/>
  <c r="N514" i="28" s="1"/>
  <c r="M515" i="28"/>
  <c r="N515" i="28" s="1"/>
  <c r="M516" i="28"/>
  <c r="N516" i="28" s="1"/>
  <c r="M517" i="28"/>
  <c r="N517" i="28" s="1"/>
  <c r="M518" i="28"/>
  <c r="N518" i="28" s="1"/>
  <c r="M519" i="28"/>
  <c r="N519" i="28" s="1"/>
  <c r="M520" i="28"/>
  <c r="N520" i="28" s="1"/>
  <c r="M521" i="28"/>
  <c r="N521" i="28" s="1"/>
  <c r="M522" i="28"/>
  <c r="N522" i="28" s="1"/>
  <c r="M523" i="28"/>
  <c r="N523" i="28" s="1"/>
  <c r="M524" i="28"/>
  <c r="N524" i="28" s="1"/>
  <c r="M525" i="28"/>
  <c r="N525" i="28" s="1"/>
  <c r="M526" i="28"/>
  <c r="N526" i="28" s="1"/>
  <c r="M527" i="28"/>
  <c r="N527" i="28" s="1"/>
  <c r="M528" i="28"/>
  <c r="N528" i="28" s="1"/>
  <c r="M529" i="28"/>
  <c r="N529" i="28" s="1"/>
  <c r="M530" i="28"/>
  <c r="N530" i="28" s="1"/>
  <c r="M531" i="28"/>
  <c r="N531" i="28" s="1"/>
  <c r="M532" i="28"/>
  <c r="N532" i="28" s="1"/>
  <c r="M533" i="28"/>
  <c r="N533" i="28" s="1"/>
  <c r="M534" i="28"/>
  <c r="N534" i="28" s="1"/>
  <c r="M535" i="28"/>
  <c r="N535" i="28" s="1"/>
  <c r="M536" i="28"/>
  <c r="N536" i="28" s="1"/>
  <c r="M537" i="28"/>
  <c r="N537" i="28" s="1"/>
  <c r="M538" i="28"/>
  <c r="N538" i="28" s="1"/>
  <c r="M539" i="28"/>
  <c r="N539" i="28" s="1"/>
  <c r="M540" i="28"/>
  <c r="N540" i="28" s="1"/>
  <c r="M541" i="28"/>
  <c r="N541" i="28" s="1"/>
  <c r="M542" i="28"/>
  <c r="N542" i="28" s="1"/>
  <c r="M543" i="28"/>
  <c r="N543" i="28" s="1"/>
  <c r="M544" i="28"/>
  <c r="N544" i="28" s="1"/>
  <c r="M545" i="28"/>
  <c r="N545" i="28" s="1"/>
  <c r="M546" i="28"/>
  <c r="N546" i="28" s="1"/>
  <c r="M547" i="28"/>
  <c r="N547" i="28" s="1"/>
  <c r="M548" i="28"/>
  <c r="N548" i="28" s="1"/>
  <c r="M549" i="28"/>
  <c r="N549" i="28" s="1"/>
  <c r="M550" i="28"/>
  <c r="N550" i="28" s="1"/>
  <c r="M551" i="28"/>
  <c r="N551" i="28" s="1"/>
  <c r="M552" i="28"/>
  <c r="N552" i="28" s="1"/>
  <c r="M553" i="28"/>
  <c r="N553" i="28" s="1"/>
  <c r="M554" i="28"/>
  <c r="N554" i="28" s="1"/>
  <c r="M555" i="28"/>
  <c r="N555" i="28" s="1"/>
  <c r="M556" i="28"/>
  <c r="N556" i="28" s="1"/>
  <c r="M557" i="28"/>
  <c r="N557" i="28" s="1"/>
  <c r="M558" i="28"/>
  <c r="N558" i="28" s="1"/>
  <c r="M559" i="28"/>
  <c r="N559" i="28" s="1"/>
  <c r="M560" i="28"/>
  <c r="N560" i="28" s="1"/>
  <c r="M561" i="28"/>
  <c r="N561" i="28" s="1"/>
  <c r="M562" i="28"/>
  <c r="N562" i="28" s="1"/>
  <c r="M563" i="28"/>
  <c r="N563" i="28" s="1"/>
  <c r="M564" i="28"/>
  <c r="N564" i="28" s="1"/>
  <c r="M565" i="28"/>
  <c r="N565" i="28" s="1"/>
  <c r="M566" i="28"/>
  <c r="N566" i="28" s="1"/>
  <c r="M567" i="28"/>
  <c r="N567" i="28" s="1"/>
  <c r="M568" i="28"/>
  <c r="N568" i="28" s="1"/>
  <c r="M569" i="28"/>
  <c r="N569" i="28" s="1"/>
  <c r="M570" i="28"/>
  <c r="N570" i="28" s="1"/>
  <c r="M571" i="28"/>
  <c r="N571" i="28" s="1"/>
  <c r="M572" i="28"/>
  <c r="N572" i="28" s="1"/>
  <c r="M573" i="28"/>
  <c r="N573" i="28" s="1"/>
  <c r="M574" i="28"/>
  <c r="N574" i="28" s="1"/>
  <c r="M575" i="28"/>
  <c r="N575" i="28" s="1"/>
  <c r="M576" i="28"/>
  <c r="N576" i="28" s="1"/>
  <c r="M577" i="28"/>
  <c r="N577" i="28" s="1"/>
  <c r="M578" i="28"/>
  <c r="N578" i="28" s="1"/>
  <c r="M579" i="28"/>
  <c r="N579" i="28" s="1"/>
  <c r="M580" i="28"/>
  <c r="N580" i="28" s="1"/>
  <c r="M581" i="28"/>
  <c r="N581" i="28" s="1"/>
  <c r="M582" i="28"/>
  <c r="N582" i="28" s="1"/>
  <c r="M583" i="28"/>
  <c r="N583" i="28" s="1"/>
  <c r="M584" i="28"/>
  <c r="N584" i="28" s="1"/>
  <c r="M585" i="28"/>
  <c r="N585" i="28" s="1"/>
  <c r="M586" i="28"/>
  <c r="N586" i="28" s="1"/>
  <c r="M587" i="28"/>
  <c r="N587" i="28" s="1"/>
  <c r="M588" i="28"/>
  <c r="N588" i="28" s="1"/>
  <c r="M589" i="28"/>
  <c r="N589" i="28" s="1"/>
  <c r="M590" i="28"/>
  <c r="N590" i="28" s="1"/>
  <c r="M591" i="28"/>
  <c r="N591" i="28" s="1"/>
  <c r="M592" i="28"/>
  <c r="N592" i="28" s="1"/>
  <c r="M593" i="28"/>
  <c r="N593" i="28" s="1"/>
  <c r="M594" i="28"/>
  <c r="N594" i="28" s="1"/>
  <c r="M595" i="28"/>
  <c r="N595" i="28" s="1"/>
  <c r="M596" i="28"/>
  <c r="N596" i="28" s="1"/>
  <c r="M597" i="28"/>
  <c r="N597" i="28" s="1"/>
  <c r="M598" i="28"/>
  <c r="N598" i="28" s="1"/>
  <c r="M599" i="28"/>
  <c r="N599" i="28" s="1"/>
  <c r="M600" i="28"/>
  <c r="N600" i="28" s="1"/>
  <c r="M601" i="28"/>
  <c r="N601" i="28" s="1"/>
  <c r="M602" i="28"/>
  <c r="N602" i="28" s="1"/>
  <c r="M603" i="28"/>
  <c r="N603" i="28" s="1"/>
  <c r="M604" i="28"/>
  <c r="N604" i="28" s="1"/>
  <c r="M605" i="28"/>
  <c r="N605" i="28" s="1"/>
  <c r="M606" i="28"/>
  <c r="N606" i="28" s="1"/>
  <c r="M607" i="28"/>
  <c r="N607" i="28" s="1"/>
  <c r="M608" i="28"/>
  <c r="N608" i="28" s="1"/>
  <c r="M609" i="28"/>
  <c r="N609" i="28" s="1"/>
  <c r="M610" i="28"/>
  <c r="N610" i="28" s="1"/>
  <c r="M611" i="28"/>
  <c r="N611" i="28" s="1"/>
  <c r="M612" i="28"/>
  <c r="N612" i="28" s="1"/>
  <c r="M613" i="28"/>
  <c r="N613" i="28" s="1"/>
  <c r="M614" i="28"/>
  <c r="N614" i="28" s="1"/>
  <c r="M615" i="28"/>
  <c r="N615" i="28" s="1"/>
  <c r="M616" i="28"/>
  <c r="N616" i="28" s="1"/>
  <c r="M617" i="28"/>
  <c r="N617" i="28" s="1"/>
  <c r="A195" i="27" l="1"/>
  <c r="B195" i="27"/>
  <c r="D195" i="27"/>
  <c r="F195" i="27"/>
  <c r="H195" i="27"/>
  <c r="E195" i="27" s="1"/>
  <c r="I195" i="27"/>
  <c r="J195" i="27"/>
  <c r="A196" i="27"/>
  <c r="B196" i="27"/>
  <c r="D196" i="27"/>
  <c r="F196" i="27"/>
  <c r="H196" i="27"/>
  <c r="E196" i="27" s="1"/>
  <c r="I196" i="27"/>
  <c r="J196" i="27"/>
  <c r="A190" i="27"/>
  <c r="B190" i="27"/>
  <c r="D190" i="27"/>
  <c r="F190" i="27"/>
  <c r="H190" i="27"/>
  <c r="E190" i="27" s="1"/>
  <c r="I190" i="27"/>
  <c r="J190" i="27"/>
  <c r="A191" i="27"/>
  <c r="B191" i="27"/>
  <c r="D191" i="27"/>
  <c r="F191" i="27"/>
  <c r="H191" i="27"/>
  <c r="E191" i="27" s="1"/>
  <c r="I191" i="27"/>
  <c r="J191" i="27"/>
  <c r="A192" i="27"/>
  <c r="B192" i="27"/>
  <c r="D192" i="27"/>
  <c r="F192" i="27"/>
  <c r="H192" i="27"/>
  <c r="E192" i="27" s="1"/>
  <c r="I192" i="27"/>
  <c r="J192" i="27"/>
  <c r="A193" i="27"/>
  <c r="B193" i="27"/>
  <c r="D193" i="27"/>
  <c r="F193" i="27"/>
  <c r="H193" i="27"/>
  <c r="E193" i="27" s="1"/>
  <c r="I193" i="27"/>
  <c r="J193" i="27"/>
  <c r="A194" i="27"/>
  <c r="B194" i="27"/>
  <c r="D194" i="27"/>
  <c r="F194" i="27"/>
  <c r="H194" i="27"/>
  <c r="E194" i="27" s="1"/>
  <c r="I194" i="27"/>
  <c r="J194" i="27"/>
  <c r="H3" i="27"/>
  <c r="E3" i="27" s="1"/>
  <c r="H4" i="27"/>
  <c r="E4" i="27" s="1"/>
  <c r="H5" i="27"/>
  <c r="E5" i="27" s="1"/>
  <c r="H6" i="27"/>
  <c r="E6" i="27" s="1"/>
  <c r="H7" i="27"/>
  <c r="E7" i="27" s="1"/>
  <c r="H8" i="27"/>
  <c r="E8" i="27" s="1"/>
  <c r="H9" i="27"/>
  <c r="E9" i="27" s="1"/>
  <c r="H10" i="27"/>
  <c r="E10" i="27" s="1"/>
  <c r="H11" i="27"/>
  <c r="E11" i="27" s="1"/>
  <c r="H12" i="27"/>
  <c r="E12" i="27" s="1"/>
  <c r="H13" i="27"/>
  <c r="E13" i="27" s="1"/>
  <c r="H14" i="27"/>
  <c r="E14" i="27" s="1"/>
  <c r="H15" i="27"/>
  <c r="E15" i="27" s="1"/>
  <c r="H16" i="27"/>
  <c r="E16" i="27" s="1"/>
  <c r="H17" i="27"/>
  <c r="E17" i="27" s="1"/>
  <c r="H18" i="27"/>
  <c r="E18" i="27" s="1"/>
  <c r="H19" i="27"/>
  <c r="E19" i="27" s="1"/>
  <c r="H20" i="27"/>
  <c r="E20" i="27" s="1"/>
  <c r="H21" i="27"/>
  <c r="E21" i="27" s="1"/>
  <c r="H22" i="27"/>
  <c r="E22" i="27" s="1"/>
  <c r="H23" i="27"/>
  <c r="E23" i="27" s="1"/>
  <c r="H24" i="27"/>
  <c r="E24" i="27" s="1"/>
  <c r="H25" i="27"/>
  <c r="E25" i="27" s="1"/>
  <c r="H26" i="27"/>
  <c r="E26" i="27" s="1"/>
  <c r="H27" i="27"/>
  <c r="E27" i="27" s="1"/>
  <c r="H28" i="27"/>
  <c r="E28" i="27" s="1"/>
  <c r="H29" i="27"/>
  <c r="E29" i="27" s="1"/>
  <c r="H30" i="27"/>
  <c r="E30" i="27" s="1"/>
  <c r="H31" i="27"/>
  <c r="E31" i="27" s="1"/>
  <c r="H32" i="27"/>
  <c r="E32" i="27" s="1"/>
  <c r="H33" i="27"/>
  <c r="E33" i="27" s="1"/>
  <c r="H34" i="27"/>
  <c r="E34" i="27" s="1"/>
  <c r="H35" i="27"/>
  <c r="E35" i="27" s="1"/>
  <c r="H36" i="27"/>
  <c r="E36" i="27" s="1"/>
  <c r="H37" i="27"/>
  <c r="E37" i="27" s="1"/>
  <c r="H38" i="27"/>
  <c r="E38" i="27" s="1"/>
  <c r="H39" i="27"/>
  <c r="E39" i="27" s="1"/>
  <c r="H40" i="27"/>
  <c r="E40" i="27" s="1"/>
  <c r="H41" i="27"/>
  <c r="E41" i="27" s="1"/>
  <c r="H42" i="27"/>
  <c r="E42" i="27" s="1"/>
  <c r="H43" i="27"/>
  <c r="E43" i="27" s="1"/>
  <c r="H44" i="27"/>
  <c r="E44" i="27" s="1"/>
  <c r="H45" i="27"/>
  <c r="E45" i="27" s="1"/>
  <c r="H46" i="27"/>
  <c r="E46" i="27" s="1"/>
  <c r="H47" i="27"/>
  <c r="H48" i="27"/>
  <c r="E48" i="27" s="1"/>
  <c r="H49" i="27"/>
  <c r="H50" i="27"/>
  <c r="E50" i="27" s="1"/>
  <c r="H51" i="27"/>
  <c r="E51" i="27" s="1"/>
  <c r="H52" i="27"/>
  <c r="E52" i="27" s="1"/>
  <c r="H53" i="27"/>
  <c r="E53" i="27" s="1"/>
  <c r="H54" i="27"/>
  <c r="E54" i="27" s="1"/>
  <c r="H55" i="27"/>
  <c r="H56" i="27"/>
  <c r="E56" i="27" s="1"/>
  <c r="H57" i="27"/>
  <c r="E57" i="27" s="1"/>
  <c r="H58" i="27"/>
  <c r="E58" i="27" s="1"/>
  <c r="H59" i="27"/>
  <c r="H60" i="27"/>
  <c r="E60" i="27" s="1"/>
  <c r="H61" i="27"/>
  <c r="E61" i="27" s="1"/>
  <c r="H62" i="27"/>
  <c r="E62" i="27" s="1"/>
  <c r="H63" i="27"/>
  <c r="E63" i="27" s="1"/>
  <c r="H64" i="27"/>
  <c r="E64" i="27" s="1"/>
  <c r="H65" i="27"/>
  <c r="E65" i="27" s="1"/>
  <c r="H66" i="27"/>
  <c r="E66" i="27" s="1"/>
  <c r="H67" i="27"/>
  <c r="E67" i="27" s="1"/>
  <c r="H68" i="27"/>
  <c r="E68" i="27" s="1"/>
  <c r="H69" i="27"/>
  <c r="E69" i="27" s="1"/>
  <c r="H70" i="27"/>
  <c r="E70" i="27" s="1"/>
  <c r="H71" i="27"/>
  <c r="E71" i="27" s="1"/>
  <c r="H72" i="27"/>
  <c r="E72" i="27" s="1"/>
  <c r="H73" i="27"/>
  <c r="E73" i="27" s="1"/>
  <c r="H74" i="27"/>
  <c r="E74" i="27" s="1"/>
  <c r="H75" i="27"/>
  <c r="E75" i="27" s="1"/>
  <c r="H76" i="27"/>
  <c r="E76" i="27" s="1"/>
  <c r="H77" i="27"/>
  <c r="E77" i="27" s="1"/>
  <c r="H78" i="27"/>
  <c r="E78" i="27" s="1"/>
  <c r="H79" i="27"/>
  <c r="E79" i="27" s="1"/>
  <c r="H80" i="27"/>
  <c r="E80" i="27" s="1"/>
  <c r="H81" i="27"/>
  <c r="E81" i="27" s="1"/>
  <c r="H82" i="27"/>
  <c r="E82" i="27" s="1"/>
  <c r="H83" i="27"/>
  <c r="E83" i="27" s="1"/>
  <c r="H84" i="27"/>
  <c r="E84" i="27" s="1"/>
  <c r="H85" i="27"/>
  <c r="E85" i="27" s="1"/>
  <c r="H86" i="27"/>
  <c r="E86" i="27" s="1"/>
  <c r="H87" i="27"/>
  <c r="E87" i="27" s="1"/>
  <c r="H88" i="27"/>
  <c r="E88" i="27" s="1"/>
  <c r="H89" i="27"/>
  <c r="E89" i="27" s="1"/>
  <c r="H90" i="27"/>
  <c r="E90" i="27" s="1"/>
  <c r="H91" i="27"/>
  <c r="E91" i="27" s="1"/>
  <c r="H92" i="27"/>
  <c r="E92" i="27" s="1"/>
  <c r="H93" i="27"/>
  <c r="E93" i="27" s="1"/>
  <c r="H94" i="27"/>
  <c r="E94" i="27" s="1"/>
  <c r="H95" i="27"/>
  <c r="E95" i="27" s="1"/>
  <c r="H96" i="27"/>
  <c r="E96" i="27" s="1"/>
  <c r="H97" i="27"/>
  <c r="E97" i="27" s="1"/>
  <c r="H98" i="27"/>
  <c r="E98" i="27" s="1"/>
  <c r="H99" i="27"/>
  <c r="E99" i="27" s="1"/>
  <c r="H100" i="27"/>
  <c r="E100" i="27" s="1"/>
  <c r="H101" i="27"/>
  <c r="E101" i="27" s="1"/>
  <c r="H102" i="27"/>
  <c r="E102" i="27" s="1"/>
  <c r="H103" i="27"/>
  <c r="E103" i="27" s="1"/>
  <c r="H104" i="27"/>
  <c r="E104" i="27" s="1"/>
  <c r="H105" i="27"/>
  <c r="E105" i="27" s="1"/>
  <c r="H106" i="27"/>
  <c r="E106" i="27" s="1"/>
  <c r="H107" i="27"/>
  <c r="E107" i="27" s="1"/>
  <c r="H108" i="27"/>
  <c r="E108" i="27" s="1"/>
  <c r="H109" i="27"/>
  <c r="E109" i="27" s="1"/>
  <c r="H110" i="27"/>
  <c r="E110" i="27" s="1"/>
  <c r="H111" i="27"/>
  <c r="E111" i="27" s="1"/>
  <c r="H112" i="27"/>
  <c r="E112" i="27" s="1"/>
  <c r="H113" i="27"/>
  <c r="E113" i="27" s="1"/>
  <c r="H114" i="27"/>
  <c r="E114" i="27" s="1"/>
  <c r="H115" i="27"/>
  <c r="E115" i="27" s="1"/>
  <c r="H116" i="27"/>
  <c r="E116" i="27" s="1"/>
  <c r="H117" i="27"/>
  <c r="E117" i="27" s="1"/>
  <c r="H118" i="27"/>
  <c r="E118" i="27" s="1"/>
  <c r="H119" i="27"/>
  <c r="E119" i="27" s="1"/>
  <c r="H120" i="27"/>
  <c r="E120" i="27" s="1"/>
  <c r="H121" i="27"/>
  <c r="E121" i="27" s="1"/>
  <c r="H122" i="27"/>
  <c r="E122" i="27" s="1"/>
  <c r="H123" i="27"/>
  <c r="E123" i="27" s="1"/>
  <c r="H124" i="27"/>
  <c r="E124" i="27" s="1"/>
  <c r="H125" i="27"/>
  <c r="E125" i="27" s="1"/>
  <c r="H126" i="27"/>
  <c r="E126" i="27" s="1"/>
  <c r="H127" i="27"/>
  <c r="E127" i="27" s="1"/>
  <c r="H128" i="27"/>
  <c r="E128" i="27" s="1"/>
  <c r="H129" i="27"/>
  <c r="E129" i="27" s="1"/>
  <c r="H130" i="27"/>
  <c r="E130" i="27" s="1"/>
  <c r="H131" i="27"/>
  <c r="E131" i="27" s="1"/>
  <c r="H132" i="27"/>
  <c r="E132" i="27" s="1"/>
  <c r="H133" i="27"/>
  <c r="E133" i="27" s="1"/>
  <c r="H134" i="27"/>
  <c r="E134" i="27" s="1"/>
  <c r="H135" i="27"/>
  <c r="E135" i="27" s="1"/>
  <c r="H136" i="27"/>
  <c r="E136" i="27" s="1"/>
  <c r="H137" i="27"/>
  <c r="E137" i="27" s="1"/>
  <c r="H138" i="27"/>
  <c r="E138" i="27" s="1"/>
  <c r="H139" i="27"/>
  <c r="E139" i="27" s="1"/>
  <c r="H140" i="27"/>
  <c r="E140" i="27" s="1"/>
  <c r="H141" i="27"/>
  <c r="E141" i="27" s="1"/>
  <c r="H142" i="27"/>
  <c r="E142" i="27" s="1"/>
  <c r="H143" i="27"/>
  <c r="E143" i="27" s="1"/>
  <c r="H144" i="27"/>
  <c r="E144" i="27" s="1"/>
  <c r="H145" i="27"/>
  <c r="E145" i="27" s="1"/>
  <c r="H146" i="27"/>
  <c r="E146" i="27" s="1"/>
  <c r="H147" i="27"/>
  <c r="E147" i="27" s="1"/>
  <c r="H148" i="27"/>
  <c r="E148" i="27" s="1"/>
  <c r="H149" i="27"/>
  <c r="E149" i="27" s="1"/>
  <c r="H150" i="27"/>
  <c r="E150" i="27" s="1"/>
  <c r="H151" i="27"/>
  <c r="E151" i="27" s="1"/>
  <c r="H152" i="27"/>
  <c r="E152" i="27" s="1"/>
  <c r="H153" i="27"/>
  <c r="H154" i="27"/>
  <c r="E154" i="27" s="1"/>
  <c r="H155" i="27"/>
  <c r="E155" i="27" s="1"/>
  <c r="H156" i="27"/>
  <c r="E156" i="27" s="1"/>
  <c r="H157" i="27"/>
  <c r="E157" i="27" s="1"/>
  <c r="H158" i="27"/>
  <c r="E158" i="27" s="1"/>
  <c r="H159" i="27"/>
  <c r="E159" i="27" s="1"/>
  <c r="H160" i="27"/>
  <c r="E160" i="27" s="1"/>
  <c r="H161" i="27"/>
  <c r="E161" i="27" s="1"/>
  <c r="H162" i="27"/>
  <c r="E162" i="27" s="1"/>
  <c r="H163" i="27"/>
  <c r="E163" i="27" s="1"/>
  <c r="H164" i="27"/>
  <c r="E164" i="27" s="1"/>
  <c r="H165" i="27"/>
  <c r="E165" i="27" s="1"/>
  <c r="H166" i="27"/>
  <c r="E166" i="27" s="1"/>
  <c r="H167" i="27"/>
  <c r="E167" i="27" s="1"/>
  <c r="H168" i="27"/>
  <c r="E168" i="27" s="1"/>
  <c r="H169" i="27"/>
  <c r="E169" i="27" s="1"/>
  <c r="H170" i="27"/>
  <c r="E170" i="27" s="1"/>
  <c r="H171" i="27"/>
  <c r="E171" i="27" s="1"/>
  <c r="H172" i="27"/>
  <c r="E172" i="27" s="1"/>
  <c r="H173" i="27"/>
  <c r="E173" i="27" s="1"/>
  <c r="H174" i="27"/>
  <c r="E174" i="27" s="1"/>
  <c r="H175" i="27"/>
  <c r="E175" i="27" s="1"/>
  <c r="H176" i="27"/>
  <c r="E176" i="27" s="1"/>
  <c r="H177" i="27"/>
  <c r="E177" i="27" s="1"/>
  <c r="H178" i="27"/>
  <c r="E178" i="27" s="1"/>
  <c r="H179" i="27"/>
  <c r="E179" i="27" s="1"/>
  <c r="H180" i="27"/>
  <c r="E180" i="27" s="1"/>
  <c r="H181" i="27"/>
  <c r="E181" i="27" s="1"/>
  <c r="H182" i="27"/>
  <c r="E182" i="27" s="1"/>
  <c r="H183" i="27"/>
  <c r="E183" i="27" s="1"/>
  <c r="H184" i="27"/>
  <c r="E184" i="27" s="1"/>
  <c r="H185" i="27"/>
  <c r="E185" i="27" s="1"/>
  <c r="H186" i="27"/>
  <c r="E186" i="27" s="1"/>
  <c r="H187" i="27"/>
  <c r="E187" i="27" s="1"/>
  <c r="H188" i="27"/>
  <c r="E188" i="27" s="1"/>
  <c r="H189" i="27"/>
  <c r="E189" i="27" s="1"/>
  <c r="H2" i="27"/>
  <c r="E2" i="27" s="1"/>
  <c r="C190" i="27"/>
  <c r="C196" i="27"/>
  <c r="C194" i="27"/>
  <c r="C191" i="27"/>
  <c r="C192" i="27"/>
  <c r="C195" i="27"/>
  <c r="C193" i="27"/>
  <c r="M1" i="28" l="1"/>
  <c r="M2" i="28"/>
  <c r="N2" i="28" s="1"/>
  <c r="F1" i="28" l="1"/>
  <c r="F1" i="27"/>
  <c r="F2" i="27"/>
  <c r="F3" i="27"/>
  <c r="F4" i="27"/>
  <c r="F5" i="27"/>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104" i="27"/>
  <c r="F105" i="27"/>
  <c r="F106" i="27"/>
  <c r="F107" i="27"/>
  <c r="F108" i="27"/>
  <c r="F109" i="27"/>
  <c r="F110" i="27"/>
  <c r="F111" i="27"/>
  <c r="F112" i="27"/>
  <c r="F113" i="27"/>
  <c r="F114" i="27"/>
  <c r="F115" i="27"/>
  <c r="F116" i="27"/>
  <c r="F117" i="27"/>
  <c r="F118" i="27"/>
  <c r="F119" i="27"/>
  <c r="F120" i="27"/>
  <c r="F121" i="27"/>
  <c r="F122" i="27"/>
  <c r="F123" i="27"/>
  <c r="F124" i="27"/>
  <c r="F125" i="27"/>
  <c r="F126" i="27"/>
  <c r="F127" i="27"/>
  <c r="F128" i="27"/>
  <c r="F129" i="27"/>
  <c r="F130" i="27"/>
  <c r="F131" i="27"/>
  <c r="F132" i="27"/>
  <c r="F133" i="27"/>
  <c r="F134" i="27"/>
  <c r="F135" i="27"/>
  <c r="F136" i="27"/>
  <c r="F137" i="27"/>
  <c r="F138" i="27"/>
  <c r="F139" i="27"/>
  <c r="F140" i="27"/>
  <c r="F141" i="27"/>
  <c r="F142" i="27"/>
  <c r="F143" i="27"/>
  <c r="F144" i="27"/>
  <c r="F145" i="27"/>
  <c r="F146" i="27"/>
  <c r="F147" i="27"/>
  <c r="F148" i="27"/>
  <c r="F149" i="27"/>
  <c r="F150" i="27"/>
  <c r="F151" i="27"/>
  <c r="F152" i="27"/>
  <c r="F153" i="27"/>
  <c r="F154" i="27"/>
  <c r="F155" i="27"/>
  <c r="F156" i="27"/>
  <c r="F157" i="27"/>
  <c r="F158" i="27"/>
  <c r="F159" i="27"/>
  <c r="F160" i="27"/>
  <c r="F161" i="27"/>
  <c r="F162" i="27"/>
  <c r="F163" i="27"/>
  <c r="F164" i="27"/>
  <c r="F165" i="27"/>
  <c r="F166" i="27"/>
  <c r="F167" i="27"/>
  <c r="F168" i="27"/>
  <c r="F169" i="27"/>
  <c r="F170" i="27"/>
  <c r="F171" i="27"/>
  <c r="F172" i="27"/>
  <c r="F173" i="27"/>
  <c r="F174" i="27"/>
  <c r="F175" i="27"/>
  <c r="F176" i="27"/>
  <c r="F177" i="27"/>
  <c r="F178" i="27"/>
  <c r="F179" i="27"/>
  <c r="F180" i="27"/>
  <c r="F181" i="27"/>
  <c r="F182" i="27"/>
  <c r="F183" i="27"/>
  <c r="F184" i="27"/>
  <c r="F185" i="27"/>
  <c r="F186" i="27"/>
  <c r="F187" i="27"/>
  <c r="F188" i="27"/>
  <c r="F189"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3" i="27"/>
  <c r="D4" i="27"/>
  <c r="D5" i="27"/>
  <c r="D6" i="27"/>
  <c r="A188" i="27"/>
  <c r="B188" i="27"/>
  <c r="I188" i="27"/>
  <c r="J188" i="27"/>
  <c r="A189" i="27"/>
  <c r="B189" i="27"/>
  <c r="I189" i="27"/>
  <c r="J189" i="27"/>
  <c r="A185" i="27"/>
  <c r="B185" i="27"/>
  <c r="I185" i="27"/>
  <c r="J185" i="27"/>
  <c r="A186" i="27"/>
  <c r="B186" i="27"/>
  <c r="I186" i="27"/>
  <c r="J186" i="27"/>
  <c r="A187" i="27"/>
  <c r="B187" i="27"/>
  <c r="I187" i="27"/>
  <c r="J187" i="27"/>
  <c r="A183" i="27"/>
  <c r="B183" i="27"/>
  <c r="I183" i="27"/>
  <c r="J183" i="27"/>
  <c r="A184" i="27"/>
  <c r="B184" i="27"/>
  <c r="I184" i="27"/>
  <c r="J184" i="27"/>
  <c r="A8" i="27"/>
  <c r="B8" i="27"/>
  <c r="I8" i="27"/>
  <c r="J8" i="27"/>
  <c r="A9" i="27"/>
  <c r="B9" i="27"/>
  <c r="I9" i="27"/>
  <c r="J9" i="27"/>
  <c r="A10" i="27"/>
  <c r="B10" i="27"/>
  <c r="I10" i="27"/>
  <c r="J10" i="27"/>
  <c r="A11" i="27"/>
  <c r="B11" i="27"/>
  <c r="I11" i="27"/>
  <c r="J11" i="27"/>
  <c r="A12" i="27"/>
  <c r="B12" i="27"/>
  <c r="I12" i="27"/>
  <c r="J12" i="27"/>
  <c r="A13" i="27"/>
  <c r="B13" i="27"/>
  <c r="I13" i="27"/>
  <c r="J13" i="27"/>
  <c r="A14" i="27"/>
  <c r="B14" i="27"/>
  <c r="I14" i="27"/>
  <c r="J14" i="27"/>
  <c r="A15" i="27"/>
  <c r="B15" i="27"/>
  <c r="I15" i="27"/>
  <c r="J15" i="27"/>
  <c r="A16" i="27"/>
  <c r="B16" i="27"/>
  <c r="I16" i="27"/>
  <c r="J16" i="27"/>
  <c r="A17" i="27"/>
  <c r="B17" i="27"/>
  <c r="I17" i="27"/>
  <c r="J17" i="27"/>
  <c r="A18" i="27"/>
  <c r="B18" i="27"/>
  <c r="I18" i="27"/>
  <c r="J18" i="27"/>
  <c r="A19" i="27"/>
  <c r="B19" i="27"/>
  <c r="I19" i="27"/>
  <c r="J19" i="27"/>
  <c r="A20" i="27"/>
  <c r="B20" i="27"/>
  <c r="I20" i="27"/>
  <c r="J20" i="27"/>
  <c r="A21" i="27"/>
  <c r="B21" i="27"/>
  <c r="I21" i="27"/>
  <c r="J21" i="27"/>
  <c r="A22" i="27"/>
  <c r="B22" i="27"/>
  <c r="I22" i="27"/>
  <c r="J22" i="27"/>
  <c r="A23" i="27"/>
  <c r="B23" i="27"/>
  <c r="I23" i="27"/>
  <c r="J23" i="27"/>
  <c r="A24" i="27"/>
  <c r="B24" i="27"/>
  <c r="I24" i="27"/>
  <c r="J24" i="27"/>
  <c r="A25" i="27"/>
  <c r="B25" i="27"/>
  <c r="I25" i="27"/>
  <c r="J25" i="27"/>
  <c r="A26" i="27"/>
  <c r="B26" i="27"/>
  <c r="I26" i="27"/>
  <c r="J26" i="27"/>
  <c r="A27" i="27"/>
  <c r="B27" i="27"/>
  <c r="I27" i="27"/>
  <c r="J27" i="27"/>
  <c r="A28" i="27"/>
  <c r="B28" i="27"/>
  <c r="I28" i="27"/>
  <c r="J28" i="27"/>
  <c r="A29" i="27"/>
  <c r="B29" i="27"/>
  <c r="I29" i="27"/>
  <c r="J29" i="27"/>
  <c r="A30" i="27"/>
  <c r="B30" i="27"/>
  <c r="I30" i="27"/>
  <c r="J30" i="27"/>
  <c r="A31" i="27"/>
  <c r="B31" i="27"/>
  <c r="I31" i="27"/>
  <c r="J31" i="27"/>
  <c r="A32" i="27"/>
  <c r="B32" i="27"/>
  <c r="I32" i="27"/>
  <c r="J32" i="27"/>
  <c r="A33" i="27"/>
  <c r="B33" i="27"/>
  <c r="I33" i="27"/>
  <c r="J33" i="27"/>
  <c r="A34" i="27"/>
  <c r="B34" i="27"/>
  <c r="I34" i="27"/>
  <c r="J34" i="27"/>
  <c r="A35" i="27"/>
  <c r="B35" i="27"/>
  <c r="I35" i="27"/>
  <c r="J35" i="27"/>
  <c r="A36" i="27"/>
  <c r="B36" i="27"/>
  <c r="I36" i="27"/>
  <c r="J36" i="27"/>
  <c r="A37" i="27"/>
  <c r="B37" i="27"/>
  <c r="I37" i="27"/>
  <c r="J37" i="27"/>
  <c r="A38" i="27"/>
  <c r="B38" i="27"/>
  <c r="I38" i="27"/>
  <c r="J38" i="27"/>
  <c r="A39" i="27"/>
  <c r="B39" i="27"/>
  <c r="I39" i="27"/>
  <c r="J39" i="27"/>
  <c r="A40" i="27"/>
  <c r="B40" i="27"/>
  <c r="I40" i="27"/>
  <c r="J40" i="27"/>
  <c r="A41" i="27"/>
  <c r="B41" i="27"/>
  <c r="I41" i="27"/>
  <c r="J41" i="27"/>
  <c r="A42" i="27"/>
  <c r="B42" i="27"/>
  <c r="I42" i="27"/>
  <c r="J42" i="27"/>
  <c r="A43" i="27"/>
  <c r="B43" i="27"/>
  <c r="I43" i="27"/>
  <c r="J43" i="27"/>
  <c r="A44" i="27"/>
  <c r="B44" i="27"/>
  <c r="I44" i="27"/>
  <c r="J44" i="27"/>
  <c r="A45" i="27"/>
  <c r="B45" i="27"/>
  <c r="I45" i="27"/>
  <c r="J45" i="27"/>
  <c r="A46" i="27"/>
  <c r="B46" i="27"/>
  <c r="I46" i="27"/>
  <c r="J46" i="27"/>
  <c r="A47" i="27"/>
  <c r="E47" i="27" s="1"/>
  <c r="B47" i="27"/>
  <c r="F47" i="27"/>
  <c r="I47" i="27"/>
  <c r="J47" i="27"/>
  <c r="A48" i="27"/>
  <c r="B48" i="27"/>
  <c r="I48" i="27"/>
  <c r="J48" i="27"/>
  <c r="A49" i="27"/>
  <c r="E49" i="27" s="1"/>
  <c r="B49" i="27"/>
  <c r="I49" i="27"/>
  <c r="J49" i="27"/>
  <c r="A50" i="27"/>
  <c r="B50" i="27"/>
  <c r="I50" i="27"/>
  <c r="J50" i="27"/>
  <c r="A51" i="27"/>
  <c r="B51" i="27"/>
  <c r="I51" i="27"/>
  <c r="J51" i="27"/>
  <c r="A52" i="27"/>
  <c r="B52" i="27"/>
  <c r="I52" i="27"/>
  <c r="J52" i="27"/>
  <c r="A53" i="27"/>
  <c r="B53" i="27"/>
  <c r="I53" i="27"/>
  <c r="J53" i="27"/>
  <c r="A54" i="27"/>
  <c r="B54" i="27"/>
  <c r="I54" i="27"/>
  <c r="J54" i="27"/>
  <c r="A55" i="27"/>
  <c r="E55" i="27" s="1"/>
  <c r="B55" i="27"/>
  <c r="I55" i="27"/>
  <c r="J55" i="27"/>
  <c r="A56" i="27"/>
  <c r="B56" i="27"/>
  <c r="I56" i="27"/>
  <c r="J56" i="27"/>
  <c r="A57" i="27"/>
  <c r="B57" i="27"/>
  <c r="I57" i="27"/>
  <c r="J57" i="27"/>
  <c r="A58" i="27"/>
  <c r="B58" i="27"/>
  <c r="I58" i="27"/>
  <c r="J58" i="27"/>
  <c r="A59" i="27"/>
  <c r="E59" i="27" s="1"/>
  <c r="B59" i="27"/>
  <c r="I59" i="27"/>
  <c r="J59" i="27"/>
  <c r="A60" i="27"/>
  <c r="B60" i="27"/>
  <c r="I60" i="27"/>
  <c r="J60" i="27"/>
  <c r="A61" i="27"/>
  <c r="B61" i="27"/>
  <c r="I61" i="27"/>
  <c r="J61" i="27"/>
  <c r="A62" i="27"/>
  <c r="B62" i="27"/>
  <c r="I62" i="27"/>
  <c r="J62" i="27"/>
  <c r="A63" i="27"/>
  <c r="B63" i="27"/>
  <c r="I63" i="27"/>
  <c r="J63" i="27"/>
  <c r="A64" i="27"/>
  <c r="B64" i="27"/>
  <c r="I64" i="27"/>
  <c r="J64" i="27"/>
  <c r="A65" i="27"/>
  <c r="B65" i="27"/>
  <c r="I65" i="27"/>
  <c r="J65" i="27"/>
  <c r="A66" i="27"/>
  <c r="B66" i="27"/>
  <c r="I66" i="27"/>
  <c r="J66" i="27"/>
  <c r="A67" i="27"/>
  <c r="B67" i="27"/>
  <c r="I67" i="27"/>
  <c r="J67" i="27"/>
  <c r="A68" i="27"/>
  <c r="B68" i="27"/>
  <c r="I68" i="27"/>
  <c r="J68" i="27"/>
  <c r="A69" i="27"/>
  <c r="B69" i="27"/>
  <c r="I69" i="27"/>
  <c r="J69" i="27"/>
  <c r="A70" i="27"/>
  <c r="B70" i="27"/>
  <c r="I70" i="27"/>
  <c r="J70" i="27"/>
  <c r="A71" i="27"/>
  <c r="B71" i="27"/>
  <c r="I71" i="27"/>
  <c r="J71" i="27"/>
  <c r="A72" i="27"/>
  <c r="B72" i="27"/>
  <c r="I72" i="27"/>
  <c r="J72" i="27"/>
  <c r="A73" i="27"/>
  <c r="B73" i="27"/>
  <c r="I73" i="27"/>
  <c r="J73" i="27"/>
  <c r="A74" i="27"/>
  <c r="B74" i="27"/>
  <c r="I74" i="27"/>
  <c r="J74" i="27"/>
  <c r="A75" i="27"/>
  <c r="B75" i="27"/>
  <c r="I75" i="27"/>
  <c r="J75" i="27"/>
  <c r="A76" i="27"/>
  <c r="B76" i="27"/>
  <c r="I76" i="27"/>
  <c r="J76" i="27"/>
  <c r="A77" i="27"/>
  <c r="B77" i="27"/>
  <c r="I77" i="27"/>
  <c r="J77" i="27"/>
  <c r="A78" i="27"/>
  <c r="B78" i="27"/>
  <c r="I78" i="27"/>
  <c r="J78" i="27"/>
  <c r="A79" i="27"/>
  <c r="B79" i="27"/>
  <c r="I79" i="27"/>
  <c r="J79" i="27"/>
  <c r="A80" i="27"/>
  <c r="B80" i="27"/>
  <c r="I80" i="27"/>
  <c r="J80" i="27"/>
  <c r="A81" i="27"/>
  <c r="B81" i="27"/>
  <c r="I81" i="27"/>
  <c r="J81" i="27"/>
  <c r="A82" i="27"/>
  <c r="B82" i="27"/>
  <c r="I82" i="27"/>
  <c r="J82" i="27"/>
  <c r="A83" i="27"/>
  <c r="B83" i="27"/>
  <c r="I83" i="27"/>
  <c r="J83" i="27"/>
  <c r="A84" i="27"/>
  <c r="B84" i="27"/>
  <c r="I84" i="27"/>
  <c r="J84" i="27"/>
  <c r="A85" i="27"/>
  <c r="B85" i="27"/>
  <c r="I85" i="27"/>
  <c r="J85" i="27"/>
  <c r="A86" i="27"/>
  <c r="B86" i="27"/>
  <c r="I86" i="27"/>
  <c r="J86" i="27"/>
  <c r="A87" i="27"/>
  <c r="B87" i="27"/>
  <c r="I87" i="27"/>
  <c r="J87" i="27"/>
  <c r="A88" i="27"/>
  <c r="B88" i="27"/>
  <c r="I88" i="27"/>
  <c r="J88" i="27"/>
  <c r="A89" i="27"/>
  <c r="B89" i="27"/>
  <c r="I89" i="27"/>
  <c r="J89" i="27"/>
  <c r="A90" i="27"/>
  <c r="B90" i="27"/>
  <c r="I90" i="27"/>
  <c r="J90" i="27"/>
  <c r="A91" i="27"/>
  <c r="B91" i="27"/>
  <c r="I91" i="27"/>
  <c r="J91" i="27"/>
  <c r="A92" i="27"/>
  <c r="B92" i="27"/>
  <c r="I92" i="27"/>
  <c r="J92" i="27"/>
  <c r="A93" i="27"/>
  <c r="B93" i="27"/>
  <c r="I93" i="27"/>
  <c r="J93" i="27"/>
  <c r="A94" i="27"/>
  <c r="B94" i="27"/>
  <c r="I94" i="27"/>
  <c r="J94" i="27"/>
  <c r="A95" i="27"/>
  <c r="B95" i="27"/>
  <c r="I95" i="27"/>
  <c r="J95" i="27"/>
  <c r="A96" i="27"/>
  <c r="B96" i="27"/>
  <c r="I96" i="27"/>
  <c r="J96" i="27"/>
  <c r="A97" i="27"/>
  <c r="B97" i="27"/>
  <c r="I97" i="27"/>
  <c r="J97" i="27"/>
  <c r="A98" i="27"/>
  <c r="B98" i="27"/>
  <c r="I98" i="27"/>
  <c r="J98" i="27"/>
  <c r="A99" i="27"/>
  <c r="B99" i="27"/>
  <c r="I99" i="27"/>
  <c r="J99" i="27"/>
  <c r="A100" i="27"/>
  <c r="B100" i="27"/>
  <c r="I100" i="27"/>
  <c r="J100" i="27"/>
  <c r="A101" i="27"/>
  <c r="B101" i="27"/>
  <c r="I101" i="27"/>
  <c r="J101" i="27"/>
  <c r="A102" i="27"/>
  <c r="B102" i="27"/>
  <c r="I102" i="27"/>
  <c r="J102" i="27"/>
  <c r="A103" i="27"/>
  <c r="B103" i="27"/>
  <c r="I103" i="27"/>
  <c r="J103" i="27"/>
  <c r="A104" i="27"/>
  <c r="B104" i="27"/>
  <c r="I104" i="27"/>
  <c r="J104" i="27"/>
  <c r="A105" i="27"/>
  <c r="B105" i="27"/>
  <c r="I105" i="27"/>
  <c r="J105" i="27"/>
  <c r="A106" i="27"/>
  <c r="B106" i="27"/>
  <c r="I106" i="27"/>
  <c r="J106" i="27"/>
  <c r="A107" i="27"/>
  <c r="B107" i="27"/>
  <c r="I107" i="27"/>
  <c r="J107" i="27"/>
  <c r="A108" i="27"/>
  <c r="B108" i="27"/>
  <c r="I108" i="27"/>
  <c r="J108" i="27"/>
  <c r="A109" i="27"/>
  <c r="B109" i="27"/>
  <c r="I109" i="27"/>
  <c r="J109" i="27"/>
  <c r="A110" i="27"/>
  <c r="B110" i="27"/>
  <c r="I110" i="27"/>
  <c r="J110" i="27"/>
  <c r="A111" i="27"/>
  <c r="B111" i="27"/>
  <c r="I111" i="27"/>
  <c r="J111" i="27"/>
  <c r="A112" i="27"/>
  <c r="B112" i="27"/>
  <c r="I112" i="27"/>
  <c r="J112" i="27"/>
  <c r="A113" i="27"/>
  <c r="B113" i="27"/>
  <c r="I113" i="27"/>
  <c r="J113" i="27"/>
  <c r="A114" i="27"/>
  <c r="B114" i="27"/>
  <c r="I114" i="27"/>
  <c r="J114" i="27"/>
  <c r="A115" i="27"/>
  <c r="B115" i="27"/>
  <c r="I115" i="27"/>
  <c r="J115" i="27"/>
  <c r="A116" i="27"/>
  <c r="B116" i="27"/>
  <c r="I116" i="27"/>
  <c r="J116" i="27"/>
  <c r="A117" i="27"/>
  <c r="B117" i="27"/>
  <c r="I117" i="27"/>
  <c r="J117" i="27"/>
  <c r="A118" i="27"/>
  <c r="B118" i="27"/>
  <c r="I118" i="27"/>
  <c r="J118" i="27"/>
  <c r="A119" i="27"/>
  <c r="B119" i="27"/>
  <c r="I119" i="27"/>
  <c r="J119" i="27"/>
  <c r="A120" i="27"/>
  <c r="B120" i="27"/>
  <c r="I120" i="27"/>
  <c r="J120" i="27"/>
  <c r="A121" i="27"/>
  <c r="B121" i="27"/>
  <c r="I121" i="27"/>
  <c r="J121" i="27"/>
  <c r="A122" i="27"/>
  <c r="B122" i="27"/>
  <c r="I122" i="27"/>
  <c r="J122" i="27"/>
  <c r="A123" i="27"/>
  <c r="B123" i="27"/>
  <c r="I123" i="27"/>
  <c r="J123" i="27"/>
  <c r="A124" i="27"/>
  <c r="B124" i="27"/>
  <c r="I124" i="27"/>
  <c r="J124" i="27"/>
  <c r="A125" i="27"/>
  <c r="B125" i="27"/>
  <c r="I125" i="27"/>
  <c r="J125" i="27"/>
  <c r="A126" i="27"/>
  <c r="B126" i="27"/>
  <c r="I126" i="27"/>
  <c r="J126" i="27"/>
  <c r="A127" i="27"/>
  <c r="B127" i="27"/>
  <c r="I127" i="27"/>
  <c r="J127" i="27"/>
  <c r="A128" i="27"/>
  <c r="B128" i="27"/>
  <c r="I128" i="27"/>
  <c r="J128" i="27"/>
  <c r="A129" i="27"/>
  <c r="B129" i="27"/>
  <c r="I129" i="27"/>
  <c r="J129" i="27"/>
  <c r="A130" i="27"/>
  <c r="B130" i="27"/>
  <c r="I130" i="27"/>
  <c r="J130" i="27"/>
  <c r="A131" i="27"/>
  <c r="B131" i="27"/>
  <c r="I131" i="27"/>
  <c r="J131" i="27"/>
  <c r="A132" i="27"/>
  <c r="B132" i="27"/>
  <c r="I132" i="27"/>
  <c r="J132" i="27"/>
  <c r="A133" i="27"/>
  <c r="B133" i="27"/>
  <c r="I133" i="27"/>
  <c r="J133" i="27"/>
  <c r="A134" i="27"/>
  <c r="B134" i="27"/>
  <c r="I134" i="27"/>
  <c r="J134" i="27"/>
  <c r="A135" i="27"/>
  <c r="B135" i="27"/>
  <c r="I135" i="27"/>
  <c r="J135" i="27"/>
  <c r="A136" i="27"/>
  <c r="B136" i="27"/>
  <c r="I136" i="27"/>
  <c r="J136" i="27"/>
  <c r="A137" i="27"/>
  <c r="B137" i="27"/>
  <c r="I137" i="27"/>
  <c r="J137" i="27"/>
  <c r="A138" i="27"/>
  <c r="B138" i="27"/>
  <c r="I138" i="27"/>
  <c r="J138" i="27"/>
  <c r="A139" i="27"/>
  <c r="B139" i="27"/>
  <c r="I139" i="27"/>
  <c r="J139" i="27"/>
  <c r="A140" i="27"/>
  <c r="B140" i="27"/>
  <c r="I140" i="27"/>
  <c r="J140" i="27"/>
  <c r="A141" i="27"/>
  <c r="B141" i="27"/>
  <c r="I141" i="27"/>
  <c r="J141" i="27"/>
  <c r="A142" i="27"/>
  <c r="B142" i="27"/>
  <c r="I142" i="27"/>
  <c r="J142" i="27"/>
  <c r="A143" i="27"/>
  <c r="B143" i="27"/>
  <c r="I143" i="27"/>
  <c r="J143" i="27"/>
  <c r="A144" i="27"/>
  <c r="B144" i="27"/>
  <c r="I144" i="27"/>
  <c r="J144" i="27"/>
  <c r="A145" i="27"/>
  <c r="B145" i="27"/>
  <c r="I145" i="27"/>
  <c r="J145" i="27"/>
  <c r="A146" i="27"/>
  <c r="B146" i="27"/>
  <c r="I146" i="27"/>
  <c r="J146" i="27"/>
  <c r="A147" i="27"/>
  <c r="B147" i="27"/>
  <c r="I147" i="27"/>
  <c r="J147" i="27"/>
  <c r="A148" i="27"/>
  <c r="B148" i="27"/>
  <c r="I148" i="27"/>
  <c r="J148" i="27"/>
  <c r="A149" i="27"/>
  <c r="B149" i="27"/>
  <c r="I149" i="27"/>
  <c r="J149" i="27"/>
  <c r="A150" i="27"/>
  <c r="B150" i="27"/>
  <c r="I150" i="27"/>
  <c r="J150" i="27"/>
  <c r="A151" i="27"/>
  <c r="B151" i="27"/>
  <c r="I151" i="27"/>
  <c r="J151" i="27"/>
  <c r="A152" i="27"/>
  <c r="B152" i="27"/>
  <c r="I152" i="27"/>
  <c r="J152" i="27"/>
  <c r="A153" i="27"/>
  <c r="E153" i="27" s="1"/>
  <c r="B153" i="27"/>
  <c r="I153" i="27"/>
  <c r="J153" i="27"/>
  <c r="A154" i="27"/>
  <c r="B154" i="27"/>
  <c r="I154" i="27"/>
  <c r="J154" i="27"/>
  <c r="A155" i="27"/>
  <c r="B155" i="27"/>
  <c r="I155" i="27"/>
  <c r="J155" i="27"/>
  <c r="A156" i="27"/>
  <c r="B156" i="27"/>
  <c r="I156" i="27"/>
  <c r="J156" i="27"/>
  <c r="A157" i="27"/>
  <c r="B157" i="27"/>
  <c r="I157" i="27"/>
  <c r="J157" i="27"/>
  <c r="A158" i="27"/>
  <c r="B158" i="27"/>
  <c r="I158" i="27"/>
  <c r="J158" i="27"/>
  <c r="A159" i="27"/>
  <c r="B159" i="27"/>
  <c r="I159" i="27"/>
  <c r="J159" i="27"/>
  <c r="A160" i="27"/>
  <c r="B160" i="27"/>
  <c r="I160" i="27"/>
  <c r="J160" i="27"/>
  <c r="A161" i="27"/>
  <c r="B161" i="27"/>
  <c r="I161" i="27"/>
  <c r="J161" i="27"/>
  <c r="A162" i="27"/>
  <c r="B162" i="27"/>
  <c r="I162" i="27"/>
  <c r="J162" i="27"/>
  <c r="A163" i="27"/>
  <c r="B163" i="27"/>
  <c r="I163" i="27"/>
  <c r="J163" i="27"/>
  <c r="A164" i="27"/>
  <c r="B164" i="27"/>
  <c r="I164" i="27"/>
  <c r="J164" i="27"/>
  <c r="A165" i="27"/>
  <c r="B165" i="27"/>
  <c r="I165" i="27"/>
  <c r="J165" i="27"/>
  <c r="A166" i="27"/>
  <c r="B166" i="27"/>
  <c r="I166" i="27"/>
  <c r="J166" i="27"/>
  <c r="A167" i="27"/>
  <c r="B167" i="27"/>
  <c r="I167" i="27"/>
  <c r="J167" i="27"/>
  <c r="A168" i="27"/>
  <c r="B168" i="27"/>
  <c r="I168" i="27"/>
  <c r="J168" i="27"/>
  <c r="A169" i="27"/>
  <c r="B169" i="27"/>
  <c r="I169" i="27"/>
  <c r="J169" i="27"/>
  <c r="A170" i="27"/>
  <c r="B170" i="27"/>
  <c r="I170" i="27"/>
  <c r="J170" i="27"/>
  <c r="A171" i="27"/>
  <c r="B171" i="27"/>
  <c r="I171" i="27"/>
  <c r="J171" i="27"/>
  <c r="A172" i="27"/>
  <c r="B172" i="27"/>
  <c r="I172" i="27"/>
  <c r="J172" i="27"/>
  <c r="A173" i="27"/>
  <c r="B173" i="27"/>
  <c r="I173" i="27"/>
  <c r="J173" i="27"/>
  <c r="A174" i="27"/>
  <c r="B174" i="27"/>
  <c r="I174" i="27"/>
  <c r="J174" i="27"/>
  <c r="A175" i="27"/>
  <c r="B175" i="27"/>
  <c r="I175" i="27"/>
  <c r="J175" i="27"/>
  <c r="A176" i="27"/>
  <c r="B176" i="27"/>
  <c r="I176" i="27"/>
  <c r="J176" i="27"/>
  <c r="A177" i="27"/>
  <c r="B177" i="27"/>
  <c r="I177" i="27"/>
  <c r="J177" i="27"/>
  <c r="A178" i="27"/>
  <c r="B178" i="27"/>
  <c r="I178" i="27"/>
  <c r="J178" i="27"/>
  <c r="A179" i="27"/>
  <c r="B179" i="27"/>
  <c r="I179" i="27"/>
  <c r="J179" i="27"/>
  <c r="A180" i="27"/>
  <c r="B180" i="27"/>
  <c r="I180" i="27"/>
  <c r="J180" i="27"/>
  <c r="A181" i="27"/>
  <c r="B181" i="27"/>
  <c r="I181" i="27"/>
  <c r="J181" i="27"/>
  <c r="A182" i="27"/>
  <c r="B182" i="27"/>
  <c r="I182" i="27"/>
  <c r="J182" i="27"/>
  <c r="A3" i="27"/>
  <c r="B3" i="27"/>
  <c r="I3" i="27"/>
  <c r="J3" i="27"/>
  <c r="A4" i="27"/>
  <c r="B4" i="27"/>
  <c r="I4" i="27"/>
  <c r="J4" i="27"/>
  <c r="A5" i="27"/>
  <c r="B5" i="27"/>
  <c r="I5" i="27"/>
  <c r="J5" i="27"/>
  <c r="A6" i="27"/>
  <c r="B6" i="27"/>
  <c r="I6" i="27"/>
  <c r="J6" i="27"/>
  <c r="A7" i="27"/>
  <c r="B7" i="27"/>
  <c r="I7" i="27"/>
  <c r="J7" i="27"/>
  <c r="J2" i="27"/>
  <c r="I2" i="27"/>
  <c r="D2" i="27"/>
  <c r="B2" i="27"/>
  <c r="A2" i="27"/>
  <c r="C101" i="27"/>
  <c r="C125" i="27"/>
  <c r="C80" i="27"/>
  <c r="C69" i="27"/>
  <c r="C58" i="27"/>
  <c r="C171" i="27"/>
  <c r="C156" i="27"/>
  <c r="C169" i="27"/>
  <c r="C124" i="27"/>
  <c r="C72" i="27"/>
  <c r="C83" i="27"/>
  <c r="C3" i="27"/>
  <c r="C172" i="27"/>
  <c r="C47" i="27"/>
  <c r="C34" i="27"/>
  <c r="C154" i="27"/>
  <c r="C89" i="27"/>
  <c r="C157" i="27"/>
  <c r="C71" i="27"/>
  <c r="C106" i="27"/>
  <c r="C140" i="27"/>
  <c r="C164" i="27"/>
  <c r="C94" i="27"/>
  <c r="C7" i="27"/>
  <c r="C167" i="27"/>
  <c r="C118" i="27"/>
  <c r="C109" i="27"/>
  <c r="C42" i="27"/>
  <c r="C146" i="27"/>
  <c r="C187" i="27"/>
  <c r="C77" i="27"/>
  <c r="C133" i="27"/>
  <c r="C43" i="27"/>
  <c r="C103" i="27"/>
  <c r="C24" i="27"/>
  <c r="C6" i="27"/>
  <c r="C13" i="27"/>
  <c r="C40" i="27"/>
  <c r="C12" i="27"/>
  <c r="C177" i="27"/>
  <c r="C91" i="27"/>
  <c r="C158" i="27"/>
  <c r="C78" i="27"/>
  <c r="C93" i="27"/>
  <c r="C84" i="27"/>
  <c r="C129" i="27"/>
  <c r="C92" i="27"/>
  <c r="C45" i="27"/>
  <c r="C185" i="27"/>
  <c r="C4" i="27"/>
  <c r="C152" i="27"/>
  <c r="C121" i="27"/>
  <c r="C173" i="27"/>
  <c r="C82" i="27"/>
  <c r="C181" i="27"/>
  <c r="C36" i="27"/>
  <c r="C174" i="27"/>
  <c r="C119" i="27"/>
  <c r="C139" i="27"/>
  <c r="C61" i="27"/>
  <c r="C102" i="27"/>
  <c r="C66" i="27"/>
  <c r="C100" i="27"/>
  <c r="C128" i="27"/>
  <c r="C115" i="27"/>
  <c r="C28" i="27"/>
  <c r="C108" i="27"/>
  <c r="C135" i="27"/>
  <c r="C132" i="27"/>
  <c r="C14" i="27"/>
  <c r="C64" i="27"/>
  <c r="C188" i="27"/>
  <c r="C111" i="27"/>
  <c r="C85" i="27"/>
  <c r="C97" i="27"/>
  <c r="C68" i="27"/>
  <c r="C49" i="27"/>
  <c r="C159" i="27"/>
  <c r="C50" i="27"/>
  <c r="C29" i="27"/>
  <c r="C130" i="27"/>
  <c r="C161" i="27"/>
  <c r="C86" i="27"/>
  <c r="C79" i="27"/>
  <c r="C75" i="27"/>
  <c r="C151" i="27"/>
  <c r="C107" i="27"/>
  <c r="C23" i="27"/>
  <c r="C10" i="27"/>
  <c r="C59" i="27"/>
  <c r="C11" i="27"/>
  <c r="C116" i="27"/>
  <c r="C137" i="27"/>
  <c r="C46" i="27"/>
  <c r="C104" i="27"/>
  <c r="C90" i="27"/>
  <c r="C134" i="27"/>
  <c r="C145" i="27"/>
  <c r="C127" i="27"/>
  <c r="C142" i="27"/>
  <c r="C44" i="27"/>
  <c r="C37" i="27"/>
  <c r="C57" i="27"/>
  <c r="C33" i="27"/>
  <c r="C38" i="27"/>
  <c r="C56" i="27"/>
  <c r="C141" i="27"/>
  <c r="C178" i="27"/>
  <c r="C170" i="27"/>
  <c r="C21" i="27"/>
  <c r="C16" i="27"/>
  <c r="C52" i="27"/>
  <c r="C114" i="27"/>
  <c r="C31" i="27"/>
  <c r="C155" i="27"/>
  <c r="C184" i="27"/>
  <c r="C22" i="27"/>
  <c r="C35" i="27"/>
  <c r="C122" i="27"/>
  <c r="C54" i="27"/>
  <c r="C162" i="27"/>
  <c r="C96" i="27"/>
  <c r="C148" i="27"/>
  <c r="C99" i="27"/>
  <c r="C160" i="27"/>
  <c r="C41" i="27"/>
  <c r="C27" i="27"/>
  <c r="C74" i="27"/>
  <c r="C70" i="27"/>
  <c r="C25" i="27"/>
  <c r="C65" i="27"/>
  <c r="C165" i="27"/>
  <c r="C117" i="27"/>
  <c r="C163" i="27"/>
  <c r="C186" i="27"/>
  <c r="C179" i="27"/>
  <c r="C166" i="27"/>
  <c r="C51" i="27"/>
  <c r="C168" i="27"/>
  <c r="C9" i="27"/>
  <c r="C110" i="27"/>
  <c r="C60" i="27"/>
  <c r="C5" i="27"/>
  <c r="C136" i="27"/>
  <c r="C113" i="27"/>
  <c r="C138" i="27"/>
  <c r="C98" i="27"/>
  <c r="C26" i="27"/>
  <c r="C149" i="27"/>
  <c r="C63" i="27"/>
  <c r="C17" i="27"/>
  <c r="C131" i="27"/>
  <c r="C176" i="27"/>
  <c r="C183" i="27"/>
  <c r="C32" i="27"/>
  <c r="C30" i="27"/>
  <c r="C120" i="27"/>
  <c r="C112" i="27"/>
  <c r="C76" i="27"/>
  <c r="C39" i="27"/>
  <c r="C81" i="27"/>
  <c r="C20" i="27"/>
  <c r="C189" i="27"/>
  <c r="C144" i="27"/>
  <c r="C73" i="27"/>
  <c r="C95" i="27"/>
  <c r="C55" i="27"/>
  <c r="C48" i="27"/>
  <c r="C143" i="27"/>
  <c r="C180" i="27"/>
  <c r="C153" i="27"/>
  <c r="C19" i="27"/>
  <c r="C123" i="27"/>
  <c r="C8" i="27"/>
  <c r="C62" i="27"/>
  <c r="C175" i="27"/>
  <c r="C147" i="27"/>
  <c r="C105" i="27"/>
  <c r="C150" i="27"/>
  <c r="C2" i="27"/>
  <c r="C87" i="27"/>
  <c r="C15" i="27"/>
  <c r="C18" i="27"/>
  <c r="C1" i="27"/>
  <c r="C67" i="27"/>
  <c r="C88" i="27"/>
  <c r="C53" i="27"/>
  <c r="C182" i="27"/>
  <c r="C126" i="27"/>
  <c r="D1" i="28"/>
</calcChain>
</file>

<file path=xl/sharedStrings.xml><?xml version="1.0" encoding="utf-8"?>
<sst xmlns="http://schemas.openxmlformats.org/spreadsheetml/2006/main" count="30051" uniqueCount="4197">
  <si>
    <t>Document Title</t>
  </si>
  <si>
    <t>Document Number</t>
  </si>
  <si>
    <t>Document Date</t>
  </si>
  <si>
    <t>Document Author</t>
  </si>
  <si>
    <t>Document Revision</t>
  </si>
  <si>
    <t>Document Security Level</t>
  </si>
  <si>
    <t>Revision History</t>
  </si>
  <si>
    <t>ARRIS Internal</t>
  </si>
  <si>
    <t>Type</t>
  </si>
  <si>
    <t>The product shall display success/failure feedback to the end user as a result of network entry attempts.</t>
  </si>
  <si>
    <t>The product SHALL select the first audio component listed in the PMT if there is no audio component that matches the preferred language.</t>
  </si>
  <si>
    <t>The product SHALL support audio services regardless of whether a video component is present. (tags: audio only, music channel )</t>
  </si>
  <si>
    <t>The product SHALL provide an API that allows the application to enable/disable the Wi-Fi Radio.</t>
  </si>
  <si>
    <t>The product SHALL provide an API that allows the application to read the Wi-Fi Wireless Interface MAC address.</t>
  </si>
  <si>
    <t>The product shall store wireless configuration parameters in non-volatile memory.</t>
  </si>
  <si>
    <t>The product shall be capable of supporting WPA and WPA2 encryption.</t>
  </si>
  <si>
    <t>The product shall support traffic prioritization based on Wi-Fi WMM to allow prioritization of video signaling &amp; traffic as well as control traffic.</t>
  </si>
  <si>
    <t>The product shall include an 802.11 wireless interface compliant with [80211ac].</t>
  </si>
  <si>
    <t>Wi-Fi</t>
  </si>
  <si>
    <t>The product SHALL make Private Keys inaccessible on user accessible busses.</t>
  </si>
  <si>
    <t>The product SHALL delete any current non-slotted text messages upon discontinuation of the service (for example, channel change).</t>
  </si>
  <si>
    <t>The product SHALL discontinue displaying a non-slotted text message at the request of application software.</t>
  </si>
  <si>
    <t>The product SHALL discontinue displaying a non-slotted text message if the product's current state no longer matches the Decoder Condition.</t>
  </si>
  <si>
    <t>The product SHALL discontinue displaying a non-slotted text message if the display duration given in the non-slotted text message is exceeded.</t>
  </si>
  <si>
    <t>The product SHALL support preamble "bought" state evaluation in the Non-Slotted message.  Note, the non-slotted text messages always include the bought state for evaluation.</t>
  </si>
  <si>
    <t>The product SHALL support preamble "circle_test" (a.k.a. "Postal") state evaluation in the Non-Slotted message.  Note, the preamble may include zero, one, or more circle_match states.</t>
  </si>
  <si>
    <t>The product SHALL support preamble "tier_match" state evaluation in the Non-Slotted message.  Note, the preamble may include zero, one, or more tier_match states.</t>
  </si>
  <si>
    <t>The product SHALL use the ROM resident VCT containing the Satellite Virtual Channels until updated by valid VCT messages.</t>
  </si>
  <si>
    <t>The product shall decode Verimatrix streams encrypted with AES using hardware accelerated decryption.</t>
  </si>
  <si>
    <t>The product SHALL support decryption of HLS streaming content that is protected under Verimatrix DRM.</t>
  </si>
  <si>
    <t>The product SHALL comply with the consumer IRD applicable requirements in 486998-001, the "DigiCipher II ROM Patch Code Download Specification."</t>
  </si>
  <si>
    <t>The product SHALL blackout the service if spotbeam blackouts are enabled AND the product is outside all of the service's spotbeam blackout regions.</t>
  </si>
  <si>
    <t>The product SHALL blackout the service if circular blackouts are enabled AND the product is within at least one of the service's circular blackout regions.</t>
  </si>
  <si>
    <t>The product SHALL mute all components of the service if service is blacked out for the product's region.</t>
  </si>
  <si>
    <t>The product SHALL render the internet video content in accordance with any scaling requested by the Application, provided the requested scaling is feasible under hardware support.</t>
  </si>
  <si>
    <t>The product SHALL comply with the CSS command definitions in CENELEC [EN50494 - 1]. Note, this requirement does not imply compliance with the examples or command sequences described in the above standards.</t>
  </si>
  <si>
    <t>The product SHALL follow the normal audio language selection requirements IF Descriptive Video Service is disabled.</t>
  </si>
  <si>
    <t>The product SHALL play the content of the first audio component listed in the Service Map Message that matches the "frm" ISO639 language code IF  Descriptive Video Service is enabled AND "French" is the language preference.</t>
  </si>
  <si>
    <t>The product SHALL play the content of the first audio component listed in the Service Map Message that matches the "enm" ISO639 language code IF Descriptive Video Service is enabled AND "English" is the language preference.</t>
  </si>
  <si>
    <t>The product SHALL disable Descriptive Video Service when a factory reset is invoked.</t>
  </si>
  <si>
    <t>The product SHALL allow the user to enable and disable Descriptive Video Service (a.k.a., "Visually Impaired service").</t>
  </si>
  <si>
    <t>The product SHALL support HEVC video decode.</t>
  </si>
  <si>
    <t>MPEG-4 AVC Video Decode</t>
  </si>
  <si>
    <t>The product SHALL support MPEG-2 (MP@HL) video decode.</t>
  </si>
  <si>
    <t>The product SHALL be capable of generating and compositing a graphic surface with maximum horizontal resolution of 1920 pixels and maximum vertical resolution of 1080 pixels.</t>
  </si>
  <si>
    <t>Stretch and Zoom Control</t>
  </si>
  <si>
    <t>The product SHALL be capable of setting the location of the PIG video service under control of the platform software.</t>
  </si>
  <si>
    <t>The product SHALL be capable of setting the scaling factor of the PIG video service under control of the platform software.</t>
  </si>
  <si>
    <t>The product SHALL be capable of non-linear scaling to provide full screen display of 4:3 content on 16:9 TVs.</t>
  </si>
  <si>
    <t>The product SHALL be capable of placing the scaled video service at any location on the visible display surface such that no portion of the scaled video service is located outside of the visible display region.</t>
  </si>
  <si>
    <t>The product SHALL be capable of altering the native aspect ratio of the scaled video service being displayed.</t>
  </si>
  <si>
    <t>The product SHALL be capable of maintaining the native aspect ratio of the scaled video service being displayed.</t>
  </si>
  <si>
    <t>The product SHALL support scaling video in a minimum of 1/32 increments for Picture in Graphics.</t>
  </si>
  <si>
    <t>Picture in Graphics (PIG)</t>
  </si>
  <si>
    <t>Video Control</t>
  </si>
  <si>
    <t>The product SHALL support IP Rights Management (IPRM) for content protection.</t>
  </si>
  <si>
    <t>The product SHALL support pass-through of CGMS-A data encoded as per [CEA 608D - 1] and transported as per [SCTE DVS 683 - 1] of a digital MPEG-4 AVC video service to the NTSC analog video outputs of the product.</t>
  </si>
  <si>
    <t>The product SHALL support pass-through of CGMS-A data encoded as per [CEA-608D - 1] and transported as per [SCTE-20] and/or [SCTE-21] of a digital MP@HL MPEG-2 video service to the NTSC analog video outputs of the product.</t>
  </si>
  <si>
    <t xml:space="preserve">The product SHALL be capable of recording variable bit rate encoded and constant bit rate encoded digital AV streams. </t>
  </si>
  <si>
    <t xml:space="preserve">The product SHALL be capable of recording all audio, video, and data components (identified via PIDs associated with the PMT) of a target HEVC program being recorded as directed by platform software.  </t>
  </si>
  <si>
    <t xml:space="preserve">The product SHALL be capable of recording all audio, video, and data components (identified via PIDs associated with the PMT) of a target MPEG-4 program being recorded as directed by platform software.  </t>
  </si>
  <si>
    <t xml:space="preserve">The product SHALL be capable of recording all audio, video, and data components (identified via PIDs associated with the PMT) of a target MPEG-2 program being recorded as directed by platform software.  </t>
  </si>
  <si>
    <t>The product SHALL support recording up to (2) HD streams simultaneously to the hard disk drive.</t>
  </si>
  <si>
    <t>The product SHALL be capable of decoding Dolby Digital Plus to 2-channel (left/right) LPCM for the digital audio outputs (SPDIF and HDMI) while simultaneously providing downmixed 2-channel (left/right) Dolby surround audio on the analog audio outputs.</t>
  </si>
  <si>
    <t>The product SHALL be capable of decoding Dolby Digital Plus audio streams with sample rates of 44.1 kHz and 48 kHz.</t>
  </si>
  <si>
    <t>The product SHALL support Dolby Digital Plus audio decode.</t>
  </si>
  <si>
    <t>The product SHALL decode and map a single (mono) channel Dolby Digital source to both left and right output channels.</t>
  </si>
  <si>
    <t>The product SHALL support decoding Dolby Digital audio to 2 channel (left/right) LPCM for the digital audio outputs (SPDIF and HDMI) simultaneously with 2 channel (left/right) analog audio outputs.</t>
  </si>
  <si>
    <t>The product SHALL support passing Dolby Digital audio to the digital audio outputs (SPDIF and HDMI) while simultaneously providing 2 channel (left/right) analog audio outputs.</t>
  </si>
  <si>
    <t>The product SHALL support sample rates of 44.1 kHz and 48 kHz for Dolby Digital decode.</t>
  </si>
  <si>
    <t>The product SHALL support Dolby Digital audio decode.</t>
  </si>
  <si>
    <t>Dolby Digital Audio Decode</t>
  </si>
  <si>
    <t>The MPEG-4 HE AAC Decoding SHALL support the following sample rates: 16, 32, 44.1 and 48kHz.</t>
  </si>
  <si>
    <t>The product SHALL have MPEG-4 HE AAC audio decoding capability that supports CBR and VBR encoded content with bitrates from 16 kbps per channel up to 288 kbps per channel.</t>
  </si>
  <si>
    <t>The product SHALL support MPEG-4 HE AAC (AAC+) audio decode.</t>
  </si>
  <si>
    <t>MPEG-2,4 HE-AAC Audio Decode</t>
  </si>
  <si>
    <t>The MPEG-2 / MPEG-4 AAC-LC Decoding SHALL support the following sample rates: 8, 16, 32, 44.1 and 48 kHz.</t>
  </si>
  <si>
    <t>The product SHALL have MPEG-2 / MPEG-4 AAC-LC audio decoding capability that supports CBR and VBR encoded content with bitrates from 16 kbps up to 256 kbps.</t>
  </si>
  <si>
    <t>The product SHALL support MPEG-2,4 AAC-LC audio decode.</t>
  </si>
  <si>
    <t>MPEG-2,4 AAC-LC Audio Decode</t>
  </si>
  <si>
    <t>The product SHALL support decoding MP3 audio to two channel (left/right) LPCM output to the digital audio outputs (SPDIF and HDMI) simultaneously with two channel (left/right) analog audio output.</t>
  </si>
  <si>
    <t>The MP3 Audio Decode SHALL support bitstreams containing mono, stereo, and two independent audio channels.</t>
  </si>
  <si>
    <t>The MP3 Audio Decoding SHALL support CBR and VBR encoding with bitrates from 32 kbps up to 320 kbps.</t>
  </si>
  <si>
    <t>The product SHALL support MPEG-1,2 Layer 3 (MP3) audio decode.</t>
  </si>
  <si>
    <t>MPEG-1,2 Layer III (MP3) Audio Decode</t>
  </si>
  <si>
    <t>The product SHALL be capable of the following QPSK symbol and code rate combination: 19.51 Msps symbol rate, 3/4 code rate, combined mode.</t>
  </si>
  <si>
    <t xml:space="preserve">The product SHALL be capable of QPSK demodulation and error correction. </t>
  </si>
  <si>
    <t>The product SHALL be capable of the following 8-PSK symbol and code rate combination: 22.00 Msps symbol rate, 3/4 code rate, 2.11 bps payload</t>
  </si>
  <si>
    <t>The product SHALL be capable of the following 8-PSK symbol and code rate combination: 22.00 Msps symbol rate, 3/4 code rate, 2.05 bps payload</t>
  </si>
  <si>
    <t>The product SHALL be capable of the following 8-PSK symbol and code rate combination: 22.00 Msps symbol rate, 2/3 code rate, 1.92 bps payload</t>
  </si>
  <si>
    <t>The product SHALL be capable of the following 8-PSK symbol and code rate combination: 21.00 Msps symbol rate, 3/4 code rate, 2.11 bps payload</t>
  </si>
  <si>
    <t>The product SHALL be capable of the following 8-PSK symbol and code rate combination: 20.50 Msps symbol rate, 2/3 code rate, 1.92 bps payload</t>
  </si>
  <si>
    <t xml:space="preserve">The product SHALL be capable of 8PSK demodulation and error correction. </t>
  </si>
  <si>
    <t>Tuning and Demodulation</t>
  </si>
  <si>
    <t>Serial Port</t>
  </si>
  <si>
    <t>External Hard Disk Drive</t>
  </si>
  <si>
    <t>Internal Hard Disk Drive</t>
  </si>
  <si>
    <t>[HDMI]  "High Definition Multimedia Interface Specification v 1.4b," HDMI Licensing LLC, November 2011</t>
  </si>
  <si>
    <t>[CEA-805 - 2]  "Data Services on the Component Video Interfaces," Consumer Electronics Association, Revision B, August 2005</t>
  </si>
  <si>
    <t xml:space="preserve">Industry Standards and Specifications </t>
  </si>
  <si>
    <t>CRR: Computer Resources Requirements</t>
  </si>
  <si>
    <t>TST: Testing Requirements</t>
  </si>
  <si>
    <t>REG: Statutory and Regulatory Requirements</t>
  </si>
  <si>
    <t>SES: Safety, Environmental, Sustainability, and Security Requirements</t>
  </si>
  <si>
    <t>QRR: Quality and Reliability Requirements</t>
  </si>
  <si>
    <t>IUM: Manufacturability, Installability, Usability, Interoperability, and Maintainability Requirements</t>
  </si>
  <si>
    <t>BOU: Business, Organizational, and User Requirements</t>
  </si>
  <si>
    <t>FPR: Functional and Performance Requirements</t>
  </si>
  <si>
    <t>RAM:  Random Access Memory</t>
  </si>
  <si>
    <t>PID: Packet Identifier</t>
  </si>
  <si>
    <t>MSP: Message Stream Protocol</t>
  </si>
  <si>
    <t>MPEG: Moving Picture Experts Group</t>
  </si>
  <si>
    <t>kbps: Kilobits Per Second</t>
  </si>
  <si>
    <t>HDTV: High Definition Television</t>
  </si>
  <si>
    <t>HDD: Hard Disk Drive</t>
  </si>
  <si>
    <t>HDCP: High-Bandwidth Digital Content Protection</t>
  </si>
  <si>
    <t>DVR: Digital Video Recorder</t>
  </si>
  <si>
    <t>DRAM:  Dynamic Random Access Memory</t>
  </si>
  <si>
    <t>General</t>
  </si>
  <si>
    <t>Technical Requirements (TRs)</t>
  </si>
  <si>
    <t>The product SHALL provide an inter-process communication (IPC) mechanism to decouple the Shaw Direct HD Guide application and ARRIS Neptune middleware.</t>
  </si>
  <si>
    <t>There should be 30 days mean time between reboots (MTBR) running Arris’ standard stability rack test.</t>
  </si>
  <si>
    <t>Notes</t>
  </si>
  <si>
    <t>Feature Requirements (FRs)</t>
  </si>
  <si>
    <t>FR-DSRSW-1481</t>
  </si>
  <si>
    <t>FR-DSRSW-1483</t>
  </si>
  <si>
    <t>FR-DSRSW-1484</t>
  </si>
  <si>
    <t>FR-DSRSW-1492</t>
  </si>
  <si>
    <t>FR-DSRSW-1494</t>
  </si>
  <si>
    <t>Startup</t>
  </si>
  <si>
    <t>DVR</t>
  </si>
  <si>
    <t>Req</t>
  </si>
  <si>
    <t>x.1</t>
  </si>
  <si>
    <t>Object Identifier</t>
  </si>
  <si>
    <t>Object Level</t>
  </si>
  <si>
    <t>Release</t>
  </si>
  <si>
    <t>In-links (All open modules)</t>
  </si>
  <si>
    <t>FR-DSRSW-1282</t>
  </si>
  <si>
    <t xml:space="preserve">Acronyms </t>
  </si>
  <si>
    <t>Com</t>
  </si>
  <si>
    <t>Jenner
Adara 1.0</t>
  </si>
  <si>
    <t>FR-DSRSW-1283</t>
  </si>
  <si>
    <t xml:space="preserve">General </t>
  </si>
  <si>
    <t>FR-DSRSW-1284</t>
  </si>
  <si>
    <t>CSS: (context: Satellite Signal Reception) Channel Stacking Switch</t>
  </si>
  <si>
    <t>FR-DSRSW-1285</t>
  </si>
  <si>
    <t>FR-DSRSW-1286</t>
  </si>
  <si>
    <t>DVI: Digital Visual Interface</t>
  </si>
  <si>
    <t>FR-DSRSW-1287</t>
  </si>
  <si>
    <t>FR-DSRSW-1288</t>
  </si>
  <si>
    <t>EPG:  Electronic Program Guide</t>
  </si>
  <si>
    <t>FR-DSRSW-1289</t>
  </si>
  <si>
    <t>FR-DSRSW-1290</t>
  </si>
  <si>
    <t>FR-DSRSW-1291</t>
  </si>
  <si>
    <t>FR-DSRSW-1292</t>
  </si>
  <si>
    <t>FR-DSRSW-1293</t>
  </si>
  <si>
    <t>FR-DSRSW-1294</t>
  </si>
  <si>
    <t>FR-DSRSW-1295</t>
  </si>
  <si>
    <t>ODU: (context: Satellite Signal Reception) Out-door Unit</t>
  </si>
  <si>
    <t>FR-DSRSW-1296</t>
  </si>
  <si>
    <t>FR-DSRSW-1297</t>
  </si>
  <si>
    <t>FR-DSRSW-1298</t>
  </si>
  <si>
    <t>SCIF: Single Cable Interface</t>
  </si>
  <si>
    <t>FR-DSRSW-1299</t>
  </si>
  <si>
    <t>STB:  Set-Top Box</t>
  </si>
  <si>
    <t>FR-DSRSW-1300</t>
  </si>
  <si>
    <t>SCIF: User Band</t>
  </si>
  <si>
    <t>FR-DSRSW-1301</t>
  </si>
  <si>
    <t xml:space="preserve">TL9000 Requirement Category Acronyms </t>
  </si>
  <si>
    <t>FR-DSRSW-1302</t>
  </si>
  <si>
    <t>FR-DSRSW-1303</t>
  </si>
  <si>
    <t>FR-DSRSW-1304</t>
  </si>
  <si>
    <t>FR-DSRSW-1305</t>
  </si>
  <si>
    <t>FR-DSRSW-1306</t>
  </si>
  <si>
    <t>FR-DSRSW-1307</t>
  </si>
  <si>
    <t>FR-DSRSW-1308</t>
  </si>
  <si>
    <t>FR-DSRSW-1309</t>
  </si>
  <si>
    <t>FR-DSRSW-1310</t>
  </si>
  <si>
    <t>FR-DSRSW-1311</t>
  </si>
  <si>
    <t>[CEA 608B - 1]  "Line 21 Data Service," Consumer Electronics Association CEA-608 Revision B, December 2000</t>
  </si>
  <si>
    <t>FR-DSRSW-1312</t>
  </si>
  <si>
    <t>[CEA 608C - 1]  "Line 21 Data Service," Consumer Electronics Association CEA-608 Revision C, August 2005</t>
  </si>
  <si>
    <t>FR-DSRSW-1313</t>
  </si>
  <si>
    <t>FR-DSRSW-1314</t>
  </si>
  <si>
    <t>[EN 50494 - 1] "Satellite signal distribution over a single coaxial cable in single dwelling installations", CENELEC EN 50494:2007,, March 2007</t>
  </si>
  <si>
    <t>FR-DSRSW-1315</t>
  </si>
  <si>
    <t>[HDCP - 0]  "High-Bandwidth Digital Content Protection System v 1.0," Digital Content Protection LLC, February 2000</t>
  </si>
  <si>
    <t>FR-DSRSW-1316</t>
  </si>
  <si>
    <t>FR-DSRSW-1317</t>
  </si>
  <si>
    <t>[ISO 13818-1 - 1]  "Information technology - Generic coding of moving pictures and associated audio (MPEG): Systems," International Standard ISO/IEC 13818-1, 1 March 2002</t>
  </si>
  <si>
    <t>FR-DSRSW-1318</t>
  </si>
  <si>
    <t>[JPEG - 1]  "ISO/IEC 10918-1 ITU-T Recommendation T.81 -- Information Technology, -Digital Compression and Coding Of Continuous-Tone Still Images, Requirements and Guidelines", 1994</t>
  </si>
  <si>
    <t>FR-DSRSW-1319</t>
  </si>
  <si>
    <t>[SCTE 20 - 1]  "Method for Carriage of Closed Captions and Non-Real Time Sampled Video," American National Standards Institute ANSI/SCTE 20 2004</t>
  </si>
  <si>
    <t>FR-DSRSW-1320</t>
  </si>
  <si>
    <t>[SCTE 21 - 1]  "Standard for Carriage of NTSC VBI Data in Cable Digital Transport Streams," American National Standards Institute ANSI/SCTE 21 2001</t>
  </si>
  <si>
    <t>FR-DSRSW-1321</t>
  </si>
  <si>
    <t>[VESA E-EDID - 1] "Enhanced Extended Display Identification Data Standard (E-EDID)," VESA-2006-9 Release A, 2.0, Video Electronics Standards Association, September 2006</t>
  </si>
  <si>
    <t>FR-DSRSW-1322</t>
  </si>
  <si>
    <t xml:space="preserve">ARRIS Internal Document References </t>
  </si>
  <si>
    <t>FR-DSRSW-1323</t>
  </si>
  <si>
    <t>[MOT DCII MSP-1]  "Digicipher II Message Stream Protocol", Motorola DCII-093-043 Rev 1.12, 31 July 2001</t>
  </si>
  <si>
    <t>FR-DSRSW-1324</t>
  </si>
  <si>
    <t>[MOT DCII ACP-1] "Digicipher II Access Control Message Stream Protocol", 486835-001 Rev B, 11/292004</t>
  </si>
  <si>
    <t>FR-DSRSW-1326</t>
  </si>
  <si>
    <t>[MOT DSR DIAG-1]  "DSR 5XX/3XX Diagnostic Reference", Motorola 365-095-07152 Rev. X.18, 28 Sep, 2010</t>
  </si>
  <si>
    <t>FR-DSRSW-1493</t>
  </si>
  <si>
    <t>Hardware Platform Support</t>
  </si>
  <si>
    <t xml:space="preserve">TR-DSRSW-2154 Hardware Platform Support </t>
  </si>
  <si>
    <t>FR-DSRSW-1457</t>
  </si>
  <si>
    <t>Adara 1.0</t>
  </si>
  <si>
    <t>FR-DSRSW-1458</t>
  </si>
  <si>
    <t>The product SHALL support executing on DSR830 hardware platform.</t>
  </si>
  <si>
    <t>TR-DSRSW-2150  The product SHALL run on the DSR830 hardware platform</t>
  </si>
  <si>
    <t>FR-DSRSW-1468</t>
  </si>
  <si>
    <t>Flash Storage of Platform Software</t>
  </si>
  <si>
    <t>FR-DSRSW-1331</t>
  </si>
  <si>
    <t>The product SHALL maintain the last known good platform software.</t>
  </si>
  <si>
    <t>FR-DSRSW-1499</t>
  </si>
  <si>
    <t>OS</t>
  </si>
  <si>
    <t xml:space="preserve">TR-DSRSW-2207 Operating System </t>
  </si>
  <si>
    <t>FR-DSRSW-1465</t>
  </si>
  <si>
    <t>The product SHALL support the Linux operating system.</t>
  </si>
  <si>
    <t>TR-DSRSW-2207 Operating System 
TR-DSRSW-2208  The product SHALL run on the Linux operating system</t>
  </si>
  <si>
    <t>FR-DSRSW-1327</t>
  </si>
  <si>
    <t>Application Support</t>
  </si>
  <si>
    <t xml:space="preserve">TR-DSRSW-1327 Application Support 
TR-DSRSW-2153 Application Support </t>
  </si>
  <si>
    <t>FR-DSRSW-1344</t>
  </si>
  <si>
    <t>Application RAM</t>
  </si>
  <si>
    <t xml:space="preserve">TR-DSRSW-1448 Application RAM </t>
  </si>
  <si>
    <t>FR-DSRSW-1345</t>
  </si>
  <si>
    <t>FR-DSRSW-1495</t>
  </si>
  <si>
    <t>General API Support</t>
  </si>
  <si>
    <t xml:space="preserve">TR-DSRSW-2211 General API Support </t>
  </si>
  <si>
    <t>FR-DSRSW-1477</t>
  </si>
  <si>
    <t>The Arris platform layer shall provide an agreed API set common to the 8xx and 6xx platforms.</t>
  </si>
  <si>
    <t>TR-DSRSW-2217  The product SHALL support applictaions via the ARRIS Neptune API.</t>
  </si>
  <si>
    <t>FR-DSRSW-1466</t>
  </si>
  <si>
    <t>The product SHALL support ARRIS Neptune middleware and API.</t>
  </si>
  <si>
    <t>The product SHALL support an OSD API seperate from the Neptune API, to allow seperate application porting and Neptune developement.</t>
  </si>
  <si>
    <t>TR-DSRSW-2235  The product SHALL support the OpenGL graphics library.
TR-DSRSW-2236  The product SHALL support a graphics library that is seperate from, and not dependant upon, the Neptune API.</t>
  </si>
  <si>
    <t>FR-DSRSW-1467</t>
  </si>
  <si>
    <t>TR-DSRSW-2218  The product SHALL provide an inter-process communication (IPC) mechanism to decouple the Shaw Direct HD Guide application and ARRIS Neptune middleware.</t>
  </si>
  <si>
    <t>FR-DSRSW-1513</t>
  </si>
  <si>
    <t>The product SHALL allow the application to select MPEG-2 transport data streams. (For example: guide stream, or EAS stream)</t>
  </si>
  <si>
    <t>TR-DSRSW-1342  The product SHALL be capable of allowing the application to select data streams by PID, MC16 address, and message type.</t>
  </si>
  <si>
    <t>FR-DSRSW-1496</t>
  </si>
  <si>
    <t>Guide</t>
  </si>
  <si>
    <t xml:space="preserve">TR-DSRSW-2155 Guide App Support 
TR-DSRSW-2160 Guide </t>
  </si>
  <si>
    <t>FR-DSRSW-1459</t>
  </si>
  <si>
    <t>The product SHALL support the Shaw Direct HD Guide application.</t>
  </si>
  <si>
    <t>TR-DSRSW-2158  The product SHALL support the Shaw Direct HD Guide application.</t>
  </si>
  <si>
    <t>FR-DSRSW-1333</t>
  </si>
  <si>
    <t>The product SHALL support an alternate trickle stream.</t>
  </si>
  <si>
    <t>FR-DSRSW-1498</t>
  </si>
  <si>
    <t>EAS (Emergency Alert Service)</t>
  </si>
  <si>
    <t>FR-DSRSW-1335</t>
  </si>
  <si>
    <t>The product SHALL provide an API that allows applications to determine the product's geographic location.</t>
  </si>
  <si>
    <t>FR-DSRSW-1450</t>
  </si>
  <si>
    <t>EPMs (Mail)</t>
  </si>
  <si>
    <t>FR-DSRSW-1451</t>
  </si>
  <si>
    <t>The product SHALL support Electronic Personal Messages (EPMS), a.k.a. "Mail."</t>
  </si>
  <si>
    <t>FR-DSRSW-1511</t>
  </si>
  <si>
    <t>TAMs</t>
  </si>
  <si>
    <t>TR-DSRSW-2133 Non-Slotted Text Messages a.k.a., "TAMs" (Tier-Addressed Messages)</t>
  </si>
  <si>
    <t>FR-DSRSW-1452</t>
  </si>
  <si>
    <t>The product SHALL support Non-Slotted Text Messages, a.k.a., "TAMs"(Tier-Addressed Messages).</t>
  </si>
  <si>
    <t>FR-DSRSW-1512</t>
  </si>
  <si>
    <t>Download</t>
  </si>
  <si>
    <t xml:space="preserve">TR-DSRSW-1351 Code Download over Satellite 
TR-DSRSW-2164 JTAG for Development Support 
TR-DSRSW-2165 General Code Download Requirements </t>
  </si>
  <si>
    <t>FR-DSRSW-1336</t>
  </si>
  <si>
    <t>The product SHALL support code download over satellite.</t>
  </si>
  <si>
    <t>FR-DSRSW-1485</t>
  </si>
  <si>
    <t>The product SHALL support background code download.</t>
  </si>
  <si>
    <t>FR-DSRSW-1337</t>
  </si>
  <si>
    <t>Boot</t>
  </si>
  <si>
    <t>FR-DSRSW-1338</t>
  </si>
  <si>
    <t>Boot Code</t>
  </si>
  <si>
    <t>FR-DSRSW-1339</t>
  </si>
  <si>
    <t>The product SHALL provide boot code capable of authenticating a platform software image.</t>
  </si>
  <si>
    <t>FR-DSRSW-1340</t>
  </si>
  <si>
    <t>Boot from FLASH</t>
  </si>
  <si>
    <t>FR-DSRSW-1341</t>
  </si>
  <si>
    <t>The product SHALL support loading platform software from FLASH.</t>
  </si>
  <si>
    <t>TR-DSRSW-1443  The product SHALL be capable of booting from FLASH memory after an AC power cycle or reset.</t>
  </si>
  <si>
    <t>FR-DSRSW-1510</t>
  </si>
  <si>
    <t>FR-DSRSW-1343</t>
  </si>
  <si>
    <t>The product SHALL be capable of completing execution of the boot code and begin execution of platform software available on the product within 15 seconds of application of power.</t>
  </si>
  <si>
    <t>FR-DSRSW-1472</t>
  </si>
  <si>
    <t>TR-DSRSW-2232 Synchronized Startup 
TR-DSRSW-2233  The product SHALL start the Shaw application when the plaform layer is ready for use.
TR-DSRSW-2234  The product SHALL acheive a platform startup time that is less than the DSR6xx platform startup time.</t>
  </si>
  <si>
    <t>FR-DSRSW-1342</t>
  </si>
  <si>
    <t>The product SHALL initiate a reboot cycle when the remote control reset sequence is entered.</t>
  </si>
  <si>
    <t>FR-DSRSW-1524</t>
  </si>
  <si>
    <t>Remote Control Interface</t>
  </si>
  <si>
    <t>FR-DSRSW-1525</t>
  </si>
  <si>
    <t>The product shalll provide a Remote Control Unit (RCU) Infrared interface.</t>
  </si>
  <si>
    <t>FR-DSRSW-1526</t>
  </si>
  <si>
    <t>The DSR830 product shalll provide a Remote Control Unit (RCU) UHF interface.</t>
  </si>
  <si>
    <t>FR-DSRSW-1346</t>
  </si>
  <si>
    <t>System Security and Robustness</t>
  </si>
  <si>
    <t xml:space="preserve">TR-DSRSW-1451 System Security and Robustness </t>
  </si>
  <si>
    <t>FR-DSRSW-1351</t>
  </si>
  <si>
    <t>Embedded MediaCipher</t>
  </si>
  <si>
    <t>FR-DSRSW-1352</t>
  </si>
  <si>
    <t>The product SHALL provide an embedded MediaCipher security element for Embedded CA factory option.</t>
  </si>
  <si>
    <t>FR-DSRSW-1357</t>
  </si>
  <si>
    <t>The product SHALL support all of the software security measures necessary to satisfy the Robustness and Compliance Rules required by Mediacipher.</t>
  </si>
  <si>
    <t>FR-DSRSW-1347</t>
  </si>
  <si>
    <t>The product SHALL support the authentication of objects downloaded and stored prior to execution.</t>
  </si>
  <si>
    <t>FR-DSRSW-1348</t>
  </si>
  <si>
    <t>FR-DSRSW-1349</t>
  </si>
  <si>
    <t>Fingerprints</t>
  </si>
  <si>
    <t>FR-DSRSW-1350</t>
  </si>
  <si>
    <t>The product SHALL support fingerprints.</t>
  </si>
  <si>
    <t>FR-DSRSW-1445</t>
  </si>
  <si>
    <t>Copy Protection</t>
  </si>
  <si>
    <t xml:space="preserve">TR-DSRSW-2432 Copy Protection </t>
  </si>
  <si>
    <t>FR-DSRSW-1446</t>
  </si>
  <si>
    <t>The product SHALL support pass through of CGMS-A data on the NTSC video output.</t>
  </si>
  <si>
    <t>FR-DSRSW-1448</t>
  </si>
  <si>
    <t>IPRM</t>
  </si>
  <si>
    <t>FR-DSRSW-1449</t>
  </si>
  <si>
    <t>Is IPRM required?</t>
  </si>
  <si>
    <t>FR-DSRSW-1358</t>
  </si>
  <si>
    <t xml:space="preserve">TR-DSRSW-1558 DVR </t>
  </si>
  <si>
    <t>FR-DSRSW-1479</t>
  </si>
  <si>
    <t>DVR features apply only to the DSR830.</t>
  </si>
  <si>
    <t>FR-DSRSW-1359</t>
  </si>
  <si>
    <t xml:space="preserve">TR-DSRSW-1559 Internal Hard Disk Drive General </t>
  </si>
  <si>
    <t>FR-DSRSW-1460</t>
  </si>
  <si>
    <t>The product SHALL support executing with up to 1 TB capacity as the single internal hard disk drive.</t>
  </si>
  <si>
    <t>FR-DSRSW-1362</t>
  </si>
  <si>
    <t>The product SHALL support executing with or without an internal hard disk drive present.</t>
  </si>
  <si>
    <t>FR-DSRSW-1363</t>
  </si>
  <si>
    <t xml:space="preserve">TR-DSRSW-1570 External Hard Disk Drive General </t>
  </si>
  <si>
    <t>FR-DSRSW-1530</t>
  </si>
  <si>
    <t>The support of external DVR is product dependant.</t>
  </si>
  <si>
    <t>FR-DSRSW-1365</t>
  </si>
  <si>
    <t>DVR Record &amp; Play Features</t>
  </si>
  <si>
    <t xml:space="preserve">TR-DSRSW-1588 DVR Record &amp; Play Functions </t>
  </si>
  <si>
    <t>FR-DSRSW-1366</t>
  </si>
  <si>
    <t>DVR Playback</t>
  </si>
  <si>
    <t xml:space="preserve">TR-DSRSW-1589 DVR Playback </t>
  </si>
  <si>
    <t>FR-DSRSW-1367</t>
  </si>
  <si>
    <t>The product SHALL support playing back up to (1) stream from the hard disk drive.</t>
  </si>
  <si>
    <t>FR-DSRSW-1368</t>
  </si>
  <si>
    <t>The product SHALL provide local DVR playback within 1.5 seconds.</t>
  </si>
  <si>
    <t>FR-DSRSW-1369</t>
  </si>
  <si>
    <t>Local DVR Bypass</t>
  </si>
  <si>
    <t xml:space="preserve">TR-DSRSW-1596 DVR Bypass </t>
  </si>
  <si>
    <t>FR-DSRSW-1370</t>
  </si>
  <si>
    <t>The product SHALL support bypassing the local DVR (or internal HDD) during a drive failure, continue to operate and pass live tuned A/V content to the A/V outputs.</t>
  </si>
  <si>
    <t xml:space="preserve">TR-DSRSW-1598  The product SHALL continue to operate and pass live audio/video to the audio/video outputs when during a hard drive failure. </t>
  </si>
  <si>
    <t>FR-DSRSW-1371</t>
  </si>
  <si>
    <t>DVR Recording</t>
  </si>
  <si>
    <t>FR-DSRSW-1372</t>
  </si>
  <si>
    <t>FR-DSRSW-1373</t>
  </si>
  <si>
    <t>DVR Trick Play</t>
  </si>
  <si>
    <t xml:space="preserve">TR-DSRSW-1605 DVR Trick Play </t>
  </si>
  <si>
    <t>FR-DSRSW-1374</t>
  </si>
  <si>
    <t>The product SHALL support trick-play of the stream being played back, for all supported coding formats (MPEG-2 , MPEG-4, HEVC).</t>
  </si>
  <si>
    <t>The product SHALL support adjustable fast forward and rewind speeds for the application.</t>
  </si>
  <si>
    <t>TR-DSRSW-1625  The product SHALL allow the application to specify the speed and direction of trick-play for DVR content.</t>
  </si>
  <si>
    <t>FR-DSRSW-1480</t>
  </si>
  <si>
    <t>DVR File Functions</t>
  </si>
  <si>
    <t>The product SHALL support appending DVR recording files.</t>
  </si>
  <si>
    <t>FR-DSRSW-1529</t>
  </si>
  <si>
    <t>The product SHALL support splitting DVR recording files.</t>
  </si>
  <si>
    <t>FR-DSRSW-1376</t>
  </si>
  <si>
    <t>Time</t>
  </si>
  <si>
    <t xml:space="preserve">TR-DSRSW-1627 Time </t>
  </si>
  <si>
    <t>FR-DSRSW-1377</t>
  </si>
  <si>
    <t>The product SHALL support synchronization of system time with NTP time.</t>
  </si>
  <si>
    <t>FR-DSRSW-1487</t>
  </si>
  <si>
    <t>IP VOD HLS Streaming</t>
  </si>
  <si>
    <t>FR-DSRSW-1488</t>
  </si>
  <si>
    <t>VOD HLS</t>
  </si>
  <si>
    <t xml:space="preserve">TR-DSRSW-2182 IP VOD HLS Streaming </t>
  </si>
  <si>
    <t>FR-DSRSW-1461</t>
  </si>
  <si>
    <t>The product SHALL support IP VOD HLS streaming.</t>
  </si>
  <si>
    <t>FR-DSRSW-1507</t>
  </si>
  <si>
    <t>FR-DSRSW-1508</t>
  </si>
  <si>
    <t>The product SHALL support an 802.11ac Wi-Fi client for reception of VOD HLS content.</t>
  </si>
  <si>
    <t>FR-DSRSW-1388</t>
  </si>
  <si>
    <t>Local Diagnostics</t>
  </si>
  <si>
    <t xml:space="preserve">TR-DSRSW-1685 Local Diagnostics </t>
  </si>
  <si>
    <t>FR-DSRSW-1380</t>
  </si>
  <si>
    <t>The product SHALL provide restricted access control to the serial interface.</t>
  </si>
  <si>
    <t>FR-DSRSW-1389</t>
  </si>
  <si>
    <t>The product SHALL support providing diagnostic information over the serial port interface.</t>
  </si>
  <si>
    <t xml:space="preserve">TR-DSRSW-1687  The product SHALL support serial port / log port diagnostics over the RS-232 serial port interface.
TR-DSRSW-2188 Serial Port </t>
  </si>
  <si>
    <t>FR-DSRSW-1390</t>
  </si>
  <si>
    <t>The product SHALL support Shaw Direct diagnostic screens.</t>
  </si>
  <si>
    <t xml:space="preserve">TR-DSRSW-1689  The product SHALL support the Shaw Direct diagnostic screens via the Neptune API.
TR-DSRSW-2189 Diagnostic Screens </t>
  </si>
  <si>
    <t>FR-DSRSW-1385</t>
  </si>
  <si>
    <t>Front Panel</t>
  </si>
  <si>
    <t>FR-DSRSW-1386</t>
  </si>
  <si>
    <t>Front Panel User Controls</t>
  </si>
  <si>
    <t>FR-DSRSW-1387</t>
  </si>
  <si>
    <t>FR-DSRSW-1391</t>
  </si>
  <si>
    <t>LNB Interface</t>
  </si>
  <si>
    <t xml:space="preserve">TR-DSRSW-2220 LNB Interface </t>
  </si>
  <si>
    <t>FR-DSRSW-1392</t>
  </si>
  <si>
    <t>The product SHALL support a Channel Stacking Switch (CSS) installation.</t>
  </si>
  <si>
    <t>FR-DSRSW-1393</t>
  </si>
  <si>
    <t>The product SHALL be capable of reporting the satellite LNB type to the client application.</t>
  </si>
  <si>
    <t>FR-DSRSW-1394</t>
  </si>
  <si>
    <t xml:space="preserve">TR-DSRSW-1733 Tuning and Demodulation </t>
  </si>
  <si>
    <t>FR-DSRSW-1395</t>
  </si>
  <si>
    <t>FR-DSRSW-1396</t>
  </si>
  <si>
    <t>TR-DSRSW-1747 QPSK demodulation 
TR-DSRSW-1748  The product SHALL be capable of the following QPSK symbol and code rate combination: 19.51 Msps symbol rate, 3/4 code rate, combined mode.</t>
  </si>
  <si>
    <t>FR-DSRSW-1397</t>
  </si>
  <si>
    <t>The product SHALL support the acquisition of Digicipher II Services.</t>
  </si>
  <si>
    <t>The product SHALL support Channel Overrides.</t>
  </si>
  <si>
    <t>FR-DSRSW-1398</t>
  </si>
  <si>
    <t>The product SHALL be capable of storing up to two channel maps and associated network information, to local Flash memory</t>
  </si>
  <si>
    <t>FR-DSRSW-1399</t>
  </si>
  <si>
    <t>The product SHALL be capable of instantiating a channel map, and associated network information, from nonvolatile memory.</t>
  </si>
  <si>
    <t>FR-DSRSW-1400</t>
  </si>
  <si>
    <t>Service Acquisition Performance</t>
  </si>
  <si>
    <t>FR-DSRSW-1401</t>
  </si>
  <si>
    <t>The product SHALL take no more than (1.5) sec. to tune between digital services within the same multiplex.</t>
  </si>
  <si>
    <t>FR-DSRSW-1402</t>
  </si>
  <si>
    <t>The product SHALL take no more than (2) sec. to tune between digital services within different multiplexes.</t>
  </si>
  <si>
    <t>FR-DSRSW-1403</t>
  </si>
  <si>
    <t>Video Decode</t>
  </si>
  <si>
    <t xml:space="preserve">TR-DSRSW-1818 Video Decode </t>
  </si>
  <si>
    <t>FR-DSRSW-1405</t>
  </si>
  <si>
    <t>The product SHALL support MPEG-2 (MP@HL) video decode.
(MP@HL = 1080p60)</t>
  </si>
  <si>
    <t>FR-DSRSW-1407</t>
  </si>
  <si>
    <t>The product SHALL support MPEG-4 Part 10 AVC (H.264) level 4.2 video decode.
(Level 4.2 = 1080p60)</t>
  </si>
  <si>
    <t>FR-DSRSW-1462</t>
  </si>
  <si>
    <t>The product SHALL support HEVC level 4.1 video decode.
(Level 4.1 = 1080p60)</t>
  </si>
  <si>
    <t>FR-DSRSW-1411</t>
  </si>
  <si>
    <t>Picture Decode</t>
  </si>
  <si>
    <t>FR-DSRSW-1412</t>
  </si>
  <si>
    <t>The product SHALL support JPEG image decode.</t>
  </si>
  <si>
    <t>FR-DSRSW-1413</t>
  </si>
  <si>
    <t>User Settings</t>
  </si>
  <si>
    <t xml:space="preserve">TR-DSRSW-1849 User Settings </t>
  </si>
  <si>
    <t>FR-DSRSW-1414</t>
  </si>
  <si>
    <t>The product SHALL support the Shaw Direct user settings screens.</t>
  </si>
  <si>
    <t>TR-DSRSW-1851  The product SHALL support the Shaw Direct user settings screens.</t>
  </si>
  <si>
    <t>FR-DSRSW-1415</t>
  </si>
  <si>
    <t>Closed Captioning</t>
  </si>
  <si>
    <t xml:space="preserve">TR-DSRSW-1852 Closed Captions </t>
  </si>
  <si>
    <t>FR-DSRSW-1416</t>
  </si>
  <si>
    <t>The product SHALL comply with all FCC Closed Caption requirements as specified in 47cfr15 for CEA-608 and FCC 00-259 for CEA-708 caption information embedded in a digital TV service.</t>
  </si>
  <si>
    <t>FR-DSRSW-1417</t>
  </si>
  <si>
    <t>The product SHALL comply with all FCC Closed Caption requirements as specified in 47cfr15 for CEA-608 and FCC 00-259 for CEA-708 caption information embedded in stored content.</t>
  </si>
  <si>
    <t>FR-DSRSW-1418</t>
  </si>
  <si>
    <t>The product SHALL support Closed Captions from an MPEG-4 service.</t>
  </si>
  <si>
    <t>FR-DSRSW-1419</t>
  </si>
  <si>
    <t xml:space="preserve">TR-DSRSW-2005 Video Control </t>
  </si>
  <si>
    <t>FR-DSRSW-1420</t>
  </si>
  <si>
    <t xml:space="preserve">TR-DSRSW-2006 Picture in Graphics (PIG) </t>
  </si>
  <si>
    <t>FR-DSRSW-1421</t>
  </si>
  <si>
    <t>The product SHALL support Picture in Graphics functionality.</t>
  </si>
  <si>
    <t>FR-DSRSW-1422</t>
  </si>
  <si>
    <t>FR-DSRSW-1423</t>
  </si>
  <si>
    <t>FR-DSRSW-1424</t>
  </si>
  <si>
    <t>The product SHALL support user selectable aspect conversion modes transparent to applications.</t>
  </si>
  <si>
    <t>FR-DSRSW-1427</t>
  </si>
  <si>
    <t>Video Graphics</t>
  </si>
  <si>
    <t>FR-DSRSW-1464</t>
  </si>
  <si>
    <t>The product SHALL support HD graphics resolutions up to 1920 x 1080 on the primary graphics surface for DSR8xx platforms.</t>
  </si>
  <si>
    <t>The product SHALL allow application graphics to overlay platform graphics. (Use Case: Guide graphics appear over Closed Captions)</t>
  </si>
  <si>
    <t xml:space="preserve">TR-DSRSW-2223  The product SHALL allow application graphics to have priority over closed captions. </t>
  </si>
  <si>
    <t>FR-DSRSW-1429</t>
  </si>
  <si>
    <t>Audio Decode</t>
  </si>
  <si>
    <t xml:space="preserve">TR-DSRSW-2057 Audio Decode </t>
  </si>
  <si>
    <t>FR-DSRSW-1430</t>
  </si>
  <si>
    <t>FR-DSRSW-1431</t>
  </si>
  <si>
    <t>FR-DSRSW-1432</t>
  </si>
  <si>
    <t>FR-DSRSW-1433</t>
  </si>
  <si>
    <t>FR-DSRSW-1434</t>
  </si>
  <si>
    <t>FR-DSRSW-1435</t>
  </si>
  <si>
    <t>FR-DSRSW-1436</t>
  </si>
  <si>
    <t>FR-DSRSW-1437</t>
  </si>
  <si>
    <t>FR-DSRSW-1438</t>
  </si>
  <si>
    <t>FR-DSRSW-1439</t>
  </si>
  <si>
    <t>The product SHALL acquire the Dolby Digital Plus component if present in a digital service.</t>
  </si>
  <si>
    <t>FR-DSRSW-1440</t>
  </si>
  <si>
    <t>Audio Encode</t>
  </si>
  <si>
    <t>FR-DSRSW-1441</t>
  </si>
  <si>
    <t xml:space="preserve">The product SHALL be capable of transcoding any supported input audio format to Dolby Digital (AC-3) multi-channel audio. </t>
  </si>
  <si>
    <t>FR-DSRSW-1514</t>
  </si>
  <si>
    <t>The product SHALL be capable of audio mixing.</t>
  </si>
  <si>
    <t>FR-DSRSW-1442</t>
  </si>
  <si>
    <t>Audio Control</t>
  </si>
  <si>
    <t xml:space="preserve">TR-DSRSW-2099 Audio Control </t>
  </si>
  <si>
    <t>FR-DSRSW-1443</t>
  </si>
  <si>
    <t>The product SHALL support English and French Descriptive Video Services (a.k.a. "Visually Impaired" service) as defined for the "interim solution" in ENB-3791.</t>
  </si>
  <si>
    <t>FR-DSRSW-1444</t>
  </si>
  <si>
    <t>The product SHALL support audio dynamic range compression adjustment for Dolby Digital.</t>
  </si>
  <si>
    <t>FR-DSRSW-1334</t>
  </si>
  <si>
    <t>The product SHALL allow the application to select the audio component.</t>
  </si>
  <si>
    <t>FR-DSRSW-1469</t>
  </si>
  <si>
    <t>Quality</t>
  </si>
  <si>
    <t xml:space="preserve">TR-DSRSW-2224 Quality </t>
  </si>
  <si>
    <t>FR-DSRSW-1470</t>
  </si>
  <si>
    <t xml:space="preserve">TR-DSRSW-2225  The product SHALL achieve 30 days mean time between reboots (MTBR), while running ARRIS's standard stability rack test.
TR-DSRSW-2228 Mean Time Between Reboots </t>
  </si>
  <si>
    <t>Req Number</t>
  </si>
  <si>
    <t>Level</t>
  </si>
  <si>
    <t>Number</t>
  </si>
  <si>
    <t>1.1.0-1</t>
  </si>
  <si>
    <t>1.1.0-2</t>
  </si>
  <si>
    <t>1.1.0-3</t>
  </si>
  <si>
    <t>1.1.0-4</t>
  </si>
  <si>
    <t>1.1.0-5</t>
  </si>
  <si>
    <t>1.1.0-6</t>
  </si>
  <si>
    <t>1.1.0-7</t>
  </si>
  <si>
    <t>1.1.0-8</t>
  </si>
  <si>
    <t>1.1.0-9</t>
  </si>
  <si>
    <t>1.1.0-10</t>
  </si>
  <si>
    <t>1.1.0-11</t>
  </si>
  <si>
    <t>1.1.0-12</t>
  </si>
  <si>
    <t>1.1.0-13</t>
  </si>
  <si>
    <t>1.1.0-14</t>
  </si>
  <si>
    <t>1.1.0-15</t>
  </si>
  <si>
    <t>1.1.0-16</t>
  </si>
  <si>
    <t>1.1.0-17</t>
  </si>
  <si>
    <t>1.2.0-1</t>
  </si>
  <si>
    <t>1.2.0-2</t>
  </si>
  <si>
    <t>1.2.0-3</t>
  </si>
  <si>
    <t>1.2.0-4</t>
  </si>
  <si>
    <t>1.2.0-5</t>
  </si>
  <si>
    <t>1.2.0-6</t>
  </si>
  <si>
    <t>1.2.0-7</t>
  </si>
  <si>
    <t>1.2.0-8</t>
  </si>
  <si>
    <t>2.0-1</t>
  </si>
  <si>
    <t>2.0-2</t>
  </si>
  <si>
    <t>2.0-3</t>
  </si>
  <si>
    <t>2.0-4</t>
  </si>
  <si>
    <t>2.0-5</t>
  </si>
  <si>
    <t>2.0-6</t>
  </si>
  <si>
    <t>2.0-7</t>
  </si>
  <si>
    <t>2.0-8</t>
  </si>
  <si>
    <t>2.0-9</t>
  </si>
  <si>
    <t>2.0-10</t>
  </si>
  <si>
    <t>2.0-11</t>
  </si>
  <si>
    <t>3.0-1</t>
  </si>
  <si>
    <t>3.0-2</t>
  </si>
  <si>
    <t>3.0-3</t>
  </si>
  <si>
    <t>4.0-4</t>
  </si>
  <si>
    <t>4.0-5</t>
  </si>
  <si>
    <t>5.0-1</t>
  </si>
  <si>
    <t>6.0-1</t>
  </si>
  <si>
    <t>7.1.0-1</t>
  </si>
  <si>
    <t>7.2.0-1</t>
  </si>
  <si>
    <t>7.2.0-2</t>
  </si>
  <si>
    <t>7.2.0-3</t>
  </si>
  <si>
    <t>7.2.0-4</t>
  </si>
  <si>
    <t>7.2.0-5</t>
  </si>
  <si>
    <t>7.3.0-2</t>
  </si>
  <si>
    <t>7.3.0-3</t>
  </si>
  <si>
    <t>7.4.0-1</t>
  </si>
  <si>
    <t>7.5.0-1</t>
  </si>
  <si>
    <t>7.6.0-1</t>
  </si>
  <si>
    <t>8.0-1</t>
  </si>
  <si>
    <t>8.0-2</t>
  </si>
  <si>
    <t>9.1.0-1</t>
  </si>
  <si>
    <t>9.2.0-1</t>
  </si>
  <si>
    <t>9.3.0-1</t>
  </si>
  <si>
    <t>9.3.0-2</t>
  </si>
  <si>
    <t>9.3.0-3</t>
  </si>
  <si>
    <t>10.0-1</t>
  </si>
  <si>
    <t>10.0-2</t>
  </si>
  <si>
    <t>11.1.0-1</t>
  </si>
  <si>
    <t>11.1.0-2</t>
  </si>
  <si>
    <t>11.2.0-1</t>
  </si>
  <si>
    <t>11.3.0-1</t>
  </si>
  <si>
    <t>11.4.0-1</t>
  </si>
  <si>
    <t>13.0-1</t>
  </si>
  <si>
    <t>13.1.0-1</t>
  </si>
  <si>
    <t>14.0-1</t>
  </si>
  <si>
    <t>14.1.0-3</t>
  </si>
  <si>
    <t>14.1.0-4</t>
  </si>
  <si>
    <t>14.2.0-1</t>
  </si>
  <si>
    <t>14.3.1</t>
  </si>
  <si>
    <t>14.3.1.0-1</t>
  </si>
  <si>
    <t>14.3.1.0-2</t>
  </si>
  <si>
    <t>14.3.2</t>
  </si>
  <si>
    <t>14.3.2.0-1</t>
  </si>
  <si>
    <t>14.3.3</t>
  </si>
  <si>
    <t>14.3.3.0-1</t>
  </si>
  <si>
    <t>14.3.4</t>
  </si>
  <si>
    <t>14.3.4.0-1</t>
  </si>
  <si>
    <t>14.3.4.0-2</t>
  </si>
  <si>
    <t>14.4.0-1</t>
  </si>
  <si>
    <t>14.4.0-2</t>
  </si>
  <si>
    <t>15.0-1</t>
  </si>
  <si>
    <t>16.1.0-1</t>
  </si>
  <si>
    <t>17.0-1</t>
  </si>
  <si>
    <t>18.0-1</t>
  </si>
  <si>
    <t>18.0-2</t>
  </si>
  <si>
    <t>18.0-3</t>
  </si>
  <si>
    <t>19.1.0-1</t>
  </si>
  <si>
    <t>20.0-1</t>
  </si>
  <si>
    <t>20.0-2</t>
  </si>
  <si>
    <t>21.0-1</t>
  </si>
  <si>
    <t>21.0-2</t>
  </si>
  <si>
    <t>21.0-3</t>
  </si>
  <si>
    <t>21.0-4</t>
  </si>
  <si>
    <t>21.0-5</t>
  </si>
  <si>
    <t>21.0-6</t>
  </si>
  <si>
    <t>21.1.0-1</t>
  </si>
  <si>
    <t>21.1.0-2</t>
  </si>
  <si>
    <t>22.0-1</t>
  </si>
  <si>
    <t>22.0-2</t>
  </si>
  <si>
    <t>22.0-3</t>
  </si>
  <si>
    <t>23.0-1</t>
  </si>
  <si>
    <t>24.0-1</t>
  </si>
  <si>
    <t>25.0-1</t>
  </si>
  <si>
    <t>25.0-2</t>
  </si>
  <si>
    <t>25.0-3</t>
  </si>
  <si>
    <t>26.1.0-1</t>
  </si>
  <si>
    <t>26.1.0-2</t>
  </si>
  <si>
    <t>26.2.0-1</t>
  </si>
  <si>
    <t>27.0-2</t>
  </si>
  <si>
    <t>27.0-3</t>
  </si>
  <si>
    <t>28.1.0-1</t>
  </si>
  <si>
    <t>28.2.0-1</t>
  </si>
  <si>
    <t>28.3.0-1</t>
  </si>
  <si>
    <t>28.4.0-1</t>
  </si>
  <si>
    <t>28.4.0-2</t>
  </si>
  <si>
    <t>28.4.0-3</t>
  </si>
  <si>
    <t>29.0-1</t>
  </si>
  <si>
    <t>29.0-2</t>
  </si>
  <si>
    <t>30.0-1</t>
  </si>
  <si>
    <t>30.0-2</t>
  </si>
  <si>
    <t>30.0-3</t>
  </si>
  <si>
    <t>31.0-1</t>
  </si>
  <si>
    <t>Product</t>
  </si>
  <si>
    <t>Feature Requirements</t>
  </si>
  <si>
    <t>Header</t>
  </si>
  <si>
    <t>FR Trace</t>
  </si>
  <si>
    <t>TR-DSRSW-1282</t>
  </si>
  <si>
    <t>TR-DSRSW-1283</t>
  </si>
  <si>
    <t>TR-DSRSW-1284</t>
  </si>
  <si>
    <t>TR-DSRSW-1285</t>
  </si>
  <si>
    <t>TR-DSRSW-1286</t>
  </si>
  <si>
    <t>TR-DSRSW-1287</t>
  </si>
  <si>
    <t>TR-DSRSW-1288</t>
  </si>
  <si>
    <t>TR-DSRSW-1289</t>
  </si>
  <si>
    <t>TR-DSRSW-1290</t>
  </si>
  <si>
    <t>TR-DSRSW-1291</t>
  </si>
  <si>
    <t>TR-DSRSW-1292</t>
  </si>
  <si>
    <t>TR-DSRSW-1293</t>
  </si>
  <si>
    <t>TR-DSRSW-1294</t>
  </si>
  <si>
    <t>TR-DSRSW-1295</t>
  </si>
  <si>
    <t>TR-DSRSW-1296</t>
  </si>
  <si>
    <t>TR-DSRSW-2430</t>
  </si>
  <si>
    <t>PKCS: Public-Key Cryptography Standard</t>
  </si>
  <si>
    <t>TR-DSRSW-1297</t>
  </si>
  <si>
    <t>TR-DSRSW-1298</t>
  </si>
  <si>
    <t>TR-DSRSW-1299</t>
  </si>
  <si>
    <t>TR-DSRSW-1300</t>
  </si>
  <si>
    <t>TR-DSRSW-1301</t>
  </si>
  <si>
    <t>TR-DSRSW-1302</t>
  </si>
  <si>
    <t>TR-DSRSW-1303</t>
  </si>
  <si>
    <t>TR-DSRSW-1304</t>
  </si>
  <si>
    <t>TR-DSRSW-1305</t>
  </si>
  <si>
    <t>TR-DSRSW-1306</t>
  </si>
  <si>
    <t>TR-DSRSW-1307</t>
  </si>
  <si>
    <t>TR-DSRSW-1308</t>
  </si>
  <si>
    <t>TR-DSRSW-1309</t>
  </si>
  <si>
    <t>TR-DSRSW-1310</t>
  </si>
  <si>
    <t>TR-DSRSW-1311</t>
  </si>
  <si>
    <t>TR-DSRSW-1312</t>
  </si>
  <si>
    <t>TR-DSRSW-1313</t>
  </si>
  <si>
    <t>TR-DSRSW-1314</t>
  </si>
  <si>
    <t>TR-DSRSW-1315</t>
  </si>
  <si>
    <t>TR-DSRSW-1316</t>
  </si>
  <si>
    <t>TR-DSRSW-1317</t>
  </si>
  <si>
    <t>TR-DSRSW-1318</t>
  </si>
  <si>
    <t>TR-DSRSW-1319</t>
  </si>
  <si>
    <t>TR-DSRSW-1320</t>
  </si>
  <si>
    <t>TR-DSRSW-1321</t>
  </si>
  <si>
    <t>TR-DSRSW-1322</t>
  </si>
  <si>
    <t>TR-DSRSW-1323</t>
  </si>
  <si>
    <t>[DCII MSP-1]  "DCII Message Stream Protocol", 365-095-18108, revision X.4</t>
  </si>
  <si>
    <t>TR-DSRSW-1324</t>
  </si>
  <si>
    <t>[DCII ACP-1] "Digicipher II Access Control Message Stream Protocol", 486835-001 Rev B (http://pdm1.arrisi.com), 11/292004</t>
  </si>
  <si>
    <t>TR-DSRSW-2360</t>
  </si>
  <si>
    <t xml:space="preserve">[VAP TR69-1]  "VAP2400 Video Access Point/Client TR-069 Requirements Specification", 365-095-18211 </t>
  </si>
  <si>
    <t>TR-DSRSW-2361</t>
  </si>
  <si>
    <t>[VAP GUI-1]  "VAP2400 Video Access Point/Client Web GUI Design", 365-095-19807</t>
  </si>
  <si>
    <t>TR-DSRSW-2149</t>
  </si>
  <si>
    <t>4.0-1</t>
  </si>
  <si>
    <t>TR-DSRSW-2150</t>
  </si>
  <si>
    <t>4.0-2</t>
  </si>
  <si>
    <t>The product SHALL run on the DSR830 hardware platform</t>
  </si>
  <si>
    <t>TR-DSRSW-1335</t>
  </si>
  <si>
    <t>The product SHALL retain the platform object stored in FLASH memory through an A/C power cycle or dropout or through a reset.</t>
  </si>
  <si>
    <t>TR-DSRSW-1336</t>
  </si>
  <si>
    <t>5.0-2</t>
  </si>
  <si>
    <t>The product SHALL delete the old platform object from FLASH memory only after a new platform object has been authenticated and stored to FLASH memory.</t>
  </si>
  <si>
    <t>TR-DSRSW-1337</t>
  </si>
  <si>
    <t>5.0-3</t>
  </si>
  <si>
    <t>When storing its platform object in FLASH memory, the product SHALL delete the old platform object from FLASH memory once the new platform object has been authenticated and stored to FLASH memory.</t>
  </si>
  <si>
    <t>TR-DSRSW-2207</t>
  </si>
  <si>
    <t>Operating System</t>
  </si>
  <si>
    <t>TR-DSRSW-2208</t>
  </si>
  <si>
    <t>The product SHALL run on the Linux operating system</t>
  </si>
  <si>
    <t>TR-DSRSW-1327</t>
  </si>
  <si>
    <t>TR-DSRSW-1448</t>
  </si>
  <si>
    <t>TR-DSRSW-1450</t>
  </si>
  <si>
    <t>TR-DSRSW-2211</t>
  </si>
  <si>
    <t>7.2.1</t>
  </si>
  <si>
    <t>TR-DSRSW-1342</t>
  </si>
  <si>
    <t>7.2.1.0-1</t>
  </si>
  <si>
    <t>The product SHALL be capable of allowing the application to select data streams by PID, MC16 address, and message type.</t>
  </si>
  <si>
    <t>TR-DSRSW-2217</t>
  </si>
  <si>
    <t>7.2.1.0-2</t>
  </si>
  <si>
    <t>The product SHALL support applictaions via the ARRIS Neptune API.</t>
  </si>
  <si>
    <t>TR-DSRSW-2218</t>
  </si>
  <si>
    <t>7.2.1.0-3</t>
  </si>
  <si>
    <t>TR-DSRSW-2160</t>
  </si>
  <si>
    <t>7.2.2</t>
  </si>
  <si>
    <t>TR-DSRSW-2155</t>
  </si>
  <si>
    <t>7.2.2.1</t>
  </si>
  <si>
    <t>Guide App Support</t>
  </si>
  <si>
    <t>TR-DSRSW-2158</t>
  </si>
  <si>
    <t>7.2.2.1.0-3</t>
  </si>
  <si>
    <t>TR-DSRSW-1341</t>
  </si>
  <si>
    <t>7.2.2.2</t>
  </si>
  <si>
    <t>TR-DSRSW-1344</t>
  </si>
  <si>
    <t>7.2.2.2.0-1</t>
  </si>
  <si>
    <t>The product SHALL be capable of receiving Third Party Messages, Message Type = 0xE6, and forwarding those messages to the guide application.</t>
  </si>
  <si>
    <t>TR-DSRSW-1349</t>
  </si>
  <si>
    <t>7.2.3</t>
  </si>
  <si>
    <t>TR-DSRSW-1350</t>
  </si>
  <si>
    <t>7.2.3.0-1</t>
  </si>
  <si>
    <t xml:space="preserve">The product SHALL provide an API that allows software applications to ascertain the three-coordinate geosynchronous location of the product, as given in the category rekey message [DCII ACP-1]. </t>
  </si>
  <si>
    <t>TR-DSRSW-2124</t>
  </si>
  <si>
    <t>7.2.4</t>
  </si>
  <si>
    <t>TR-DSRSW-2242</t>
  </si>
  <si>
    <t>7.2.4.0-1</t>
  </si>
  <si>
    <t>NOTE:  The requirements in this section are for Test only.  The Shaw app implements EPM handling.</t>
  </si>
  <si>
    <t>TR-DSRSW-2125</t>
  </si>
  <si>
    <t>7.2.4.0-2</t>
  </si>
  <si>
    <t xml:space="preserve">The Product SHALL process Unit addressed EPMs (Electronic Personal Messages). </t>
  </si>
  <si>
    <t>TR-DSRSW-2126</t>
  </si>
  <si>
    <t>7.2.4.0-3</t>
  </si>
  <si>
    <t>The Product SHALL display "immediate display"EPMs until either the OSD timeout is exceeded, or an item with higher OSD precedence is displayed.</t>
  </si>
  <si>
    <t>TR-DSRSW-2127</t>
  </si>
  <si>
    <t>7.2.4.0-4</t>
  </si>
  <si>
    <t xml:space="preserve">The Product SHALL display "non-immediate display" EPMs when the user selects the message within the mail application. </t>
  </si>
  <si>
    <t>TR-DSRSW-2128</t>
  </si>
  <si>
    <t>7.2.4.0-5</t>
  </si>
  <si>
    <t xml:space="preserve">The Product SHALL display "store till read" EPMs when the user selects the message within the mail application. </t>
  </si>
  <si>
    <t>TR-DSRSW-2129</t>
  </si>
  <si>
    <t>7.2.4.0-6</t>
  </si>
  <si>
    <t xml:space="preserve">The Product SHALL retain EPMs through an AC Power Reset. </t>
  </si>
  <si>
    <t>TR-DSRSW-2130</t>
  </si>
  <si>
    <t>7.2.4.0-7</t>
  </si>
  <si>
    <t>The Product SHALL process EPMs while in stand-by.</t>
  </si>
  <si>
    <t>TR-DSRSW-2131</t>
  </si>
  <si>
    <t>7.2.4.0-8</t>
  </si>
  <si>
    <t>The Product SHALL discard EPMs during a Factory Reset.</t>
  </si>
  <si>
    <t>TR-DSRSW-2132</t>
  </si>
  <si>
    <t>7.2.4.0-9</t>
  </si>
  <si>
    <t xml:space="preserve">The Poduct SHALL, after the IRD displays an EPM, represent that EPM as a "read" message (that is, "not new"), including after a power cycle. </t>
  </si>
  <si>
    <t>TR-DSRSW-2133</t>
  </si>
  <si>
    <t>7.2.5</t>
  </si>
  <si>
    <t>TR-DSRSW-2134</t>
  </si>
  <si>
    <t>7.2.5.0-1</t>
  </si>
  <si>
    <t xml:space="preserve">The product SHALL support Non-Slotted Messages (a.k.a., "TAMs). </t>
  </si>
  <si>
    <t>TR-DSRSW-2135</t>
  </si>
  <si>
    <t>7.2.5.0-2</t>
  </si>
  <si>
    <t xml:space="preserve">The product SHALL display the received Non-Slotted message text when the product's current state(s) match the Decoder Condition contained in the message preamble. </t>
  </si>
  <si>
    <t>TR-DSRSW-2136</t>
  </si>
  <si>
    <t>7.2.5.0-3</t>
  </si>
  <si>
    <t>TR-DSRSW-2137</t>
  </si>
  <si>
    <t>7.2.5.0-4</t>
  </si>
  <si>
    <t xml:space="preserve">The product SHALL support preamble "region" state evaluation in the Non-Slotted message.  Note, the preamble may include zero, one, or more tier_match states.  </t>
  </si>
  <si>
    <t>TR-DSRSW-2138</t>
  </si>
  <si>
    <t>7.2.5.0-5</t>
  </si>
  <si>
    <t>TR-DSRSW-2139</t>
  </si>
  <si>
    <t>7.2.5.0-6</t>
  </si>
  <si>
    <t xml:space="preserve">The product SHALL consider the preamble "circular_blacked_out" state evaluation in the Non-Slotted message.  Note, the preamble may include zero or one circular_blacked_out state. </t>
  </si>
  <si>
    <t>TR-DSRSW-2140</t>
  </si>
  <si>
    <t>7.2.5.0-7</t>
  </si>
  <si>
    <t>TR-DSRSW-2141</t>
  </si>
  <si>
    <t>7.2.5.0-8</t>
  </si>
  <si>
    <t>The product SHALL support preamble condition evaluation for up to 10 states in the Non-Slotted message.</t>
  </si>
  <si>
    <t>TR-DSRSW-2142</t>
  </si>
  <si>
    <t>7.2.5.0-9</t>
  </si>
  <si>
    <t>TR-DSRSW-2143</t>
  </si>
  <si>
    <t>7.2.5.0-10</t>
  </si>
  <si>
    <t>TR-DSRSW-2144</t>
  </si>
  <si>
    <t>7.2.5.0-11</t>
  </si>
  <si>
    <t>TR-DSRSW-2145</t>
  </si>
  <si>
    <t>7.2.5.0-12</t>
  </si>
  <si>
    <t>TR-DSRSW-2146</t>
  </si>
  <si>
    <t>7.2.5.0-13</t>
  </si>
  <si>
    <t>The product SHALL delete all non-slotted text messages upon power interruption.</t>
  </si>
  <si>
    <t>TR-DSRSW-1680</t>
  </si>
  <si>
    <t>TR-DSRSW-1683</t>
  </si>
  <si>
    <t>The product SHALL invoke a hardware reset if the power button is depressed for 4 seconds (+/-1 second), regardless of the software state.</t>
  </si>
  <si>
    <t>TR-DSRSW-1684</t>
  </si>
  <si>
    <t>The product SHALL invoke a hardware reset if the user presses the remote control 3-key reset sequence (HELP-OPTIONS-POWER) within the time period of one second.</t>
  </si>
  <si>
    <t>TR-DSRSW-1351</t>
  </si>
  <si>
    <t>Code Download over Satellite</t>
  </si>
  <si>
    <t>TR-DSRSW-2164</t>
  </si>
  <si>
    <t>JTAG for Development Support</t>
  </si>
  <si>
    <t>TR-DSRSW-1352</t>
  </si>
  <si>
    <t>8.1.0-1</t>
  </si>
  <si>
    <t>The product SHALL support an onboard JTAG connector for code download.</t>
  </si>
  <si>
    <t>TR-DSRSW-2165</t>
  </si>
  <si>
    <t>General Code Download Requirements</t>
  </si>
  <si>
    <t>TR-DSRSW-1353</t>
  </si>
  <si>
    <t>8.2.0-1</t>
  </si>
  <si>
    <t>TR-DSRSW-2417</t>
  </si>
  <si>
    <t>8.2.0-2</t>
  </si>
  <si>
    <t xml:space="preserve">The product SHALL provide enough memory to complete a 100 MByte code download, without interrupting unit performance. (NOTE: Once the code has been downloaded, the actual code update may interrupt service.) </t>
  </si>
  <si>
    <t>TR-DSRSW-1354</t>
  </si>
  <si>
    <t>8.2.0-3</t>
  </si>
  <si>
    <t>The product SHALL be capable of executing downloaded code.</t>
  </si>
  <si>
    <t>TR-DSRSW-1355</t>
  </si>
  <si>
    <t>8.2.0-4</t>
  </si>
  <si>
    <t>The product SHALL retain downloaded code in standby mode.</t>
  </si>
  <si>
    <t>TR-DSRSW-1356</t>
  </si>
  <si>
    <t>8.2.0-5</t>
  </si>
  <si>
    <t>TR-DSRSW-2166</t>
  </si>
  <si>
    <t>Code Update Variable State Retention</t>
  </si>
  <si>
    <t>TR-DSRSW-1368</t>
  </si>
  <si>
    <t>8.3.0-6</t>
  </si>
  <si>
    <t>The product SHALL, through a code update, retain EPMs (Electronic Personal Mail). [Note: this requirement is implemented by Shaw, and tested by ARRIS]</t>
  </si>
  <si>
    <t>TR-DSRSW-1372</t>
  </si>
  <si>
    <t>8.3.0-7</t>
  </si>
  <si>
    <t>The product SHALL, through a code update, retain last channel viewed. [Note: this requirement is implemented by Shaw, and tested by ARRIS]</t>
  </si>
  <si>
    <t>TR-DSRSW-1365</t>
  </si>
  <si>
    <t>8.3.0-8</t>
  </si>
  <si>
    <t>The product SHALL, through a code update, retain user video settings. [Note: this requirement is implemented by Shaw, and tested by ARRIS]</t>
  </si>
  <si>
    <t>TR-DSRSW-1366</t>
  </si>
  <si>
    <t>8.3.0-9</t>
  </si>
  <si>
    <t>The product SHALL, through a code update, retain user audio settings. [Note: this requirement is implemented by Shaw, and tested by ARRIS]</t>
  </si>
  <si>
    <t>TR-DSRSW-1367</t>
  </si>
  <si>
    <t>8.3.0-10</t>
  </si>
  <si>
    <t>The product SHALL, through a code update, retain user GUI language settings. [Note: this requirement is implemented by Shaw, and tested by ARRIS]</t>
  </si>
  <si>
    <t>TR-DSRSW-1363</t>
  </si>
  <si>
    <t>8.3.0-11</t>
  </si>
  <si>
    <t>The product SHALL, through a code update, retain network information tables.</t>
  </si>
  <si>
    <t>TR-DSRSW-1364</t>
  </si>
  <si>
    <t>8.3.0-12</t>
  </si>
  <si>
    <t>The product SHALL, through a code update, retain the virtual channel table.</t>
  </si>
  <si>
    <t>TR-DSRSW-1369</t>
  </si>
  <si>
    <t>8.3.0-13</t>
  </si>
  <si>
    <t>The product SHALL, through a code update, retain geographic location.</t>
  </si>
  <si>
    <t>TR-DSRSW-1370</t>
  </si>
  <si>
    <t>8.3.0-14</t>
  </si>
  <si>
    <t>The product SHALL, through a code update, retain region.</t>
  </si>
  <si>
    <t>TR-DSRSW-1371</t>
  </si>
  <si>
    <t>8.3.0-15</t>
  </si>
  <si>
    <t>The product SHALL, through a code update, retain multicast 16 addresses.</t>
  </si>
  <si>
    <t>TR-DSRSW-1373</t>
  </si>
  <si>
    <t>8.3.0-16</t>
  </si>
  <si>
    <t>The product SHALL, through a code update, retain tier authorizations.</t>
  </si>
  <si>
    <t>TR-DSRSW-1374</t>
  </si>
  <si>
    <t>8.3.0-17</t>
  </si>
  <si>
    <t>The product SHALL, through a code update, retain the Remote Control Unit address.</t>
  </si>
  <si>
    <t>TR-DSRSW-2167</t>
  </si>
  <si>
    <t>TR-DSRSW-2169</t>
  </si>
  <si>
    <t>8.4.1</t>
  </si>
  <si>
    <t>Opportunity Download</t>
  </si>
  <si>
    <t>TR-DSRSW-2435</t>
  </si>
  <si>
    <t>The product SHALL activate the newly downloaded code when the opportunity download is complete.</t>
  </si>
  <si>
    <t>TR-DSRSW-2168</t>
  </si>
  <si>
    <t>8.4.1.1</t>
  </si>
  <si>
    <t>Forced Download</t>
  </si>
  <si>
    <t>TR-DSRSW-2401</t>
  </si>
  <si>
    <t>The product SHALL provide an API to allow the application to determine if a background code update is available.</t>
  </si>
  <si>
    <t>TR-DSRSW-2404</t>
  </si>
  <si>
    <t>TR-DSRSW-2405</t>
  </si>
  <si>
    <t>TR-DSRSW-2402</t>
  </si>
  <si>
    <t xml:space="preserve">Typically, a DSR800 tuner will be available during standby mode.  A DSR830 tuner will be available when at least one of the two tuners is not being used. </t>
  </si>
  <si>
    <t>TR-DSRSW-2408</t>
  </si>
  <si>
    <t>TR-DSRSW-2409</t>
  </si>
  <si>
    <t>TR-DSRSW-2410</t>
  </si>
  <si>
    <t>The product SHALL discard the code download if the code download preamble is updated prior the code update.</t>
  </si>
  <si>
    <t>TR-DSRSW-2441</t>
  </si>
  <si>
    <t>TR-DSRSW-2411</t>
  </si>
  <si>
    <t>TR-DSRSW-2412</t>
  </si>
  <si>
    <t>TR-DSRSW-1401</t>
  </si>
  <si>
    <t>Standard Download Screen</t>
  </si>
  <si>
    <t>TR-DSRSW-2438</t>
  </si>
  <si>
    <t>8.7.0-1</t>
  </si>
  <si>
    <t>The Standard Download Screen is in the Shaw app domain.  However, Neptune does need to provide API that reports the download status.</t>
  </si>
  <si>
    <t>TR-DSRSW-1405</t>
  </si>
  <si>
    <t>8.7.0-5</t>
  </si>
  <si>
    <t>The product SHALL display a timer that indicates the amount of time since code download started on the Standard Download Screen.</t>
  </si>
  <si>
    <t>TR-DSRSW-1407</t>
  </si>
  <si>
    <t>8.7.0-7</t>
  </si>
  <si>
    <t>The product SHALL display the current "in unit" version of Neptune in the Standard Download Screen.</t>
  </si>
  <si>
    <t>TR-DSRSW-1408</t>
  </si>
  <si>
    <t>8.7.0-8</t>
  </si>
  <si>
    <t>The product SHALL display the current "in unit" versions of Packing List in the Standard Download Screen.</t>
  </si>
  <si>
    <t>TR-DSRSW-1414</t>
  </si>
  <si>
    <t>8.7.0-10</t>
  </si>
  <si>
    <t>The product SHALL display the current "in unit" BSP version in the Standard Download Screen.</t>
  </si>
  <si>
    <t>TR-DSRSW-1411</t>
  </si>
  <si>
    <t>8.7.0-12</t>
  </si>
  <si>
    <t>The product SHALL display the current "target" version of Neptune in the Standard Download Screen.</t>
  </si>
  <si>
    <t>TR-DSRSW-1412</t>
  </si>
  <si>
    <t>8.7.0-13</t>
  </si>
  <si>
    <t>The product SHALL display the current "target" version of Packing List in the Standard Download Screen.</t>
  </si>
  <si>
    <t>TR-DSRSW-2439</t>
  </si>
  <si>
    <t>8.7.0-15</t>
  </si>
  <si>
    <t>The product SHALL display the current "target" BSP version in the Standard Download Screen.</t>
  </si>
  <si>
    <t>TR-DSRSW-1415</t>
  </si>
  <si>
    <t>8.7.0-16</t>
  </si>
  <si>
    <t>The product SHALL display the preamble/network PID in the Standard Download Screen.</t>
  </si>
  <si>
    <t>TR-DSRSW-1416</t>
  </si>
  <si>
    <t>8.7.0-17</t>
  </si>
  <si>
    <t>The product SHALL display the Download PID in the Standard Download Screen.</t>
  </si>
  <si>
    <t>TR-DSRSW-1417</t>
  </si>
  <si>
    <t>8.7.0-18</t>
  </si>
  <si>
    <t>The product SHALL display the Download Channel Number in the Standard Download Screen.</t>
  </si>
  <si>
    <t>TR-DSRSW-1418</t>
  </si>
  <si>
    <t>8.7.0-19</t>
  </si>
  <si>
    <t>The product SHALL display the Transport Locked State in the Standard Download Screen.</t>
  </si>
  <si>
    <t>TR-DSRSW-1419</t>
  </si>
  <si>
    <t>8.7.0-20</t>
  </si>
  <si>
    <t>The product SHALL display the Signal Level in the Standard Download Screen.</t>
  </si>
  <si>
    <t>TR-DSRSW-1420</t>
  </si>
  <si>
    <t>8.7.0-21</t>
  </si>
  <si>
    <t>The product SHALL display the VCT ID in the Standard Download Screen.</t>
  </si>
  <si>
    <t>TR-DSRSW-1421</t>
  </si>
  <si>
    <t>8.7.0-22</t>
  </si>
  <si>
    <t>The product SHALL display the download channel Frequency in the Standard Download Screen.</t>
  </si>
  <si>
    <t>TR-DSRSW-1422</t>
  </si>
  <si>
    <t>8.7.0-23</t>
  </si>
  <si>
    <t>The product SHALL display the download channel Code Rate in the Standard Download Screen.</t>
  </si>
  <si>
    <t>TR-DSRSW-1423</t>
  </si>
  <si>
    <t>8.7.0-24</t>
  </si>
  <si>
    <t>The product SHALL display the download channel Symbol Rate in the Standard Download Screen.</t>
  </si>
  <si>
    <t>TR-DSRSW-1424</t>
  </si>
  <si>
    <t>8.7.0-25</t>
  </si>
  <si>
    <t>The product SHALL display the download state in the Standard Download Screen.</t>
  </si>
  <si>
    <t>TR-DSRSW-1425</t>
  </si>
  <si>
    <t>8.7.0-26</t>
  </si>
  <si>
    <t>The product SHALL display the Total Files Collected in the Standard Download Screen.</t>
  </si>
  <si>
    <t>TR-DSRSW-1426</t>
  </si>
  <si>
    <t>8.7.0-27</t>
  </si>
  <si>
    <t>The product SHALL display the Total Number of Files in the Standard Download Screen.</t>
  </si>
  <si>
    <t>TR-DSRSW-1427</t>
  </si>
  <si>
    <t>8.7.0-28</t>
  </si>
  <si>
    <t>The product SHALL which indicate which files are collected with a "1" in the Standard Download Screen.</t>
  </si>
  <si>
    <t>TR-DSRSW-1428</t>
  </si>
  <si>
    <t>8.7.0-29</t>
  </si>
  <si>
    <t>The product SHALL which indicate which files have not been collected with a "0" in the Standard Download Screen.</t>
  </si>
  <si>
    <t>TR-DSRSW-1429</t>
  </si>
  <si>
    <t>8.7.0-30</t>
  </si>
  <si>
    <t>The product SHALL, in the Standard Download Screen, display the  Download Preamble Filter State (0,1,2) where 0 = no request, 1= waiting on PAT, 2=received.</t>
  </si>
  <si>
    <t>TR-DSRSW-1430</t>
  </si>
  <si>
    <t>8.7.0-31</t>
  </si>
  <si>
    <t>The product SHALL, in the Standard Download Screen, display the Download Msg Filter State (0,1,2) 0=no request, 1=waiting on PMT/SMAP, 2=Messages being received.</t>
  </si>
  <si>
    <t>TR-DSRSW-1431</t>
  </si>
  <si>
    <t>8.7.0-32</t>
  </si>
  <si>
    <t>The product SHALL, in the Standard Download Screen, display the Download Channel Tune State (0,1,2) 0=no tune request, 1=tuned no lock, 2, tuned and locked.</t>
  </si>
  <si>
    <t>TR-DSRSW-1433</t>
  </si>
  <si>
    <t>8.7.0-34</t>
  </si>
  <si>
    <t>The product SHALL, in the Standard Download Screen, display the Last Section Number.</t>
  </si>
  <si>
    <t>TR-DSRSW-1434</t>
  </si>
  <si>
    <t>8.7.0-35</t>
  </si>
  <si>
    <t>The product SHALL, in the Standard Download Screen, display the Remaining Section Count.</t>
  </si>
  <si>
    <t>TR-DSRSW-1435</t>
  </si>
  <si>
    <t>8.7.0-36</t>
  </si>
  <si>
    <t>The product SHALL, in the Standard Download Screen, display the Current Section Number.</t>
  </si>
  <si>
    <t>TR-DSRSW-1436</t>
  </si>
  <si>
    <t>TR-DSRSW-1437</t>
  </si>
  <si>
    <t>TR-DSRSW-1438</t>
  </si>
  <si>
    <t>TR-DSRSW-1439</t>
  </si>
  <si>
    <t>9.1.0-2</t>
  </si>
  <si>
    <t>The product SHALL authenticate a Platform Object prior to enabling it at the completion of a download.</t>
  </si>
  <si>
    <t>TR-DSRSW-1440</t>
  </si>
  <si>
    <t>9.1.0-3</t>
  </si>
  <si>
    <t>Note:  The use of the term "authenticate" is intended to refer to any method of verification of the correct object.</t>
  </si>
  <si>
    <t>TR-DSRSW-1441</t>
  </si>
  <si>
    <t>TR-DSRSW-1443</t>
  </si>
  <si>
    <t>The product SHALL be capable of booting from FLASH memory after an AC power cycle or reset.</t>
  </si>
  <si>
    <t>TR-DSRSW-1444</t>
  </si>
  <si>
    <t>TR-DSRSW-1445</t>
  </si>
  <si>
    <t>TR-DSRSW-1446</t>
  </si>
  <si>
    <t>TR-DSRSW-1447</t>
  </si>
  <si>
    <t>9.4.0-1</t>
  </si>
  <si>
    <t>TR-DSRSW-2232</t>
  </si>
  <si>
    <t>Synchronized Startup</t>
  </si>
  <si>
    <t>TR-DSRSW-2233</t>
  </si>
  <si>
    <t>9.5.0-1</t>
  </si>
  <si>
    <t>The product SHALL start the Shaw application when the plaform layer is ready for use.</t>
  </si>
  <si>
    <t>TR-DSRSW-2234</t>
  </si>
  <si>
    <t>9.5.0-2</t>
  </si>
  <si>
    <t>The product SHALL acheive a platform startup time that is less than the DSR6xx platform startup time.</t>
  </si>
  <si>
    <t>TR-DSRSW-2379</t>
  </si>
  <si>
    <t>TR-DSRSW-2380</t>
  </si>
  <si>
    <t>The product SHALL provide an API to set the Remote Control Unit (RCU) IR interface address to a value from 0 to 7.</t>
  </si>
  <si>
    <t>TR-DSRSW-2381</t>
  </si>
  <si>
    <t>The product SHALL, if the platform suppports a Remote Control Unit (RCU) UHF interface, provide an API to set the RCU UHF interface Address to a value from 0 to 7.</t>
  </si>
  <si>
    <t>TR-DSRSW-2384</t>
  </si>
  <si>
    <t>10.0-3</t>
  </si>
  <si>
    <t>The product SHALLL, if the platform supports a Remote Control Unit (RCU) UHF interface, provide an API to enable/disable the UHF Remote Control interface.</t>
  </si>
  <si>
    <t>TR-DSRSW-2397</t>
  </si>
  <si>
    <t>10.0-4</t>
  </si>
  <si>
    <t>The product SHALL provide an API to allow the appliaction to receive RCU IR commands for the selected RCU IR interface address.</t>
  </si>
  <si>
    <t>TR-DSRSW-2398</t>
  </si>
  <si>
    <t>10.0-5</t>
  </si>
  <si>
    <t>The product SHALL provide an API to allow the appliaction to receive RCU UHF commands for the selected RCU UHF interface address.</t>
  </si>
  <si>
    <t>TR-DSRSW-1451</t>
  </si>
  <si>
    <t>TR-DSRSW-1518</t>
  </si>
  <si>
    <t>MediaCipher</t>
  </si>
  <si>
    <t>TR-DSRSW-2176</t>
  </si>
  <si>
    <t>11.1.1</t>
  </si>
  <si>
    <t>MediaCipher General Requirements</t>
  </si>
  <si>
    <t>TR-DSRSW-1522</t>
  </si>
  <si>
    <t>11.1.1.0-1</t>
  </si>
  <si>
    <t>The product SHALL encrypt the interface between the MediaCipher processor and the SoC.</t>
  </si>
  <si>
    <t>TR-DSRSW-1523</t>
  </si>
  <si>
    <t>The product SHALL enter the EMM stream search after an Authorization Reset.</t>
  </si>
  <si>
    <t>TR-DSRSW-1524</t>
  </si>
  <si>
    <t>The product SHALL enter the EMM stream search after an Factory Reset.</t>
  </si>
  <si>
    <t>TR-DSRSW-1525</t>
  </si>
  <si>
    <t>The product SHALL monitor the first 5 GI EMM streams in the CAT list during the EMM stream search until the product receives an EMM with a unit address that matches the product's unit address.</t>
  </si>
  <si>
    <t>TR-DSRSW-1526</t>
  </si>
  <si>
    <t>The product SHALL store the EMM Provider ID of the unit addressed EMM found in the EMM Stream Search.</t>
  </si>
  <si>
    <t>TR-DSRSW-1527</t>
  </si>
  <si>
    <t>The product SHALL monitor the EMM PID as defined in the CAT for the EMM Provider found in the EMM stream search.</t>
  </si>
  <si>
    <t>TR-DSRSW-1528</t>
  </si>
  <si>
    <t>The product SHALL retain the EMM Provider in non-volatile memory.</t>
  </si>
  <si>
    <t>TR-DSRSW-1519</t>
  </si>
  <si>
    <t>11.1.1.0-2</t>
  </si>
  <si>
    <t>TR-DSRSW-1520</t>
  </si>
  <si>
    <t>11.1.1.0-3</t>
  </si>
  <si>
    <t xml:space="preserve">The product SHALL receive a service if the product possesses any of the subscription tiers, for the current category, on which the service is offered. </t>
  </si>
  <si>
    <t>TR-DSRSW-1529</t>
  </si>
  <si>
    <t>11.1.2</t>
  </si>
  <si>
    <t>TR-DSRSW-1530</t>
  </si>
  <si>
    <t>11.1.2.0-1</t>
  </si>
  <si>
    <t>The product SHALL maintain the current and next DCII category keys in non-volatile memory, as received in the last received EMM message.</t>
  </si>
  <si>
    <t>TR-DSRSW-1531</t>
  </si>
  <si>
    <t>11.1.2.0-2</t>
  </si>
  <si>
    <t>The product SHALL decrypt authorized programs under either the current or next category key.</t>
  </si>
  <si>
    <t>TR-DSRSW-1532</t>
  </si>
  <si>
    <t>11.1.3</t>
  </si>
  <si>
    <t>Regional, Circular, and Spotbeam Blackouts</t>
  </si>
  <si>
    <t>TR-DSRSW-1533</t>
  </si>
  <si>
    <t>11.1.3.0-1</t>
  </si>
  <si>
    <t>The product SHALL receive an assignment to one of 256 (0-255) Geographic Regions via the EMM.</t>
  </si>
  <si>
    <t>TR-DSRSW-1534</t>
  </si>
  <si>
    <t>11.1.3.0-2</t>
  </si>
  <si>
    <t>TR-DSRSW-1535</t>
  </si>
  <si>
    <t>11.1.3.0-3</t>
  </si>
  <si>
    <t>The product SHALL receive an assignment to a geographic location (x,y,z) via the EMM.</t>
  </si>
  <si>
    <t>TR-DSRSW-1536</t>
  </si>
  <si>
    <t>TR-DSRSW-1537</t>
  </si>
  <si>
    <t>TR-DSRSW-1542</t>
  </si>
  <si>
    <t>Code Validation</t>
  </si>
  <si>
    <t>TR-DSRSW-2426</t>
  </si>
  <si>
    <t>11.2.1</t>
  </si>
  <si>
    <t>Hardware</t>
  </si>
  <si>
    <t>TR-DSRSW-1453</t>
  </si>
  <si>
    <t>11.2.1.0-1</t>
  </si>
  <si>
    <t>The product SHALL disable the JTAG port for customer products that are to be deployed.</t>
  </si>
  <si>
    <t>TR-DSRSW-1454</t>
  </si>
  <si>
    <t>11.2.1.0-2</t>
  </si>
  <si>
    <t>The product SHALL disable the BBS port for customer products that are to be deployed.</t>
  </si>
  <si>
    <t>TR-DSRSW-1455</t>
  </si>
  <si>
    <t>11.2.1.0-3</t>
  </si>
  <si>
    <t>The product SHALL prevent the disclosure of critical security parameters over the serial debug port.</t>
  </si>
  <si>
    <t>TR-DSRSW-1543</t>
  </si>
  <si>
    <t>11.2.1.0-4</t>
  </si>
  <si>
    <t>TR-DSRSW-2427</t>
  </si>
  <si>
    <t>11.2.2</t>
  </si>
  <si>
    <t>Platform Code Authentication</t>
  </si>
  <si>
    <t>TR-DSRSW-1544</t>
  </si>
  <si>
    <t>11.2.2.0-1</t>
  </si>
  <si>
    <t>TR-DSRSW-1545</t>
  </si>
  <si>
    <t>11.2.2.0-2</t>
  </si>
  <si>
    <t>TR-DSRSW-1550</t>
  </si>
  <si>
    <t>11.2.2.0-3</t>
  </si>
  <si>
    <t>The product SHALL be provisioned with Code Verification CA by platform download.</t>
  </si>
  <si>
    <t>TR-DSRSW-1551</t>
  </si>
  <si>
    <t>11.2.2.0-4</t>
  </si>
  <si>
    <t xml:space="preserve">The product SHALL validate the PKCS#7 Platform Code Signature embedded in the platform download object. </t>
  </si>
  <si>
    <t>TR-DSRSW-1552</t>
  </si>
  <si>
    <t>11.2.2.0-5</t>
  </si>
  <si>
    <t>The product shall validate the platform code CVC issuer signature using the CVC CA Public Key from the CVC CA certificate included in the PKCS#7 signature.</t>
  </si>
  <si>
    <t>TR-DSRSW-1553</t>
  </si>
  <si>
    <t>11.2.2.0-6</t>
  </si>
  <si>
    <t>The product shall validate the platform code CVC CA issuer signature using the Motorola CVC Root Public Key held by the product.</t>
  </si>
  <si>
    <t>TR-DSRSW-1554</t>
  </si>
  <si>
    <t>11.2.2.0-7</t>
  </si>
  <si>
    <t>TR-DSRSW-1555</t>
  </si>
  <si>
    <t>11.2.2.0-8</t>
  </si>
  <si>
    <t>The product SHALL save the downloaded PKCS#7 platform signatures along with the downloaded platform code image after successfully evaluating all required platform code signature parameters.</t>
  </si>
  <si>
    <t>TR-DSRSW-1556</t>
  </si>
  <si>
    <t>11.2.2.0-9</t>
  </si>
  <si>
    <t>The product shall discard the platform download object if the validation of the Platform Code Signature embedded in the platform download object fails.</t>
  </si>
  <si>
    <t>TR-DSRSW-2428</t>
  </si>
  <si>
    <t>11.2.3</t>
  </si>
  <si>
    <t>Application Code Authentication</t>
  </si>
  <si>
    <t>TR-DSRSW-1548</t>
  </si>
  <si>
    <t>11.2.3.0-1</t>
  </si>
  <si>
    <t>TR-DSRSW-1549</t>
  </si>
  <si>
    <t>11.2.3.0-2</t>
  </si>
  <si>
    <t>TR-DSRSW-1546</t>
  </si>
  <si>
    <t>11.2.3.0-3</t>
  </si>
  <si>
    <t>The product shall validate the application code CVC issuer signature using the CVC CA Public Key from the CVC CA certificate included in the PKCS#7 signature.</t>
  </si>
  <si>
    <t>TR-DSRSW-1547</t>
  </si>
  <si>
    <t>11.2.3.0-4</t>
  </si>
  <si>
    <t>The product shall validate the application code CVC CA issuer signature using the CVC Root Public Key held by the product.</t>
  </si>
  <si>
    <t>TR-DSRSW-1557</t>
  </si>
  <si>
    <t>11.2.3.0-5</t>
  </si>
  <si>
    <t>The product shall discard an application download object if the validation of the Platform Code Signature embedded in the application download object fails.</t>
  </si>
  <si>
    <t>TR-DSRSW-1457</t>
  </si>
  <si>
    <t>11.2.4.0-1</t>
  </si>
  <si>
    <t>The product SHALL use the RSA public key along with the chip vendor's ROM code to validate the boot code.</t>
  </si>
  <si>
    <t>TR-DSRSW-1458</t>
  </si>
  <si>
    <t>11.2.4.0-2</t>
  </si>
  <si>
    <t>The product SHALL authenticate Boot Code each time that the product boots up.</t>
  </si>
  <si>
    <t>TR-DSRSW-2212</t>
  </si>
  <si>
    <t>Internet Security</t>
  </si>
  <si>
    <t>TR-DSRSW-1467</t>
  </si>
  <si>
    <t>11.3.1-1</t>
  </si>
  <si>
    <t>TR-DSRSW-1468</t>
  </si>
  <si>
    <t>11.3.1-2</t>
  </si>
  <si>
    <t xml:space="preserve">NOTE: Refer to 365-095-3914 ("STB / NIM IP Security Requirements") for background on IP network security requirements. </t>
  </si>
  <si>
    <t>TR-DSRSW-1469</t>
  </si>
  <si>
    <t>11.3.2</t>
  </si>
  <si>
    <t>ARP Spoofing and Overflow Mitigation</t>
  </si>
  <si>
    <t>TR-DSRSW-1470</t>
  </si>
  <si>
    <t>11.3.2.0-1</t>
  </si>
  <si>
    <t>The Product SHALL delete an ARP entry associated with the Home Network IF this entry was not successfully refreshed within an ARP entry timeout period of 10 minutes.</t>
  </si>
  <si>
    <t>TR-DSRSW-1471</t>
  </si>
  <si>
    <t>11.3.2.0-2</t>
  </si>
  <si>
    <t>The Product SHALL discard an ARP Reply received from the Home Network IF this reply is not associated with Product's ARP Request.</t>
  </si>
  <si>
    <t>TR-DSRSW-1472</t>
  </si>
  <si>
    <t>11.3.2.0-3</t>
  </si>
  <si>
    <t>The product SHALL use a FIFO for the ARP Cache which provides overflow prevention and allowing the creation of ARP Entries as soon as an attack ceases.</t>
  </si>
  <si>
    <t>TR-DSRSW-1473</t>
  </si>
  <si>
    <t>11.3.3</t>
  </si>
  <si>
    <t>IP Spoofing and Overflow Mitigation</t>
  </si>
  <si>
    <t>TR-DSRSW-1474</t>
  </si>
  <si>
    <t>11.3.3.0-1</t>
  </si>
  <si>
    <t>The Product SHALL discard each IP packet received from the Home Network IF the packet's destination IP address is identical to the source IP address (aka "Land Attack").</t>
  </si>
  <si>
    <t>TR-DSRSW-1475</t>
  </si>
  <si>
    <t>11.3.3.0-2</t>
  </si>
  <si>
    <t>The Product SHALL discard each IP packet received from the Home Network IF this packet includes the source-routing option.</t>
  </si>
  <si>
    <t>TR-DSRSW-1476</t>
  </si>
  <si>
    <t>11.3.3.0-3</t>
  </si>
  <si>
    <t>The Product SHALL discard each IP fragment of a particular IP packet received from the Home Network IF all fragments are not received within 64 seconds after the first fragment was received.</t>
  </si>
  <si>
    <t>TR-DSRSW-1477</t>
  </si>
  <si>
    <t>11.3.3.0-4</t>
  </si>
  <si>
    <t>The Product SHALL discard each IP fragment buffered for reassembly of a particular IP packet received from the Home Network IF the number of fragments to be reassembled exceeds 5.</t>
  </si>
  <si>
    <t>TR-DSRSW-1478</t>
  </si>
  <si>
    <t>11.3.3.0-5</t>
  </si>
  <si>
    <t>The Product SHALL discard each IP fragment buffered for reassembly of a particular IP packet received from the Home Network IF the size of the reassembled IP packet will exceed 8200 bytes.</t>
  </si>
  <si>
    <t>TR-DSRSW-1479</t>
  </si>
  <si>
    <t>11.3.4</t>
  </si>
  <si>
    <t>SYN Flooding Mitigation</t>
  </si>
  <si>
    <t>TR-DSRSW-1480</t>
  </si>
  <si>
    <t>11.3.4.0-1</t>
  </si>
  <si>
    <t>The Product SHALL send a RESET TCP packet (packet with RST flag set) to the associated host in the Home Network WHEN any SYN packet is dropped from the buffer handling half-open connections due to the queue being full.</t>
  </si>
  <si>
    <t>TR-DSRSW-1481</t>
  </si>
  <si>
    <t>11.3.4.0-2</t>
  </si>
  <si>
    <t>The Product SHALL discard a TCP packet received from the Home Network IF this packet has the FIN flag set without also having the ACK flag set.</t>
  </si>
  <si>
    <t>TR-DSRSW-1482</t>
  </si>
  <si>
    <t>11.3.4.0-3</t>
  </si>
  <si>
    <t>The Product SHALL discard a TCP packet received from the Home Network IF this packet has no flags set (a.k.a. "Null" TCP packet).</t>
  </si>
  <si>
    <t>TR-DSRSW-1483</t>
  </si>
  <si>
    <t>11.3.4.0-4</t>
  </si>
  <si>
    <t>The Product SHALL generate a sufficiently random ISN value for a TCP connection in compliance with [IETF RFC 1948 - 1].</t>
  </si>
  <si>
    <t>TR-DSRSW-1484</t>
  </si>
  <si>
    <t>11.3.4.0-5</t>
  </si>
  <si>
    <t>The Product SHALL be resilient to a half-open connections buffer overflow attack (a.k.a. SYN-flood) initiated within the Home Network.</t>
  </si>
  <si>
    <t>TR-DSRSW-1485</t>
  </si>
  <si>
    <t>11.3.4.0-6</t>
  </si>
  <si>
    <t>Note: FIFO implementation for the half-open connections buffer provides overflow prevention and the efficient recovery following the attack, still allowing legitimate connections to be served (depending on the rate of the SYN-flood)</t>
  </si>
  <si>
    <t>TR-DSRSW-1486</t>
  </si>
  <si>
    <t>11.3.5</t>
  </si>
  <si>
    <t>SNMP Disable</t>
  </si>
  <si>
    <t>TR-DSRSW-1487</t>
  </si>
  <si>
    <t>11.3.5.0-1</t>
  </si>
  <si>
    <t>The Product SHALL ignore each SNMP message received from the Home Network interfaces.</t>
  </si>
  <si>
    <t>TR-DSRSW-1488</t>
  </si>
  <si>
    <t>11.3.5.0-2</t>
  </si>
  <si>
    <t>TR-DSRSW-1489</t>
  </si>
  <si>
    <t>11.3.5.0-3</t>
  </si>
  <si>
    <t>The product SHALL process each buffer overflow exception without resulting in a system reset or memory corruption.</t>
  </si>
  <si>
    <t>TR-DSRSW-1490</t>
  </si>
  <si>
    <t>11.3.5.0-4</t>
  </si>
  <si>
    <t>TR-DSRSW-1491</t>
  </si>
  <si>
    <t>11.3.5.0-5</t>
  </si>
  <si>
    <t>TR-DSRSW-1492</t>
  </si>
  <si>
    <t>11.3.5.0-6</t>
  </si>
  <si>
    <t>The product SHALL prohibit downloading code objects from unauthenticated sources. (in order to secure the product against "Trojan Horse" attacks).</t>
  </si>
  <si>
    <t>TR-DSRSW-1493</t>
  </si>
  <si>
    <t>11.3.5.0-7</t>
  </si>
  <si>
    <t>The product SHALL disable the 'rlogin' protocol.</t>
  </si>
  <si>
    <t>TR-DSRSW-1494</t>
  </si>
  <si>
    <t>11.3.5.0-8</t>
  </si>
  <si>
    <t>The product SHALL disable the 'rcp' protocol.</t>
  </si>
  <si>
    <t>TR-DSRSW-1495</t>
  </si>
  <si>
    <t>11.3.5.0-9</t>
  </si>
  <si>
    <t>The product SHALL disable the 'rsh' protocol.</t>
  </si>
  <si>
    <t>TR-DSRSW-1496</t>
  </si>
  <si>
    <t>11.3.5.0-10</t>
  </si>
  <si>
    <t>The product SHALL disable the anonymous FTP protocol.</t>
  </si>
  <si>
    <t>TR-DSRSW-1497</t>
  </si>
  <si>
    <t>11.3.5.0-11</t>
  </si>
  <si>
    <t>The product SHALL disable the Network File System (NFS) protocol.</t>
  </si>
  <si>
    <t>TR-DSRSW-1498</t>
  </si>
  <si>
    <t>11.3.5.0-12</t>
  </si>
  <si>
    <t>The product SHALL disable generation and processing of traceroute packets.</t>
  </si>
  <si>
    <t>TR-DSRSW-1499</t>
  </si>
  <si>
    <t>11.3.5.0-13</t>
  </si>
  <si>
    <t>The product SHALL disable generating a ping request.</t>
  </si>
  <si>
    <t>TR-DSRSW-1501</t>
  </si>
  <si>
    <t>11.3.5.0-14</t>
  </si>
  <si>
    <t>The product SHALL dynamically and immediately close the DNS port when not in use by the product.</t>
  </si>
  <si>
    <t>TR-DSRSW-1502</t>
  </si>
  <si>
    <t>11.3.5.0-15</t>
  </si>
  <si>
    <t>The product SHALL dynamically and immediately close the DHCP port when not in use by the product.</t>
  </si>
  <si>
    <t>TR-DSRSW-1503</t>
  </si>
  <si>
    <t>11.3.5.0-16</t>
  </si>
  <si>
    <t>The product SHALL ensure reading data from an IP communication port will not overrun a buffer.   (i.e. attempting to place N bytes into a buffer when the remaining buffer size is less that N bytes).</t>
  </si>
  <si>
    <t>TR-DSRSW-1504</t>
  </si>
  <si>
    <t>TR-DSRSW-1505</t>
  </si>
  <si>
    <t>TR-DSRSW-1506</t>
  </si>
  <si>
    <t>11.4.0-2</t>
  </si>
  <si>
    <t>TR-DSRSW-1507</t>
  </si>
  <si>
    <t>11.4.0-3</t>
  </si>
  <si>
    <t>The product SHALL support fingerprint messages on the PMT PID. (i.e., fingerprints are service based).</t>
  </si>
  <si>
    <t>TR-DSRSW-1508</t>
  </si>
  <si>
    <t>11.4.0-4</t>
  </si>
  <si>
    <t>The product SHALL display fingerprints on the HDMI output.</t>
  </si>
  <si>
    <t>TR-DSRSW-1510</t>
  </si>
  <si>
    <t>11.4.0-5</t>
  </si>
  <si>
    <t>The product SHALL display fingerprints on the composite video output.</t>
  </si>
  <si>
    <t>TR-DSRSW-1512</t>
  </si>
  <si>
    <t>11.4.0-6</t>
  </si>
  <si>
    <t>The product SHALL display the fingerprint at the activation time specified in the last received valid fingerprint message.</t>
  </si>
  <si>
    <t>TR-DSRSW-1513</t>
  </si>
  <si>
    <t>11.4.0-7</t>
  </si>
  <si>
    <t>The product SHALL, if the duration is specified, display the fingerprint for the duration specified in the last received valid fingerprint message.</t>
  </si>
  <si>
    <t>TR-DSRSW-1514</t>
  </si>
  <si>
    <t>11.4.0-8</t>
  </si>
  <si>
    <t>The product SHALL, if the duration is not specified, display the fingerprint for one second (+/- 0.5 seconds).</t>
  </si>
  <si>
    <t>TR-DSRSW-1515</t>
  </si>
  <si>
    <t>11.4.0-9</t>
  </si>
  <si>
    <t>The product SHALL, if DVR is supported, display the fingerprint at the GPS time and duration specified in the fingerprint message, regardless of the DVR playback location.</t>
  </si>
  <si>
    <t>TR-DSRSW-1516</t>
  </si>
  <si>
    <t>11.4.0-10</t>
  </si>
  <si>
    <t>The product SHALL support fingerprint messages only for the foreground service. That is, fingerprint messages on background services, if supported and active, can be discarded.</t>
  </si>
  <si>
    <t>TR-DSRSW-1517</t>
  </si>
  <si>
    <t>11.4.0-11</t>
  </si>
  <si>
    <t>The product SHALL display the 40 bit unit address in hexadecimal characters when the fingerprint message specifies "clear" as the fingerprint format.</t>
  </si>
  <si>
    <t>TR-DSRSW-2418</t>
  </si>
  <si>
    <t>DRM</t>
  </si>
  <si>
    <t>FR-DSRSW-1528</t>
  </si>
  <si>
    <t>TR-DSRSW-2419</t>
  </si>
  <si>
    <t>Verimatrix DRM</t>
  </si>
  <si>
    <t>TR-DSRSW-2420</t>
  </si>
  <si>
    <t>12.1.0-1</t>
  </si>
  <si>
    <t>TR-DSRSW-2421</t>
  </si>
  <si>
    <t>12.1.0-2</t>
  </si>
  <si>
    <t>TR-DSRSW-2422</t>
  </si>
  <si>
    <t>12.1.0-3</t>
  </si>
  <si>
    <t>The product shall notify an application when an error condition is raised or cleared by the Verimatrix CA system.</t>
  </si>
  <si>
    <t>TR-DSRSW-2424</t>
  </si>
  <si>
    <t>12.1.0-4</t>
  </si>
  <si>
    <t>TR-DSRSW-2199</t>
  </si>
  <si>
    <t>NTSC CGMS-A Copy Protection</t>
  </si>
  <si>
    <t>TR-DSRSW-2113</t>
  </si>
  <si>
    <t>TR-DSRSW-2114</t>
  </si>
  <si>
    <t>13.1.0-2</t>
  </si>
  <si>
    <t>TR-DSRSW-1558</t>
  </si>
  <si>
    <t>TR-DSRSW-1559</t>
  </si>
  <si>
    <t>Internal Hard Disk Drive General</t>
  </si>
  <si>
    <t>TR-DSRSW-2178</t>
  </si>
  <si>
    <t>14.1.0-7</t>
  </si>
  <si>
    <t>The product SHALL support executing with up to 1 TB  of capacity for a single internal hard disk drive.</t>
  </si>
  <si>
    <t>TR-DSRSW-2179</t>
  </si>
  <si>
    <t>14.1.0-8</t>
  </si>
  <si>
    <t>The product shall provide DVR services (record, play, trickplay) through the platform code  APIs on up to a 1 TB HDD.</t>
  </si>
  <si>
    <t>TR-DSRSW-2180</t>
  </si>
  <si>
    <t>14.1.0-9</t>
  </si>
  <si>
    <t>The product shall provide file system services through the platform code APIs on the resident HDD.</t>
  </si>
  <si>
    <t>TR-DSRSW-1567</t>
  </si>
  <si>
    <t>14.1.0-10</t>
  </si>
  <si>
    <t xml:space="preserve">The product SHALL detect if a hard disk drive is present upon AC Power. </t>
  </si>
  <si>
    <t>TR-DSRSW-1568</t>
  </si>
  <si>
    <t>14.1.0-11</t>
  </si>
  <si>
    <t>The product SHALL provide capability to operate with a hard disk drive capability if drive is detected upon AC Power.</t>
  </si>
  <si>
    <t>TR-DSRSW-1569</t>
  </si>
  <si>
    <t>14.1.0-12</t>
  </si>
  <si>
    <t>The product SHALL provide capability to operate without a hard disk drive capability if a drive is not detected upon AC Power</t>
  </si>
  <si>
    <t>TR-DSRSW-1570</t>
  </si>
  <si>
    <t>External Hard Disk Drive General</t>
  </si>
  <si>
    <t>TR-DSRSW-1571</t>
  </si>
  <si>
    <t>14.2.0-2</t>
  </si>
  <si>
    <t>The remaining requirements in this section only apply for products that external DVR functionality.</t>
  </si>
  <si>
    <t>FR-DSRSW-1364</t>
  </si>
  <si>
    <t>TR-DSRSW-1572</t>
  </si>
  <si>
    <t>14.2.0-3</t>
  </si>
  <si>
    <t>The product SHALL support up to two active recording sessions total on any combination of HDDs, internal or external, while simultaneously supporting up to one playback session from an HDD, internal or external.</t>
  </si>
  <si>
    <t>TR-DSRSW-1573</t>
  </si>
  <si>
    <t>14.2.0-4</t>
  </si>
  <si>
    <t>The product SHALL provide an API that allows an application to determine if an external HDD is connected.</t>
  </si>
  <si>
    <t>TR-DSRSW-1574</t>
  </si>
  <si>
    <t>14.2.0-5</t>
  </si>
  <si>
    <t>The product SHALL provide an API that allows an application to determine if an external HDD is connected that has been formatted and paired for use with the product.</t>
  </si>
  <si>
    <t>TR-DSRSW-1575</t>
  </si>
  <si>
    <t>14.2.0-6</t>
  </si>
  <si>
    <t>The product SHALL notify a registered application when an eHDD has been disconnected.</t>
  </si>
  <si>
    <t>TR-DSRSW-1576</t>
  </si>
  <si>
    <t>14.2.0-7</t>
  </si>
  <si>
    <t>The product SHALL notify a registered application when an eHDD has been connected and mounted.</t>
  </si>
  <si>
    <t>TR-DSRSW-1577</t>
  </si>
  <si>
    <t>14.2.0-8</t>
  </si>
  <si>
    <t>The product SHALL provide the software application with the eHDD connection status (connected/disconnected).</t>
  </si>
  <si>
    <t>TR-DSRSW-1578</t>
  </si>
  <si>
    <t>14.2.0-9</t>
  </si>
  <si>
    <t>The product SHALL update the eHDD connection status upon boot up.</t>
  </si>
  <si>
    <t>TR-DSRSW-1579</t>
  </si>
  <si>
    <t>14.2.0-10</t>
  </si>
  <si>
    <t>The product SHALL provide available free space on eHDD when eHDD is connected and requested by application.</t>
  </si>
  <si>
    <t>TR-DSRSW-1580</t>
  </si>
  <si>
    <t>14.2.0-11</t>
  </si>
  <si>
    <t xml:space="preserve">The product SHALL provide the application with the ability to select a DVR eHDD for a particular record session. </t>
  </si>
  <si>
    <t>TR-DSRSW-1581</t>
  </si>
  <si>
    <t>14.2.0-12</t>
  </si>
  <si>
    <t xml:space="preserve">The product SHALL provide the application with the ability to select a DVR eHDD for a particular playback session. </t>
  </si>
  <si>
    <t>TR-DSRSW-1582</t>
  </si>
  <si>
    <t>14.2.1</t>
  </si>
  <si>
    <t>External DVR Formatting</t>
  </si>
  <si>
    <t>TR-DSRSW-1583</t>
  </si>
  <si>
    <t>14.2.1.0-1</t>
  </si>
  <si>
    <t>TR-DSRSW-1585</t>
  </si>
  <si>
    <t>14.2.1.0-2</t>
  </si>
  <si>
    <t>The product SHALL provide an API that allows an application to acquire the HDD Unique ID of a discovered DVR eHDD.</t>
  </si>
  <si>
    <t>TR-DSRSW-1586</t>
  </si>
  <si>
    <t>14.2.1.0-3</t>
  </si>
  <si>
    <t xml:space="preserve">The product SHALL provide an API that allows an application to request that an eHDD be formatted as a DVR eHDD. </t>
  </si>
  <si>
    <t>TR-DSRSW-1587</t>
  </si>
  <si>
    <t>14.2.1.0-4</t>
  </si>
  <si>
    <t>The product SHALL notify a registered application when an eHDD format attempt has failed.</t>
  </si>
  <si>
    <t>TR-DSRSW-1588</t>
  </si>
  <si>
    <t>DVR Record &amp; Play Functions</t>
  </si>
  <si>
    <t>TR-DSRSW-1589</t>
  </si>
  <si>
    <t>TR-DSRSW-1591</t>
  </si>
  <si>
    <t>The product SHALL be capable of real-time (1x) playback of one (1) AV transport stream of supported content from and supported hard disk drive (HDD) to local outputs.</t>
  </si>
  <si>
    <t>TR-DSRSW-1592</t>
  </si>
  <si>
    <t>The product SHALL select the first audio PID in the PMT that matches the user selected language during content playback.</t>
  </si>
  <si>
    <t>TR-DSRSW-1593</t>
  </si>
  <si>
    <t>14.3.1.0-3</t>
  </si>
  <si>
    <t>The product SHALL select the first audio PID in the PMT if no audio PID's match the user selected language during content playback.</t>
  </si>
  <si>
    <t>TR-DSRSW-1596</t>
  </si>
  <si>
    <t>DVR Bypass</t>
  </si>
  <si>
    <t>TR-DSRSW-1598</t>
  </si>
  <si>
    <t xml:space="preserve">The product SHALL continue to operate and pass live audio/video to the audio/video outputs when during a hard drive failure. </t>
  </si>
  <si>
    <t>TR-DSRSW-1599</t>
  </si>
  <si>
    <t>TR-DSRSW-1601</t>
  </si>
  <si>
    <t xml:space="preserve">The product SHALL be capable of concurrently recording up to two (2) AV streams with any combination of MPEG-2, MPEG-4 AVC, or HEVC, encoded content from its tuners to a supported hard disk drive (HDD). </t>
  </si>
  <si>
    <t>TR-DSRSW-1602</t>
  </si>
  <si>
    <t>14.3.3.0-2</t>
  </si>
  <si>
    <t>TR-DSRSW-1603</t>
  </si>
  <si>
    <t>14.3.3.0-3</t>
  </si>
  <si>
    <t>TR-DSRSW-2181</t>
  </si>
  <si>
    <t>14.3.3.0-4</t>
  </si>
  <si>
    <t>TR-DSRSW-1604</t>
  </si>
  <si>
    <t>14.3.3.0-5</t>
  </si>
  <si>
    <t>TR-DSRSW-1605</t>
  </si>
  <si>
    <t>TR-DSRSW-1606</t>
  </si>
  <si>
    <t>The product SHALL support trick-play of the stream being played back.</t>
  </si>
  <si>
    <t>TR-DSRSW-1609</t>
  </si>
  <si>
    <t>14.3.4.0-4</t>
  </si>
  <si>
    <t>The product SHALL support a "Pause" capability on a stream being played back from a</t>
  </si>
  <si>
    <t>TR-DSRSW-1613</t>
  </si>
  <si>
    <t>14.3.4.0-8</t>
  </si>
  <si>
    <t>The product SHALL support a "Skip Forward" capability, in units of seconds, to any place on a stream being played back from a hard disk drive (HDD).  This requirement applies for all  supported coding formats.[keyword: jump ]</t>
  </si>
  <si>
    <t>TR-DSRSW-1614</t>
  </si>
  <si>
    <t>14.3.4.0-9</t>
  </si>
  <si>
    <t>The product SHALL support a "Skip Backward" capability, in units of seconds, to any place on a stream being played back from a hard disk drive (HDD).  This requirement applies for all  supported coding formats.[keyword: jump ]</t>
  </si>
  <si>
    <t>TR-DSRSW-1625</t>
  </si>
  <si>
    <t>14.3.4.0-20</t>
  </si>
  <si>
    <t>The product SHALL allow the application to specify the speed and direction of trick-play for DVR content.</t>
  </si>
  <si>
    <t>TR-DSRSW-2238</t>
  </si>
  <si>
    <t>14.4.1</t>
  </si>
  <si>
    <t>Append</t>
  </si>
  <si>
    <t>TR-DSRSW-2362</t>
  </si>
  <si>
    <t>14.4.1.0-1</t>
  </si>
  <si>
    <t>TR-DSRSW-2363</t>
  </si>
  <si>
    <t>The product SHALL provide an append API that allows one file to be a live foreground (LOD) recording.</t>
  </si>
  <si>
    <t>TR-DSRSW-2364</t>
  </si>
  <si>
    <t>The product SHALL provide an append API that allows one file to be a live background recording.</t>
  </si>
  <si>
    <t>TR-DSRSW-2365</t>
  </si>
  <si>
    <t>TR-DSRSW-2366</t>
  </si>
  <si>
    <t>TR-DSRSW-2241</t>
  </si>
  <si>
    <t>14.4.2</t>
  </si>
  <si>
    <t>Adara 1.1</t>
  </si>
  <si>
    <t>TR-DSRSW-2450</t>
  </si>
  <si>
    <t>14.4.2.0-1</t>
  </si>
  <si>
    <t>The product SHALL provide an “split API” that allows the application to split a DVR program file into seperate DVR files.</t>
  </si>
  <si>
    <t>TR-DSRSW-2453</t>
  </si>
  <si>
    <t>14.4.2.0-2</t>
  </si>
  <si>
    <t>The product SHALL provide an split API that allows the target file to be a live foreground DVR recording.</t>
  </si>
  <si>
    <t>TR-DSRSW-2443</t>
  </si>
  <si>
    <t>14.4.2.0-3</t>
  </si>
  <si>
    <t>The product SHALL provide an split API that allows the target file to be a live background DVR recording.</t>
  </si>
  <si>
    <t>TR-DSRSW-2454</t>
  </si>
  <si>
    <t>14.4.2.0-4</t>
  </si>
  <si>
    <t>The product SHALL provide an split API that allows the target file to be a completed DVR recording.</t>
  </si>
  <si>
    <t>TR-DSRSW-2442</t>
  </si>
  <si>
    <t>14.4.2.0-5</t>
  </si>
  <si>
    <t>The product SHALL continue to play an active file resulting from a split recording.</t>
  </si>
  <si>
    <t>TR-DSRSW-2451</t>
  </si>
  <si>
    <t>The product SHALL continue to record an active file resulting from a split recording.</t>
  </si>
  <si>
    <t>TR-DSRSW-1627</t>
  </si>
  <si>
    <t>TR-DSRSW-1628</t>
  </si>
  <si>
    <t>Synchronization of System Time with NTP Time</t>
  </si>
  <si>
    <t>TR-DSRSW-1629</t>
  </si>
  <si>
    <t>15.1.0-1</t>
  </si>
  <si>
    <t>The product SHALL provide an API that allows the application to request that the product synchronize system time to an application-specified NTP time server.</t>
  </si>
  <si>
    <t>TR-DSRSW-1630</t>
  </si>
  <si>
    <t>15.1.0-2</t>
  </si>
  <si>
    <t>The product SHALL, when requested by NTP time synchronization request, read the NTP time from the specified NTP time server.</t>
  </si>
  <si>
    <t>TR-DSRSW-1631</t>
  </si>
  <si>
    <t>15.1.0-3</t>
  </si>
  <si>
    <t>The product SHALL synchronize system time to NTP time when a valid response is received from the specified NTP time server, in response to an NTP time request.</t>
  </si>
  <si>
    <t>TR-DSRSW-2182</t>
  </si>
  <si>
    <t>TR-DSRSW-2184</t>
  </si>
  <si>
    <t>TR-DSRSW-1633</t>
  </si>
  <si>
    <t>The product SHALL support an IP VOD HLS streaming application.</t>
  </si>
  <si>
    <t>TR-DSRSW-1634</t>
  </si>
  <si>
    <t>16.1.0-2</t>
  </si>
  <si>
    <t>The product SHALL support variable length chunks in duration.</t>
  </si>
  <si>
    <t>TR-DSRSW-1635</t>
  </si>
  <si>
    <t>16.1.0-3</t>
  </si>
  <si>
    <t>Note: The typical length of chunks is expected to be of the order of a second or a few seconds</t>
  </si>
  <si>
    <t>TR-DSRSW-1636</t>
  </si>
  <si>
    <t>16.1.0-4</t>
  </si>
  <si>
    <t>The product SHALL be resilient and support input media streams that are highly jittered or are missing PCRs, have sloppy adherence to MPEG buffer models, have stream discontinuities without the MPEG-defined discontinuity indicators.</t>
  </si>
  <si>
    <t>TR-DSRSW-1637</t>
  </si>
  <si>
    <t>16.1.0-5</t>
  </si>
  <si>
    <t>The product SHALL support streams with media files that may be encrypted.</t>
  </si>
  <si>
    <t>TR-DSRSW-1638</t>
  </si>
  <si>
    <t>16.1.0-6</t>
  </si>
  <si>
    <t>TR-DSRSW-1643</t>
  </si>
  <si>
    <t>16.1.0-7</t>
  </si>
  <si>
    <t>The product SHALL support streaming HLS video content at up to 8 Mbits/sec.</t>
  </si>
  <si>
    <t>TR-DSRSW-1644</t>
  </si>
  <si>
    <t>16.1.0-8</t>
  </si>
  <si>
    <t>The product SHALL support streaming HLS audio content at up to 200 kbits/sec.</t>
  </si>
  <si>
    <t>TR-DSRSW-1645</t>
  </si>
  <si>
    <t>Buffer Related Requirements</t>
  </si>
  <si>
    <t>TR-DSRSW-1646</t>
  </si>
  <si>
    <t>16.2.0-1</t>
  </si>
  <si>
    <t>The product SHALL have two VOD input buffers dedicated for VOD service, with each buffer capable of supporting from 2 to 10 seconds of audio/video content for all supported service rates.</t>
  </si>
  <si>
    <t>TR-DSRSW-1647</t>
  </si>
  <si>
    <t>16.2.0-2</t>
  </si>
  <si>
    <t>The product SHALL dedicate up to 24 MB of memory total for the IP VOD buffers.</t>
  </si>
  <si>
    <t>TR-DSRSW-1648</t>
  </si>
  <si>
    <t>16.2.0-3</t>
  </si>
  <si>
    <t>TR-DSRSW-2183</t>
  </si>
  <si>
    <t>TR-DSRSW-1653</t>
  </si>
  <si>
    <t>16.3.0-1</t>
  </si>
  <si>
    <t xml:space="preserve">The product SHALL transition between various resolutions without visible artifacts. (NOTE: Shaw implements this requirement.  This requirement is for test plan linkage)
</t>
  </si>
  <si>
    <t>TR-DSRSW-1654</t>
  </si>
  <si>
    <t>16.3.0-2</t>
  </si>
  <si>
    <t>The product SHALL scale the received stream to the maximum resolution of the device when rendering content in full screen mode. (NOTE: Shaw implements this requirement.  This requirement is for test plan linkage)</t>
  </si>
  <si>
    <t>TR-DSRSW-1655</t>
  </si>
  <si>
    <t>16.3.0-3</t>
  </si>
  <si>
    <t>The product SHALL transition between various bitrates without visible artifacts.(NOTE: Shaw implements this requirement.  This requirement is for test plan linkage)</t>
  </si>
  <si>
    <t>TR-DSRSW-1656</t>
  </si>
  <si>
    <t>Performance Attributes</t>
  </si>
  <si>
    <t>TR-DSRSW-1657</t>
  </si>
  <si>
    <t>16.4.0-1</t>
  </si>
  <si>
    <t>The product SHALL operate for 4 hours while continually playing back highest supported resolution video and audio content without any visual or audio artifacts, hangs, exceptions, or resets.</t>
  </si>
  <si>
    <t>TR-DSRSW-1658</t>
  </si>
  <si>
    <t>16.4.0-2</t>
  </si>
  <si>
    <t>TR-DSRSW-1659</t>
  </si>
  <si>
    <t>16.4.0-3</t>
  </si>
  <si>
    <t>The product SHALL apply the decoded output of internet video on all applicable ports (viz HDMI, Composite, Optical audio, Analog Audio, etc.) consistent with current configuration when the rendering of internet media content is in progress</t>
  </si>
  <si>
    <t>TR-DSRSW-1660</t>
  </si>
  <si>
    <t>16.4.0-4</t>
  </si>
  <si>
    <t>TR-DSRSW-1661</t>
  </si>
  <si>
    <t>16.4.0-5</t>
  </si>
  <si>
    <t>TR-DSRSW-1662</t>
  </si>
  <si>
    <t>TR-DSRSW-1663</t>
  </si>
  <si>
    <t>16.5.0-1</t>
  </si>
  <si>
    <t>The product SHALL support decoding and rendering closed captions during http based rendering of internet video content, as defined by the closed caption requirements in this PFS.</t>
  </si>
  <si>
    <t>TR-DSRSW-2244</t>
  </si>
  <si>
    <t>TR-DSRSW-2245</t>
  </si>
  <si>
    <t>TR-DSRSW-2246</t>
  </si>
  <si>
    <t>17.1.0-1</t>
  </si>
  <si>
    <t>TR-DSRSW-2247</t>
  </si>
  <si>
    <t>17.1.0-2</t>
  </si>
  <si>
    <t>The DSR800 product shall be designated as the "DSR800".</t>
  </si>
  <si>
    <t>TR-DSRSW-2248</t>
  </si>
  <si>
    <t>17.1.0-3</t>
  </si>
  <si>
    <t>The DSR830 product shall be designated as the "DSR830".</t>
  </si>
  <si>
    <t>TR-DSRSW-2252</t>
  </si>
  <si>
    <t>Operating Mode</t>
  </si>
  <si>
    <t>TR-DSRSW-2254</t>
  </si>
  <si>
    <t>17.2.0-2</t>
  </si>
  <si>
    <t>The product shall automatically configure itself as an 802.11ac client.  </t>
  </si>
  <si>
    <t>TR-DSRSW-2255</t>
  </si>
  <si>
    <t>PHY</t>
  </si>
  <si>
    <t>TR-DSRSW-2375</t>
  </si>
  <si>
    <t>17.3.0-1</t>
  </si>
  <si>
    <t>The product shall support operating in the 2.4 GHz ISM bands.</t>
  </si>
  <si>
    <t>TR-DSRSW-2256</t>
  </si>
  <si>
    <t>17.3.0-2</t>
  </si>
  <si>
    <t>The product shall support operating in the 5 GHz U-NII bands. (Low/Mid/Worldwide/Upper)</t>
  </si>
  <si>
    <t>TR-DSRSW-2376</t>
  </si>
  <si>
    <t>17.3.0-3</t>
  </si>
  <si>
    <t>TR-DSRSW-2396</t>
  </si>
  <si>
    <t>17.3.0-4</t>
  </si>
  <si>
    <t>The product SHALL operated in dual band selectable mode.</t>
  </si>
  <si>
    <t>TR-DSRSW-2278</t>
  </si>
  <si>
    <t>MAC</t>
  </si>
  <si>
    <t>TR-DSRSW-2279</t>
  </si>
  <si>
    <t>17.4.0-1</t>
  </si>
  <si>
    <t>The product shall support power save modes according to IEEE 802.11e [80211e]. (Note: 802.11e support is typically included in 802.11n and 802.11ac products)</t>
  </si>
  <si>
    <t>TR-DSRSW-2280</t>
  </si>
  <si>
    <t>17.4.0-2</t>
  </si>
  <si>
    <t>TR-DSRSW-2281</t>
  </si>
  <si>
    <t>17.4.0-3</t>
  </si>
  <si>
    <t>The STB shall classify packets based on the DSCP tag and forward to the WMM queue as specified in the table below:
(Note that client ACKs must also be classified to get priority)</t>
  </si>
  <si>
    <t>TR-DSRSW-2289</t>
  </si>
  <si>
    <t>Security</t>
  </si>
  <si>
    <t>TR-DSRSW-2290</t>
  </si>
  <si>
    <t>17.5.0-1</t>
  </si>
  <si>
    <t>TR-DSRSW-2335</t>
  </si>
  <si>
    <t>17.5.0-2</t>
  </si>
  <si>
    <t>The product shall support 128 bit AES encryption.</t>
  </si>
  <si>
    <t>TR-DSRSW-2336</t>
  </si>
  <si>
    <t>17.5.0-3</t>
  </si>
  <si>
    <t>AES shall be the default encryption.</t>
  </si>
  <si>
    <t>TR-DSRSW-2291</t>
  </si>
  <si>
    <t>17.5.0-4</t>
  </si>
  <si>
    <t>TR-DSRSW-2395</t>
  </si>
  <si>
    <t>17.5.0-6</t>
  </si>
  <si>
    <t>The product shall support WPA-Personal PSK (Pre-Shared Key) authentication method.</t>
  </si>
  <si>
    <t>TR-DSRSW-2215</t>
  </si>
  <si>
    <t>17.5.0-12</t>
  </si>
  <si>
    <t>The product SHALL protect the Wi-Fi password in secure encrypted memory.</t>
  </si>
  <si>
    <t>TR-DSRSW-2308</t>
  </si>
  <si>
    <t>TR-DSRSW-2309</t>
  </si>
  <si>
    <t>17.8.0-1</t>
  </si>
  <si>
    <t>TR-DSRSW-2310</t>
  </si>
  <si>
    <t>17.8.0-2</t>
  </si>
  <si>
    <t>TR-DSRSW-2313</t>
  </si>
  <si>
    <t>17.8.0-3</t>
  </si>
  <si>
    <t>The product shall provide an API so the application can determine Wi-Fi connection status.</t>
  </si>
  <si>
    <t>TR-DSRSW-2314</t>
  </si>
  <si>
    <t>17.8.0-4</t>
  </si>
  <si>
    <t>TR-DSRSW-2317</t>
  </si>
  <si>
    <t>Wireless Network Setup</t>
  </si>
  <si>
    <t>TR-DSRSW-2302</t>
  </si>
  <si>
    <t>17.9.0-1</t>
  </si>
  <si>
    <t>TR-DSRSW-2322</t>
  </si>
  <si>
    <t>17.9.0-2</t>
  </si>
  <si>
    <t>The product shall provide feedback to the end user indicating the Wi-Fi networks that are detected.  The feedback should include the signal strength, the SSID, and if the network is open or protected.</t>
  </si>
  <si>
    <t>TR-DSRSW-2326</t>
  </si>
  <si>
    <t>17.9.0-3</t>
  </si>
  <si>
    <t>TR-DSRSW-2327</t>
  </si>
  <si>
    <t>17.9.0-4</t>
  </si>
  <si>
    <t>The product shall retain the network pairing information through power cycles.  Reboots, and Initialize messages from the headend.</t>
  </si>
  <si>
    <t>TR-DSRSW-2348</t>
  </si>
  <si>
    <t>Wi-Fi Certification Capability</t>
  </si>
  <si>
    <t>TR-DSRSW-2355</t>
  </si>
  <si>
    <t>17.11.0-1</t>
  </si>
  <si>
    <t>The product shall be capable of passing the Wi-Fi 802.11ac certification based on Wi-Fi Alliance Certification Standards.</t>
  </si>
  <si>
    <t>TR-DSRSW-2356</t>
  </si>
  <si>
    <t>17.11.0-2</t>
  </si>
  <si>
    <t>The product shall be capable of passing the Wi-Fi 802.11n certification based on Wi-Fi Alliance Certification Standards.
NOTE: 802.11n certification is needed to be compatible with 802.11n devices</t>
  </si>
  <si>
    <t>TR-DSRSW-2358</t>
  </si>
  <si>
    <t>17.11.0-3</t>
  </si>
  <si>
    <t>The product shall be capable of passing the Wi-FI Multimedia (WMM) certification based on Wi-Fi Alliance Certification Standards.</t>
  </si>
  <si>
    <t>TR-DSRSW-2359</t>
  </si>
  <si>
    <t>17.11.0-4</t>
  </si>
  <si>
    <t>The product shall be capable of passing the Wi-Fi WPA and WPA2 network security certification based on Wi-Fi Alliance Certification Standards.</t>
  </si>
  <si>
    <t>TR-DSRSW-1685</t>
  </si>
  <si>
    <t>TR-DSRSW-2187</t>
  </si>
  <si>
    <t>Serial Interface</t>
  </si>
  <si>
    <t>TR-DSRSW-1665</t>
  </si>
  <si>
    <t>18.1.0-1</t>
  </si>
  <si>
    <t>TR-DSRSW-1666</t>
  </si>
  <si>
    <t>18.1.0-2</t>
  </si>
  <si>
    <t>The product SHALL prevent debugging access to the serial port except via a ARRIS access token with non-default, serial access debugging privileges after factory provisioning is complete.</t>
  </si>
  <si>
    <t>TR-DSRSW-1667</t>
  </si>
  <si>
    <t>18.1.0-3</t>
  </si>
  <si>
    <t>(Note: This is not intended to prevent all debugging access, only a subset of security risk items)</t>
  </si>
  <si>
    <t>TR-DSRSW-2188</t>
  </si>
  <si>
    <t>TR-DSRSW-1687</t>
  </si>
  <si>
    <t>18.2.0-1</t>
  </si>
  <si>
    <t>The product SHALL support serial port / log port diagnostics over the RS-232 serial port interface.</t>
  </si>
  <si>
    <t>TR-DSRSW-2189</t>
  </si>
  <si>
    <t>Diagnostic Screens</t>
  </si>
  <si>
    <t>TR-DSRSW-1689</t>
  </si>
  <si>
    <t>18.3-1</t>
  </si>
  <si>
    <t>The product SHALL support the Shaw Direct diagnostic screens via the Neptune API.</t>
  </si>
  <si>
    <t>TR-DSRSW-2220</t>
  </si>
  <si>
    <t>TR-DSRSW-1691</t>
  </si>
  <si>
    <t>TR-DSRSW-1692</t>
  </si>
  <si>
    <t>CSS General</t>
  </si>
  <si>
    <t>TR-DSRSW-1693</t>
  </si>
  <si>
    <t>TR-DSRSW-1694</t>
  </si>
  <si>
    <t>The product SHALL, IF the Factory Reset user interface indicates that CSS settings are not retained, set the satellite installation mode to legacy mode AFTER a factory reset.</t>
  </si>
  <si>
    <t>TR-DSRSW-1695</t>
  </si>
  <si>
    <t>The product SHALL, IF the Factory Reset user interface indicates that CSS settings are retained, restore the UB slot number setting(s) upon power-up.</t>
  </si>
  <si>
    <t>TR-DSRSW-1696</t>
  </si>
  <si>
    <t>The product SHALL, IF the Factory Reset user interface indicates that CSS settings are retained, restore the UB frequency (automatic or manual) setting(s) upon power-up.</t>
  </si>
  <si>
    <t>TR-DSRSW-1697</t>
  </si>
  <si>
    <t>Power ON - Satellite Installation Mode</t>
  </si>
  <si>
    <t>TR-DSRSW-1698</t>
  </si>
  <si>
    <t>The product SHALL, AFTER an AC power-on, set the satellite installation mode (CSS or Legacy) to the last satellite installation mode set by the application. (Note: satellite installation mode is typically stored in flash memory).</t>
  </si>
  <si>
    <t>TR-DSRSW-1699</t>
  </si>
  <si>
    <t>CSS Reclaim UB Slot</t>
  </si>
  <si>
    <t>TR-DSRSW-1700</t>
  </si>
  <si>
    <t>The product SHALL, AFTER an AC power-on, WHEN CSS mode is enabled, AND CSS manual installation is not enabled, use the stored UB (user band) slot parameters for a satellite tuner IF that UB slot has not been claimed by another receiver.</t>
  </si>
  <si>
    <t>TR-DSRSW-1701</t>
  </si>
  <si>
    <t>The product SHALL, AFTER an AC power-on, WHEN CSS mode is enabled, AND CSS manual installation is not enabled, enter CSS auto installation for a satellite tuner IF that UB slot has been claimed by another receiver.</t>
  </si>
  <si>
    <t>TR-DSRSW-1702</t>
  </si>
  <si>
    <t>The product SHALL, AFTER an AC power-on, WHEN CSS mode is enabled, AND CSS manual installation is enabled, use the stored UB (user band) slot parameters.</t>
  </si>
  <si>
    <t>TR-DSRSW-1703</t>
  </si>
  <si>
    <t>The product SHALL, AFTER an AC power-on, WHEN CSS mode is enabled, AND CSS manual installation is enabled, notify the application that the manual CSS acquisition has failed IF that UB is claimed by another receiver.</t>
  </si>
  <si>
    <t>TR-DSRSW-1704</t>
  </si>
  <si>
    <t>The product SHALL avoid CSS signal collisions during an AC power on sequence. (Note: this can be tested by simultaneously powering up all the set-tops that are on the same satellite feed.)</t>
  </si>
  <si>
    <t>TR-DSRSW-1705</t>
  </si>
  <si>
    <t>CSS Reclaim UB Slot - Front Panel Reset</t>
  </si>
  <si>
    <t>TR-DSRSW-1706</t>
  </si>
  <si>
    <t>The product SHALL, AFTER a Front panel reset, WHEN CSS mode is enabled, AND CSS manual installation is not enabled, use the stored UB (user band) slot parameters for a satellite tuner IF that UB slot has not been claimed by another receiver.</t>
  </si>
  <si>
    <t>TR-DSRSW-1707</t>
  </si>
  <si>
    <t>The product SHALL, AFTER a Front panel reset, WHEN CSS mode is enabled, AND CSS manual installation is not enabled, enter CSS auto installation for a satellite tuner IF that UB slot has been claimed by another receiver.</t>
  </si>
  <si>
    <t>TR-DSRSW-1708</t>
  </si>
  <si>
    <t>The product SHALL, AFTER a Front panel reset, WHEN CSS mode is enabled, AND CSS manual installation is enabled, use the stored UB (user band) slot parameters.</t>
  </si>
  <si>
    <t>TR-DSRSW-1709</t>
  </si>
  <si>
    <t>The product SHALL, AFTER a Front panel reset, WHEN CSS mode is enabled, AND CSS manual installation is enabled, notify the application that the manual CSS acquisition has failed IF the UB slot is in use by another receiver.</t>
  </si>
  <si>
    <t>TR-DSRSW-1710</t>
  </si>
  <si>
    <t>CSS Manual Installation</t>
  </si>
  <si>
    <t>TR-DSRSW-1711</t>
  </si>
  <si>
    <t>TR-DSRSW-1712</t>
  </si>
  <si>
    <t>CSS Auto Installation</t>
  </si>
  <si>
    <t>TR-DSRSW-1713</t>
  </si>
  <si>
    <t>The product SHALL allow the application to initiate CSS auto installation.</t>
  </si>
  <si>
    <t>TR-DSRSW-1714</t>
  </si>
  <si>
    <t>The product shall power off and make available the tuner's current UB slot, if any, prior to attempting to acquire a UB slot during CSS auto installation.</t>
  </si>
  <si>
    <t>TR-DSRSW-1715</t>
  </si>
  <si>
    <t>The product SHALL, during single cable CSS auto installation, make a first attempt to acquire the lowest available UB slot number.</t>
  </si>
  <si>
    <t>TR-DSRSW-1716</t>
  </si>
  <si>
    <t>TR-DSRSW-1717</t>
  </si>
  <si>
    <t>The product SHALL, IF CSS auto installation UB slot acquisition IS successful, save the allocated UB number to nonvolatile memory.</t>
  </si>
  <si>
    <t>TR-DSRSW-1718</t>
  </si>
  <si>
    <t>The product SHALL, IF CSS auto installation UB slot acquisition IS successful, save the allocated UB frequency to nonvolatile memory.</t>
  </si>
  <si>
    <t>TR-DSRSW-1719</t>
  </si>
  <si>
    <t>The product SHALL, IF CSS auto installation IS NOT successful, notify the application of the failure.</t>
  </si>
  <si>
    <t>TR-DSRSW-1720</t>
  </si>
  <si>
    <t>The product SHALL, at the conclusion of the auto installation process, power OFF all UB tones that were enabled during the auto installation process.</t>
  </si>
  <si>
    <t>TR-DSRSW-1721</t>
  </si>
  <si>
    <t>Channel Change</t>
  </si>
  <si>
    <t>TR-DSRSW-1722</t>
  </si>
  <si>
    <t>The product SHALL, for a channel change while CSS is enabled, acquire the target channel at the assigned UB frequency, accounting for any rounding error in the CSS channel change command tuning word.</t>
  </si>
  <si>
    <t>TR-DSRSW-1723</t>
  </si>
  <si>
    <t>TR-DSRSW-1724</t>
  </si>
  <si>
    <t>The product SHALL, after detection of a DISEqC CSS message collision, wait for a random duration period before generating a new DISEqC CSS message to minimize subsequent traffic collisions. (note: [EN50494-1] section 8 demonstates one possible method.)</t>
  </si>
  <si>
    <t>TR-DSRSW-1725</t>
  </si>
  <si>
    <t>CSS Signal Loss</t>
  </si>
  <si>
    <t>TR-DSRSW-1726</t>
  </si>
  <si>
    <t>The product SHALL, after UB carrier loss while CSS is active, reclaim the associated UB slot within 1 second.</t>
  </si>
  <si>
    <t>TR-DSRSW-1727</t>
  </si>
  <si>
    <t>TR-DSRSW-1728</t>
  </si>
  <si>
    <t>The product SHALL provide an API to allow application software to determine the LNB type.  Supported LNB types are:
 1. Quad band 
 2. xKu band
 3. CSS with Quad band
 4. CSS with xKu band</t>
  </si>
  <si>
    <t>TR-DSRSW-1733</t>
  </si>
  <si>
    <t>TR-DSRSW-2193</t>
  </si>
  <si>
    <t>8-PSK Demodulation</t>
  </si>
  <si>
    <t>TR-DSRSW-1735</t>
  </si>
  <si>
    <t>TR-DSRSW-1740</t>
  </si>
  <si>
    <t>TR-DSRSW-1744</t>
  </si>
  <si>
    <t>TR-DSRSW-1745</t>
  </si>
  <si>
    <t>TR-DSRSW-1746</t>
  </si>
  <si>
    <t>TR-DSRSW-2456</t>
  </si>
  <si>
    <t>The product SHALL be capable of the following 8-PSK symbol and code rate combination: 22.00 Msps symbol rate, 5/6 code rate, 2.30 bps payload</t>
  </si>
  <si>
    <t>TR-DSRSW-2457</t>
  </si>
  <si>
    <t>TR-DSRSW-1747</t>
  </si>
  <si>
    <t>QPSK demodulation</t>
  </si>
  <si>
    <t>TR-DSRSW-1748</t>
  </si>
  <si>
    <t>20.2.0-1</t>
  </si>
  <si>
    <t>TR-DSRSW-1749</t>
  </si>
  <si>
    <t>Service Acquisition</t>
  </si>
  <si>
    <t>TR-DSRSW-2194</t>
  </si>
  <si>
    <t>Channel Selection</t>
  </si>
  <si>
    <t>TR-DSRSW-1750</t>
  </si>
  <si>
    <t xml:space="preserve">The product SHALL return an error and take no further action (i.e. any existing services that would have been replaced are not affected by the failed acquisition attempt) if any parameter provided by a client to acquire a service is invalid.  </t>
  </si>
  <si>
    <t>TR-DSRSW-1751</t>
  </si>
  <si>
    <t xml:space="preserve">The product SHALL allow the user to select normal, non-hidden services with virtual channel numbers in the range of 1 to 999 decimal. </t>
  </si>
  <si>
    <t>TR-DSRSW-1752</t>
  </si>
  <si>
    <t xml:space="preserve">The product SHALL acquire services with virtual channel numbers in the range of 1 to 4095 decimal. </t>
  </si>
  <si>
    <t>TR-DSRSW-1753</t>
  </si>
  <si>
    <t>TR-DSRSW-1766</t>
  </si>
  <si>
    <t>A/V Component Selection</t>
  </si>
  <si>
    <t>TR-DSRSW-1767</t>
  </si>
  <si>
    <t>TR-DSRSW-1768</t>
  </si>
  <si>
    <t>TR-DSRSW-1769</t>
  </si>
  <si>
    <t xml:space="preserve">The product SHALL automatically update selection of A/V component streams when the settop's language configuration changes. </t>
  </si>
  <si>
    <t>TR-DSRSW-1770</t>
  </si>
  <si>
    <t>Virtual Channel (VCT)</t>
  </si>
  <si>
    <t>TR-DSRSW-1771</t>
  </si>
  <si>
    <t>The product SHALL only accept Virtual Channel Table (VCT)  Messages where the enumerated type transmission_medium indicates a "reseved10" transmission medium.</t>
  </si>
  <si>
    <t>TR-DSRSW-1772</t>
  </si>
  <si>
    <t xml:space="preserve">The product SHALL maintain the Virtual Channel Table (VCT) in non-volatile memory. </t>
  </si>
  <si>
    <t>TR-DSRSW-1773</t>
  </si>
  <si>
    <t>ROM Resident VCT</t>
  </si>
  <si>
    <t>TR-DSRSW-1774</t>
  </si>
  <si>
    <t>TR-DSRSW-1775</t>
  </si>
  <si>
    <t xml:space="preserve">The product SHALL contain a ROM based default virtual channel map with VCT ID 0x1100 (decimal 4352). </t>
  </si>
  <si>
    <t>TR-DSRSW-1776</t>
  </si>
  <si>
    <t xml:space="preserve">The product SHALL default to the ROM based virtual channel map after a Factory Reset. </t>
  </si>
  <si>
    <t>TR-DSRSW-1777</t>
  </si>
  <si>
    <t>TR-DSRSW-1778</t>
  </si>
  <si>
    <t>Network Information (NIT)</t>
  </si>
  <si>
    <t>TR-DSRSW-1779</t>
  </si>
  <si>
    <t>The product SHALL only accept Network Information (NIT) Messages where the enumerated type transmission_medium indicates a "reseved10" transmission medium.</t>
  </si>
  <si>
    <t>TR-DSRSW-1780</t>
  </si>
  <si>
    <t>The product SHALL process the Satellite Information Table (SIT) associated with the current Virtual Channel Table's (VCT) lowest channel number.</t>
  </si>
  <si>
    <t>TR-DSRSW-1781</t>
  </si>
  <si>
    <t xml:space="preserve">The product SHALL maintain the Satellite Information Table (SIT) tuning data in non-volatile memory. </t>
  </si>
  <si>
    <t>TR-DSRSW-1782</t>
  </si>
  <si>
    <t xml:space="preserve">The product SHALL maintain the Transponder Data Table (TDT) tuning data in non-volatile memory. </t>
  </si>
  <si>
    <t>TR-DSRSW-1783</t>
  </si>
  <si>
    <t xml:space="preserve">The product SHALL maintain the Modulation Mode Table (MMT) tuning data in non-volatile memory. </t>
  </si>
  <si>
    <t>TR-DSRSW-1784</t>
  </si>
  <si>
    <t xml:space="preserve">The product SHALL maintain the Carrier Definition Table (CDT) tuning data in non-volatile memory. </t>
  </si>
  <si>
    <t>TR-DSRSW-1785</t>
  </si>
  <si>
    <t>Program Association (PAT)</t>
  </si>
  <si>
    <t>TR-DSRSW-1786</t>
  </si>
  <si>
    <t xml:space="preserve">If an active A/V service is modified in the PAT, the product SHALL reacquire the service and notify the application client. </t>
  </si>
  <si>
    <t>TR-DSRSW-1787</t>
  </si>
  <si>
    <t>Program Map (PMT)</t>
  </si>
  <si>
    <t>TR-DSRSW-1788</t>
  </si>
  <si>
    <t xml:space="preserve">If the PCR PID in the PMT changes for an A/V service, the product SHALL reacquire the A/V service. </t>
  </si>
  <si>
    <t>TR-DSRSW-1754</t>
  </si>
  <si>
    <t>Channel Overrides</t>
  </si>
  <si>
    <t>TR-DSRSW-1755</t>
  </si>
  <si>
    <t>TR-DSRSW-1756</t>
  </si>
  <si>
    <t xml:space="preserve">The product SHALL support the dynamic changes to override definitions, so that an override may itself be overridden by a new channel definition for a particular inband service path. </t>
  </si>
  <si>
    <t>TR-DSRSW-1757</t>
  </si>
  <si>
    <t xml:space="preserve">The product SHALL support pending channel overrides with queue overrides that will occur at a given future time for all inband service paths. </t>
  </si>
  <si>
    <t>TR-DSRSW-1758</t>
  </si>
  <si>
    <t xml:space="preserve">The product SHALL maintain an activation time queue for each individual inband service path and use this queue for channel overrides that must be activated in the future.  </t>
  </si>
  <si>
    <t>TR-DSRSW-1759</t>
  </si>
  <si>
    <t xml:space="preserve">A channel override for a particular inband service path must have the same VCT_ID as the system's VCT_ID.  </t>
  </si>
  <si>
    <t>TR-DSRSW-1760</t>
  </si>
  <si>
    <t xml:space="preserve">The product SHALL filter out channel override for a particular inband service path if the VCT_ID is different from the system's VCT_ID, and the VCT_ID of the channel override isn't zero (wildcard). </t>
  </si>
  <si>
    <t>TR-DSRSW-1761</t>
  </si>
  <si>
    <t>TR-DSRSW-1762</t>
  </si>
  <si>
    <t>TR-DSRSW-1763</t>
  </si>
  <si>
    <t>The product SHALL only accept Channel Override Messages where the enumerated type transmission_medium indicates a "reseved10" transmission medium.</t>
  </si>
  <si>
    <t>TR-DSRSW-1764</t>
  </si>
  <si>
    <t>The product SHALL, in the case of contending active channel overrides with different activation times, accept Channel Override Messages with the later activation time.</t>
  </si>
  <si>
    <t>TR-DSRSW-1765</t>
  </si>
  <si>
    <t>The product SHALL, in the case of contending active channel overrides with the same activation time, accept the last received Channel Override Messages.</t>
  </si>
  <si>
    <t>TR-DSRSW-1802</t>
  </si>
  <si>
    <t>Channel Map Storage</t>
  </si>
  <si>
    <t>TR-DSRSW-1803</t>
  </si>
  <si>
    <t>The product SHALL be capable of storing up to two nonvolatile channel maps (including associated network information), loaded at the factory, to local Flash memory.</t>
  </si>
  <si>
    <t>TR-DSRSW-1804</t>
  </si>
  <si>
    <t>The product SHALL be capable of storing up to two nonvolatile channel maps (including associated network information), loaded via code download, to local Flash memory.</t>
  </si>
  <si>
    <t>TR-DSRSW-1805</t>
  </si>
  <si>
    <t>The product SHALL discard previous nonvolatile channel maps when new nonvolatile channel maps are received via code download.</t>
  </si>
  <si>
    <t>TR-DSRSW-1806</t>
  </si>
  <si>
    <t>Channel Map Activation</t>
  </si>
  <si>
    <t>TR-DSRSW-1807</t>
  </si>
  <si>
    <t>The product SHALL provide an API to allow application software to activate a nonvolatile channel map and associated network information, based on VCT_ID.</t>
  </si>
  <si>
    <t>TR-DSRSW-1808</t>
  </si>
  <si>
    <t>The product SHALL, if a channel map on the satellite network stream is the same VCT ID as an instantiated nonvolatile map, deactivate the nonvolatile channel map.</t>
  </si>
  <si>
    <t>TR-DSRSW-1809</t>
  </si>
  <si>
    <t>The product SHALL, if a channel map on the satellite network stream is the same VCT ID as an instantiated nonvolatile map, activate channel map received on the network stream.</t>
  </si>
  <si>
    <t>TR-DSRSW-1810</t>
  </si>
  <si>
    <t>The product SHALL, while using the nonvolatile channel map VCT_ID,  return to using the UIM VCT_ID when a valid UIM containing the single_map_VCT_ID is received.</t>
  </si>
  <si>
    <t>TR-DSRSW-1811</t>
  </si>
  <si>
    <t>TR-DSRSW-1812</t>
  </si>
  <si>
    <t>Services on the Same Transponder</t>
  </si>
  <si>
    <t>TR-DSRSW-1813</t>
  </si>
  <si>
    <t>TR-DSRSW-1814</t>
  </si>
  <si>
    <t>TR-DSRSW-1815</t>
  </si>
  <si>
    <t>Services on Different Transponders</t>
  </si>
  <si>
    <t>TR-DSRSW-1816</t>
  </si>
  <si>
    <t>TR-DSRSW-1817</t>
  </si>
  <si>
    <t>TR-DSRSW-1818</t>
  </si>
  <si>
    <t>TR-DSRSW-2201</t>
  </si>
  <si>
    <t>MPEG-2 Video Decode</t>
  </si>
  <si>
    <t>TR-DSRSW-1824</t>
  </si>
  <si>
    <t>TR-DSRSW-1828</t>
  </si>
  <si>
    <t>TR-DSRSW-1829</t>
  </si>
  <si>
    <t>21.2.0-1</t>
  </si>
  <si>
    <t xml:space="preserve">The product SHALL support MPEG-4 Part 10 AVC (H.264) Level 4.2 video decode. </t>
  </si>
  <si>
    <t>TR-DSRSW-2204</t>
  </si>
  <si>
    <t>TR-DSRSW-2205</t>
  </si>
  <si>
    <t>The product SHALL have a flexible video decoder that is capable of decoding compliant HEVC digital video streams encoded using Main Profile and up to Level 4.1 (MP@L4.1) as per [ITU-T H.265] and [ISO 23008-2]. (Level 4.1 = 1080p60)</t>
  </si>
  <si>
    <t>21.4.0-1</t>
  </si>
  <si>
    <t>21.4.0-2</t>
  </si>
  <si>
    <t>TR-DSRSW-1843</t>
  </si>
  <si>
    <t>TR-DSRSW-1845</t>
  </si>
  <si>
    <t xml:space="preserve">The product SHALL be capable of decoding and rendering JPEG (Joint Photographic Experts Group) image formats as in [JPEG - 1]. </t>
  </si>
  <si>
    <t>TR-DSRSW-1846</t>
  </si>
  <si>
    <t>The product SHALL be capable of decoding and rendering 24-bit (8 red, 8 blue, 8 green) JPEG images.</t>
  </si>
  <si>
    <t>TR-DSRSW-1847</t>
  </si>
  <si>
    <t>The product SHALL be capable of positioning and scaling JPEG images on to the video graphics plane.</t>
  </si>
  <si>
    <t>TR-DSRSW-1848</t>
  </si>
  <si>
    <t>The product SHALL be capable of blending (transparency) of JPEG images on to the video graphics plane.</t>
  </si>
  <si>
    <t>TR-DSRSW-1849</t>
  </si>
  <si>
    <t>TR-DSRSW-1851</t>
  </si>
  <si>
    <t>TR-DSRSW-1852</t>
  </si>
  <si>
    <t>Closed Captions</t>
  </si>
  <si>
    <t>TR-DSRSW-1853</t>
  </si>
  <si>
    <t>TR-DSRSW-1855</t>
  </si>
  <si>
    <t>TR-DSRSW-1856</t>
  </si>
  <si>
    <t>TR-DSRSW-1857</t>
  </si>
  <si>
    <t>TR-DSRSW-1858</t>
  </si>
  <si>
    <t>TR-DSRSW-1859</t>
  </si>
  <si>
    <t>TR-DSRSW-1860</t>
  </si>
  <si>
    <t>TR-DSRSW-1864</t>
  </si>
  <si>
    <t>The product SHALL begin rendering CEA-608 captions within three (3) seconds of a transition to a Digital service where CEA-608 caption data is present.</t>
  </si>
  <si>
    <t>TR-DSRSW-1865</t>
  </si>
  <si>
    <t>TR-DSRSW-1866</t>
  </si>
  <si>
    <t>TR-DSRSW-1867</t>
  </si>
  <si>
    <t>TR-DSRSW-1868</t>
  </si>
  <si>
    <t>TR-DSRSW-1869</t>
  </si>
  <si>
    <t>The product SHALL begin reconstructing Line 21, Field 1 and Field 2, of the VBI within (3) seconds if a Digital service is tuned where CEA-608 caption data is present in the MPEG-2 Picture User Data of the same MPEG video frame.</t>
  </si>
  <si>
    <t>TR-DSRSW-1870</t>
  </si>
  <si>
    <t>The product SHALL begin rendering CEA-608 captions within (3) seconds if a Digital service is tuned where CEA-608 caption data is present in the MPEG-2 Picture User Data of the same MPEG video frame.</t>
  </si>
  <si>
    <t>TR-DSRSW-1871</t>
  </si>
  <si>
    <t>The product SHALL begin rendering CEA-708 captions within (3) seconds if a Digital service is tuned where CEA-708 caption data is present in the MPEG-2 Picture User Data of the same MPEG video frame.</t>
  </si>
  <si>
    <t>TR-DSRSW-1872</t>
  </si>
  <si>
    <t>The product SHALL begin rendering CEA-708 captions within (3) seconds if the closed caption data format transitions from CEA-608 to CEA-708 while tuned to a Digital service.</t>
  </si>
  <si>
    <t>TR-DSRSW-1873</t>
  </si>
  <si>
    <t>The product SHALL begin reconstructing Line 21, Field 1 and Field 2, of the VBI within three (3) seconds if the closed caption data format transitions from CEA-708 to CEA-608 while tuned to a Digital service.</t>
  </si>
  <si>
    <t>TR-DSRSW-1874</t>
  </si>
  <si>
    <t>The product SHALL begin rendering CEA-608 captions within (3) seconds if the closed caption data format transitions from CEA-708 to CEA-608 while tuned to a Digital service.</t>
  </si>
  <si>
    <t>TR-DSRSW-1875</t>
  </si>
  <si>
    <t>The product SHALL disregard the '1000 000' seven-bit field of the SCTE-20 protocol when processing Closed Caption data carried in the SCTE-20 syntax.</t>
  </si>
  <si>
    <t>TR-DSRSW-1876</t>
  </si>
  <si>
    <t>The product SHALL render Closed Captions using the caption Font Style MONOSPACED WITH SERIFS, as defined in [CEA-708B - 1], if this font style is selected by the user.</t>
  </si>
  <si>
    <t>TR-DSRSW-1877</t>
  </si>
  <si>
    <t>The product SHALL render Closed Captions using the caption Font Style PROPORTIONALLY SPACED WITH SERIFS, as defined in [CEA-708B - 1], if this font style is selected by the user.</t>
  </si>
  <si>
    <t>TR-DSRSW-1878</t>
  </si>
  <si>
    <t>The product SHALL render Closed Captions using the caption Font Style MONOSPACED WITHOUT SERIFS, as defined in [CEA-708B - 1], if this font style is selected by the user.</t>
  </si>
  <si>
    <t>TR-DSRSW-1879</t>
  </si>
  <si>
    <t>The product SHALL render Closed Captions using the caption Font Style PROPORTIONALLY SPACED WITHOUT SERIFS, as defined in [CEA-708B - 1], if this font style is selected by the user.</t>
  </si>
  <si>
    <t>TR-DSRSW-1880</t>
  </si>
  <si>
    <t>The product SHALL render Closed Captions using the caption Font Style CASUAL, as defined in [CEA-708B - 1], if this font style is selected by the user.</t>
  </si>
  <si>
    <t>TR-DSRSW-1881</t>
  </si>
  <si>
    <t>The product SHALL render Closed Captions using the caption Font Style CURSIVE, as defined in [CEA-708B - 1], if this font style is selected by the user.</t>
  </si>
  <si>
    <t>TR-DSRSW-1882</t>
  </si>
  <si>
    <t>The product SHALL render Closed Captions using the caption Font Style SMALL CAPITALS, as defined in [CEA-708B - 1], if this font style is selected by the user.</t>
  </si>
  <si>
    <t>TR-DSRSW-1883</t>
  </si>
  <si>
    <t>The product SHALL render Closed Captions using the caption Font Style selected by the caption provider if the user setting for the caption Font Style is AUTO.</t>
  </si>
  <si>
    <t>TR-DSRSW-1884</t>
  </si>
  <si>
    <t>The product SHALL render Closed Captions using the caption Font Size STANDARD, as defined in [CEA-708B - 1], if this font size is selected by the user.</t>
  </si>
  <si>
    <t>TR-DSRSW-1885</t>
  </si>
  <si>
    <t>The product SHALL render Closed Captions using the caption Font Size SMALL, as defined in [CEA-708B - 1], if this font size is selected by the user.</t>
  </si>
  <si>
    <t>TR-DSRSW-1886</t>
  </si>
  <si>
    <t>The product SHALL render Closed Captions using the caption Font Size LARGE, as defined in [CEA-708B - 1], if this font size is selected by the user.</t>
  </si>
  <si>
    <t>TR-DSRSW-1887</t>
  </si>
  <si>
    <t>The product SHALL set the caption Font Size to AUTO by default.</t>
  </si>
  <si>
    <t>TR-DSRSW-1888</t>
  </si>
  <si>
    <t>The product SHALL render Closed Captions using the caption Font Size selected by the caption provider if the user setting for the caption Font Size is AUTO.</t>
  </si>
  <si>
    <t>TR-DSRSW-1889</t>
  </si>
  <si>
    <t>The product SHALL render Closed Captions using the caption Font Color WHITE, as defined in [CEA-708B - 1], if this font color is selected by the user.</t>
  </si>
  <si>
    <t>TR-DSRSW-1890</t>
  </si>
  <si>
    <t>The product SHALL render Closed Captions using the caption Font Color BLACK, as defined in [CEA-708B - 1], if this font color is selected by the user.</t>
  </si>
  <si>
    <t>TR-DSRSW-1891</t>
  </si>
  <si>
    <t>The product SHALL render Closed Captions using the caption Font Color RED, as defined in [CEA-708B - 1], if this font color is selected by the user.</t>
  </si>
  <si>
    <t>TR-DSRSW-1892</t>
  </si>
  <si>
    <t>The product SHALL render Closed Captions using the caption Font Color GREEN, as defined in [CEA-708B - 1], if this font color is selected by the user.</t>
  </si>
  <si>
    <t>TR-DSRSW-1893</t>
  </si>
  <si>
    <t>The product SHALL render Closed Captions using the caption Font Color BLUE, as defined in [CEA-708B - 1], if this font color is selected by the user.</t>
  </si>
  <si>
    <t>TR-DSRSW-1894</t>
  </si>
  <si>
    <t>The product SHALL render Closed Captions using the caption Font Color YELLOW, as defined in [CEA-708B - 1], if this font color is selected by the user.</t>
  </si>
  <si>
    <t>TR-DSRSW-1895</t>
  </si>
  <si>
    <t>The product SHALL render Closed Captions using the caption Font Color MAGENTA, as defined in [CEA-708B - 1], if this font color is selected by the user.</t>
  </si>
  <si>
    <t>TR-DSRSW-1896</t>
  </si>
  <si>
    <t>The product SHALL render Closed Captions using the caption Font Color CYAN, as defined in [CEA-708B - 1], if this font color is selected by the user.</t>
  </si>
  <si>
    <t>TR-DSRSW-1897</t>
  </si>
  <si>
    <t>The product SHALL set the caption Font Color to AUTO by default.</t>
  </si>
  <si>
    <t>TR-DSRSW-1898</t>
  </si>
  <si>
    <t>The product SHALL render Closed Captions using the caption Font Color selected by the caption provider if the user setting for the caption Font Color is AUTO.</t>
  </si>
  <si>
    <t>TR-DSRSW-1899</t>
  </si>
  <si>
    <t>The product SHALL render Closed Captions using the caption Character Opacity TRANSPARENT, as defined in [CEA-708B - 1], if this character opacity is selected by the user.</t>
  </si>
  <si>
    <t>TR-DSRSW-1900</t>
  </si>
  <si>
    <t>The product SHALL render Closed Captions using the caption Character Opacity TRANSLUCENT, as defined in [CEA-708B - 1], if this character opacity is selected by the user.</t>
  </si>
  <si>
    <t>TR-DSRSW-1901</t>
  </si>
  <si>
    <t>The product SHALL render Closed Captions using the caption Character Opacity SOLID, as defined in [CEA-708B - 1], if this character opacity is selected by the user.</t>
  </si>
  <si>
    <t>TR-DSRSW-1902</t>
  </si>
  <si>
    <t>The product SHALL render Closed Captions using the caption Character Opacity FLASHING, as defined in [CEA-708B - 1], if this character opacity is selected by the user.</t>
  </si>
  <si>
    <t>TR-DSRSW-1903</t>
  </si>
  <si>
    <t>The product SHALL set the caption Character Opacity to AUTO by default.</t>
  </si>
  <si>
    <t>TR-DSRSW-1904</t>
  </si>
  <si>
    <t>The product SHALL render Closed Captions using the caption Character Opacity selected by the caption provider if the user setting for the caption Character Opacity is AUTO.</t>
  </si>
  <si>
    <t>TR-DSRSW-1905</t>
  </si>
  <si>
    <t>The product SHALL render Closed Captions using the caption Background Color WHITE, as defined in [CEA-708B - 1], if this background color is selected by the user.</t>
  </si>
  <si>
    <t>TR-DSRSW-1906</t>
  </si>
  <si>
    <t>The product SHALL render Closed Captions using the caption Background Color BLACK, as defined in [CEA-708B - 1], if this background color is selected by the user.</t>
  </si>
  <si>
    <t>TR-DSRSW-1907</t>
  </si>
  <si>
    <t>The product SHALL render Closed Captions using the caption Background Color RED, as defined in [CEA-708B - 1], if this background color is selected by the user.</t>
  </si>
  <si>
    <t>TR-DSRSW-1908</t>
  </si>
  <si>
    <t>The product SHALL render Closed Captions using the caption Background Color GREEN, as defined in [CEA-708B - 1], if this background color is selected by the user.</t>
  </si>
  <si>
    <t>TR-DSRSW-1909</t>
  </si>
  <si>
    <t>The product SHALL render Closed Captions using the caption Background Color BLUE, as defined in [CEA-708B - 1], if this background color is selected by the user.</t>
  </si>
  <si>
    <t>TR-DSRSW-1910</t>
  </si>
  <si>
    <t>The product SHALL render Closed Captions using the caption Background Color YELLOW, as defined in [CEA-708B - 1], if this background color is selected by the user.</t>
  </si>
  <si>
    <t>TR-DSRSW-1911</t>
  </si>
  <si>
    <t>The product SHALL render Closed Captions using the caption Background Color MAGENTA, as defined in [CEA-708B - 1], if this background color is selected by the user.</t>
  </si>
  <si>
    <t>TR-DSRSW-1912</t>
  </si>
  <si>
    <t>The product SHALL render Closed Captions using the caption Background Color CYAN, as defined in [CEA-708B - 1], if this background color is selected by the user.</t>
  </si>
  <si>
    <t>TR-DSRSW-1913</t>
  </si>
  <si>
    <t>The product SHALL set the caption Background Color to AUTO by default.</t>
  </si>
  <si>
    <t>TR-DSRSW-1914</t>
  </si>
  <si>
    <t>The product SHALL render Closed Captions using the caption Background Color selected by the caption provider if the user setting for the caption Background Color is AUTO.</t>
  </si>
  <si>
    <t>TR-DSRSW-1915</t>
  </si>
  <si>
    <t>The product SHALL render Closed Captions using the caption Background Opacity TRANSPARENT, as defined in [CEA-708B - 1], if this background opacity is selected by the user.</t>
  </si>
  <si>
    <t>TR-DSRSW-1916</t>
  </si>
  <si>
    <t>The product SHALL render Closed Captions using the caption Background Opacity TRANSLUCENT, as defined in [CEA-708B - 1], if this background opacity is selected by the user.</t>
  </si>
  <si>
    <t>TR-DSRSW-1917</t>
  </si>
  <si>
    <t>The product SHALL render Closed Captions using the caption Background Opacity SOLID, as defined in [CEA-708B - 1], if this background opacity is selected by the user.</t>
  </si>
  <si>
    <t>TR-DSRSW-1918</t>
  </si>
  <si>
    <t>The product SHALL render Closed Captions using the caption Background Opacity FLASHING, as defined in [CEA-708B - 1], if this background opacity is selected by the user.</t>
  </si>
  <si>
    <t>TR-DSRSW-1919</t>
  </si>
  <si>
    <t>The product SHALL set the caption Background Opacity to AUTO by default.</t>
  </si>
  <si>
    <t>TR-DSRSW-1920</t>
  </si>
  <si>
    <t>The product SHALL render Closed Captions using the caption Background Opacity selected by the caption provider if the user setting for the caption Background Opacity is AUTO.</t>
  </si>
  <si>
    <t>TR-DSRSW-1921</t>
  </si>
  <si>
    <t>The product SHALL disable the rendering of closed captions if the user has selected to disable captions.</t>
  </si>
  <si>
    <t>TR-DSRSW-1922</t>
  </si>
  <si>
    <t>TR-DSRSW-1924</t>
  </si>
  <si>
    <t>TR-DSRSW-1925</t>
  </si>
  <si>
    <t>TR-DSRSW-1927</t>
  </si>
  <si>
    <t>TR-DSRSW-1928</t>
  </si>
  <si>
    <t>TR-DSRSW-1930</t>
  </si>
  <si>
    <t>TR-DSRSW-1931</t>
  </si>
  <si>
    <t>TR-DSRSW-1933</t>
  </si>
  <si>
    <t>TR-DSRSW-1934</t>
  </si>
  <si>
    <t>TR-DSRSW-1936</t>
  </si>
  <si>
    <t>TR-DSRSW-1937</t>
  </si>
  <si>
    <t>TR-DSRSW-1939</t>
  </si>
  <si>
    <t>TR-DSRSW-1940</t>
  </si>
  <si>
    <t>TR-DSRSW-1942</t>
  </si>
  <si>
    <t>TR-DSRSW-1943</t>
  </si>
  <si>
    <t>TR-DSRSW-1945</t>
  </si>
  <si>
    <t>TR-DSRSW-1946</t>
  </si>
  <si>
    <t>TR-DSRSW-1948</t>
  </si>
  <si>
    <t>TR-DSRSW-1949</t>
  </si>
  <si>
    <t>TR-DSRSW-1951</t>
  </si>
  <si>
    <t>TR-DSRSW-1952</t>
  </si>
  <si>
    <t>TR-DSRSW-1953</t>
  </si>
  <si>
    <t>The following requirements only apply when the product supports PVR capability.</t>
  </si>
  <si>
    <t>TR-DSRSW-1954</t>
  </si>
  <si>
    <t>The product SHALL reconstruct Line 21, Field 1 and Field 2, of the VBI during playback of Retained content if playback is at Normal Speed.</t>
  </si>
  <si>
    <t>TR-DSRSW-1955</t>
  </si>
  <si>
    <t>The product SHALL render closed captions during playback of Retained content if playback is at Normal Speed.</t>
  </si>
  <si>
    <t>TR-DSRSW-1956</t>
  </si>
  <si>
    <t>The product SHALL disable the reconstruction of Line 21, Field 1 and Field 2, of the VBI if the selection to Slow Forward Retained content is enabled.</t>
  </si>
  <si>
    <t>TR-DSRSW-1957</t>
  </si>
  <si>
    <t>The product SHALL disable the rendering of closed captions if the selection to Slow Forward Retained content is enabled.</t>
  </si>
  <si>
    <t>TR-DSRSW-1958</t>
  </si>
  <si>
    <t>The product SHALL disable the reconstruction of Line 21, Field 1 and Field 2, of the VBI if the selection to Fast Forward Retained content is enabled.</t>
  </si>
  <si>
    <t>TR-DSRSW-1959</t>
  </si>
  <si>
    <t>The product SHALL disable the rendering of closed captions if the selection to Fast Forward Retained content is enabled.</t>
  </si>
  <si>
    <t>TR-DSRSW-1960</t>
  </si>
  <si>
    <t>The product SHALL disable the reconstruction of Line 21, Field 1 and Field 2, of the VBI if the selection to Slow Rewind Retained content is enabled.</t>
  </si>
  <si>
    <t>TR-DSRSW-1961</t>
  </si>
  <si>
    <t>The product SHALL disable the rendering of closed captions if the selection to Slow Rewind Retained content is enabled.</t>
  </si>
  <si>
    <t>TR-DSRSW-1962</t>
  </si>
  <si>
    <t>The product SHALL disable the reconstruction of Line 21, Field 1 and Field 2, of the VBI if the selection to Fast Rewind Retained content is enabled.</t>
  </si>
  <si>
    <t>TR-DSRSW-1963</t>
  </si>
  <si>
    <t>The product SHALL disable the rendering of closed captions if the selection to Fast Rewind Retained content is enabled.</t>
  </si>
  <si>
    <t>TR-DSRSW-1964</t>
  </si>
  <si>
    <t>The product SHALL disable the reconstruction of Line 21, Field 1 and Field 2, of the VBI if the selection to Pause Retained content is enabled.</t>
  </si>
  <si>
    <t>TR-DSRSW-1965</t>
  </si>
  <si>
    <t>The product SHALL disable the rendering of closed captions if the selection to Pause Retained content is enabled.</t>
  </si>
  <si>
    <t>TR-DSRSW-1966</t>
  </si>
  <si>
    <t>The product SHALL begin reconstructing Line 21, Field 1 and Field 2, of the VBI within three (3) seconds of a transition from Slow Forward playback to Normal Speed playback of Retained content.</t>
  </si>
  <si>
    <t>TR-DSRSW-1967</t>
  </si>
  <si>
    <t>The product SHALL begin rendering closed caption data within three (3) seconds of a transition from Slow Forward playback to Normal Speed playback of Retained content.</t>
  </si>
  <si>
    <t>TR-DSRSW-1968</t>
  </si>
  <si>
    <t>The product SHALL begin reconstructing Line 21, Field 1 and Field 2, of the VBI within three (3) seconds of a transition from Fast Forward playback to Normal Speed playback of Retained content.</t>
  </si>
  <si>
    <t>TR-DSRSW-1969</t>
  </si>
  <si>
    <t>The product SHALL begin rendering closed caption data within three (3) seconds of a transition from Fast Forward playback to Normal Speed playback of Retained content.</t>
  </si>
  <si>
    <t>TR-DSRSW-1970</t>
  </si>
  <si>
    <t>The product SHALL begin reconstructing Line 21, Field 1 and Field 2, of the VBI within three (3) seconds of a transition from Slow Rewind playback to Normal Speed playback of Retained content.</t>
  </si>
  <si>
    <t>TR-DSRSW-1971</t>
  </si>
  <si>
    <t>The product SHALL begin rendering closed caption data within three (3) seconds of a transition from Slow Rewind playback to Normal Speed playback of Retained content.</t>
  </si>
  <si>
    <t>TR-DSRSW-1972</t>
  </si>
  <si>
    <t>The product SHALL begin reconstructing Line 21, Field 1 and Field 2, of the VBI within three (3) seconds of a transition from Fast Rewind playback to Normal Speed playback of Retained content.</t>
  </si>
  <si>
    <t>TR-DSRSW-1973</t>
  </si>
  <si>
    <t>The product SHALL begin rendering closed caption data within three (3) seconds of a transition from Fast Rewind playback to Normal Speed playback of Retained content.</t>
  </si>
  <si>
    <t>TR-DSRSW-1974</t>
  </si>
  <si>
    <t>The product SHALL begin reconstructing Line 21, Field 1 and Field 2, of the VBI within three (3) seconds of a transition from Paused playback to Normal Speed playback of Retained content.</t>
  </si>
  <si>
    <t>TR-DSRSW-1975</t>
  </si>
  <si>
    <t>The product SHALL begin rendering closed caption data within three (3) seconds of a transition from Paused playback to Normal Speed playback of Retained content.</t>
  </si>
  <si>
    <t>TR-DSRSW-1976</t>
  </si>
  <si>
    <t>The product SHALL reconstruct Line 21, Field 1 and Field 2, of the VBI during playback of Recorded content if playback is at Normal Speed.</t>
  </si>
  <si>
    <t>TR-DSRSW-1977</t>
  </si>
  <si>
    <t>The product SHALL render closed captions during playback of Recorded content if playback is at Normal Speed.</t>
  </si>
  <si>
    <t>TR-DSRSW-1978</t>
  </si>
  <si>
    <t>The product SHALL disable the reconstruction of Line 21, Field 1 and Field 2, of the VBI if the selection to Slow Forward Recorded content is enabled.</t>
  </si>
  <si>
    <t>TR-DSRSW-1979</t>
  </si>
  <si>
    <t>The product SHALL disable the rendering of closed captions if the selection to Slow Forward Recorded content is enabled.</t>
  </si>
  <si>
    <t>TR-DSRSW-1980</t>
  </si>
  <si>
    <t>The product SHALL disable the reconstruction of Line 21, Field 1 and Field 2, of the VBI if the selection to Fast Forward Recorded content is enabled.</t>
  </si>
  <si>
    <t>TR-DSRSW-1981</t>
  </si>
  <si>
    <t>The product SHALL disable the rendering of closed captions if the selection to Fast Forward Recorded content is enabled.</t>
  </si>
  <si>
    <t>TR-DSRSW-1982</t>
  </si>
  <si>
    <t>The product SHALL disable the reconstruction of Line 21, Field 1 and Field 2, of the VBI if the selection to Slow Rewind Recorded content is enabled.</t>
  </si>
  <si>
    <t>TR-DSRSW-1983</t>
  </si>
  <si>
    <t>The product SHALL disable the rendering of closed captions if the selection to Slow Rewind Recorded content is enabled.</t>
  </si>
  <si>
    <t>TR-DSRSW-1984</t>
  </si>
  <si>
    <t>The product SHALL disable the reconstruction of Line 21, Field 1 and Field 2, of the VBI if the selection to Fast Rewind Recorded content is enabled.</t>
  </si>
  <si>
    <t>TR-DSRSW-1985</t>
  </si>
  <si>
    <t>The product SHALL disable the rendering of closed captions if the selection to Fast Rewind Recorded content is enabled.</t>
  </si>
  <si>
    <t>TR-DSRSW-1986</t>
  </si>
  <si>
    <t>The product SHALL disable the reconstruction of Line 21, Field 1 and Field 2, of the VBI if the selection to Pause Recorded content is enabled.</t>
  </si>
  <si>
    <t>TR-DSRSW-1987</t>
  </si>
  <si>
    <t>The product SHALL disable the rendering of closed captions if the selection to Pause Recorded content is enabled.</t>
  </si>
  <si>
    <t>TR-DSRSW-1988</t>
  </si>
  <si>
    <t>The product SHALL begin reconstructing Line 21, Field 1 and Field 2, of the VBI within three (3) seconds of a transition from Slow Forward playback to Normal Speed playback of Recorded content.</t>
  </si>
  <si>
    <t>TR-DSRSW-1989</t>
  </si>
  <si>
    <t>The product SHALL begin rendering closed caption data within three (3) seconds of a transition from Slow Forward playback to Normal Speed playback of Recorded content.</t>
  </si>
  <si>
    <t>TR-DSRSW-1990</t>
  </si>
  <si>
    <t>The product SHALL begin reconstructing Line 21, Field 1 and Field 2, of the VBI within three (3) seconds of a transition from Fast Forward playback to Normal Speed playback of Recorded content.</t>
  </si>
  <si>
    <t>TR-DSRSW-1991</t>
  </si>
  <si>
    <t>The product SHALL begin rendering closed caption data within three (3) seconds of a transition from Fast Forward playback to Normal Speed playback of Recorded content.</t>
  </si>
  <si>
    <t>TR-DSRSW-1992</t>
  </si>
  <si>
    <t>The product SHALL begin reconstructing Line 21, Field 1 and Field 2, of the VBI within three (3) seconds of a transition from Slow Rewind playback to Normal Speed playback of Recorded content.</t>
  </si>
  <si>
    <t>TR-DSRSW-1993</t>
  </si>
  <si>
    <t>The product SHALL begin rendering closed caption data within three (3) seconds of a transition from Slow Rewind playback to Normal Speed playback of Recorded content.</t>
  </si>
  <si>
    <t>TR-DSRSW-1994</t>
  </si>
  <si>
    <t>The product SHALL begin reconstructing Line 21, Field 1 and Field 2, of the VBI within three (3) seconds of a transition from Fast Rewind playback to Normal Speed playback of Recorded content.</t>
  </si>
  <si>
    <t>TR-DSRSW-1995</t>
  </si>
  <si>
    <t>The product SHALL begin rendering closed caption data within three (3) seconds of a transition from Fast Rewind playback to Normal Speed playback of Recorded content.</t>
  </si>
  <si>
    <t>TR-DSRSW-1996</t>
  </si>
  <si>
    <t>The product SHALL begin reconstructing Line 21, Field 1 and Field 2, of the VBI within three (3) seconds of a transition from Paused playback to Normal Speed playback of Recorded content.</t>
  </si>
  <si>
    <t>TR-DSRSW-1997</t>
  </si>
  <si>
    <t>The product SHALL begin rendering closed caption data within three (3) seconds of a transition from Paused playback to Normal Speed playback of Recorded content.</t>
  </si>
  <si>
    <t>TR-DSRSW-1998</t>
  </si>
  <si>
    <t>MPEG-4 and HEVC Closed Captions</t>
  </si>
  <si>
    <t>TR-DSRSW-1999</t>
  </si>
  <si>
    <t xml:space="preserve">Following requirements describe the extraction of SCTE-21 closed captions from the transport. The actual rendering and pass-through requirements for 608/708 captions is defined in the closed caption module. </t>
  </si>
  <si>
    <t>TR-DSRSW-2000</t>
  </si>
  <si>
    <t xml:space="preserve">The product SHALL access the  Supplemental Enhancement Information NAL units in each AVC access unit with payloadType=4, and extract the user_data_registered_itu_t_t35 payload as per syntax defined in [SCTE-128]. </t>
  </si>
  <si>
    <t>TR-DSRSW-2001</t>
  </si>
  <si>
    <t>The product SHALL extract the [SCTE-21] compliant cc_data from the user_data_registered_itu_t_t35, if the user_identifier is indicated as ATSC (as per [SCTE-128]), and the  user_data_type_code is equal to 0x03.</t>
  </si>
  <si>
    <t>TR-DSRSW-2002</t>
  </si>
  <si>
    <t>The requirements for rendering of 608 and 708 captions, and the pass-through of the 608 captions to an NTSC output are defined in [EIA-608], [EIA-708] and [FCC-00259] (along with [47CFR15.119])</t>
  </si>
  <si>
    <t>TR-DSRSW-2003</t>
  </si>
  <si>
    <t>The product SHALL extract the [EIA-608] and [EIA-708] captions from the [SCTE-21] data as defined in closed caption requirements, and process the rendering of the captions in compliance with [FCC00259] and the User Settings Menu.</t>
  </si>
  <si>
    <t>TR-DSRSW-2004</t>
  </si>
  <si>
    <t>The product SHALL pass-through the [EIA-608] captions to an NTSC output, if exists, in compliance with [FCC00259].</t>
  </si>
  <si>
    <t>TR-DSRSW-2005</t>
  </si>
  <si>
    <t>TR-DSRSW-2006</t>
  </si>
  <si>
    <t>TR-DSRSW-2007</t>
  </si>
  <si>
    <t>Picture in Graphics functionality.</t>
  </si>
  <si>
    <t>TR-DSRSW-2008</t>
  </si>
  <si>
    <t>The product SHALL be capable of generating full-screen OSD graphics in combination with the active scaling of the video service from a decoder.</t>
  </si>
  <si>
    <t>TR-DSRSW-2009</t>
  </si>
  <si>
    <t>The product SHALL be capable of generating full-screen OSD graphics in combination with the active scaling of video from an application.</t>
  </si>
  <si>
    <t>TR-DSRSW-2010</t>
  </si>
  <si>
    <t>The product SHALL be capable of generating full-screen OSD graphics in combination with the active scaling of an MPEG still from RAM.</t>
  </si>
  <si>
    <t>TR-DSRSW-2011</t>
  </si>
  <si>
    <t>Scaling for Picture in Graphics.</t>
  </si>
  <si>
    <t>TR-DSRSW-2012</t>
  </si>
  <si>
    <t>The product SHALL support scaling the PIG graphics window in the horizontal and vertical dimensions in increments of (1/32) between zero (0) and one (1).</t>
  </si>
  <si>
    <t>TR-DSRSW-2013</t>
  </si>
  <si>
    <t>TR-DSRSW-2014</t>
  </si>
  <si>
    <t>TR-DSRSW-2015</t>
  </si>
  <si>
    <t>TR-DSRSW-2016</t>
  </si>
  <si>
    <t>TR-DSRSW-2017</t>
  </si>
  <si>
    <t>TR-DSRSW-2018</t>
  </si>
  <si>
    <t>TR-DSRSW-2019</t>
  </si>
  <si>
    <t>TR-DSRSW-2021</t>
  </si>
  <si>
    <t>25.2.0-1</t>
  </si>
  <si>
    <t>The 4:3 Stretch feature is associated with 4:3 source content.   
The 16:9 Zoom feature is associated with 16:9 source content.  
Likewise:
"Stretch Mode" refers to manipulation of 4:3 source video.
"Zoom Mode" refers to manipulation of 16:9 source video.</t>
  </si>
  <si>
    <t>TR-DSRSW-2023</t>
  </si>
  <si>
    <t>TR-DSRSW-2024</t>
  </si>
  <si>
    <t>The product SHALL provide a mechanism for an IR remote control unit to cycle through the available stretch/zoom modes, using a dedicated button with a unique IR keycode that is identical for 4:3 stretch and 16:9 Zoom.</t>
  </si>
  <si>
    <t>TR-DSRSW-2025</t>
  </si>
  <si>
    <t>4:3 Source Stretch Presentation</t>
  </si>
  <si>
    <t>TR-DSRSW-2026</t>
  </si>
  <si>
    <t>The product SHALL retain any graphics overlaid upon the stretched video in an as-is condition, without stretching the graphics. Note: The said graphics includes flip bars, program listings, closed captions, or other rendered graphical attributes.</t>
  </si>
  <si>
    <t>TR-DSRSW-2029</t>
  </si>
  <si>
    <t>TR-DSRSW-2030</t>
  </si>
  <si>
    <t xml:space="preserve">The product SHALL provide Stretch Mode #1: No Stretch. This mode produces a 16:9 output by creating a pillarbox display using the tuned (or otherwise presented) 4:3 video. The default screen-friendly name for this mode shall be "Normal." </t>
  </si>
  <si>
    <t>TR-DSRSW-2031</t>
  </si>
  <si>
    <t>NOTE: This product does not provide Stretch Mode #2</t>
  </si>
  <si>
    <t>TR-DSRSW-2032</t>
  </si>
  <si>
    <t>TR-DSRSW-2033</t>
  </si>
  <si>
    <t>TR-DSRSW-2034</t>
  </si>
  <si>
    <t>TR-DSRSW-2039</t>
  </si>
  <si>
    <t>The product SHALL maintain the Stretch Mode between channel changes.</t>
  </si>
  <si>
    <t>TR-DSRSW-2196</t>
  </si>
  <si>
    <t>16:9 Source Zoom Presentation</t>
  </si>
  <si>
    <t>TR-DSRSW-2049</t>
  </si>
  <si>
    <t>TR-DSRSW-2040</t>
  </si>
  <si>
    <t>TR-DSRSW-2041</t>
  </si>
  <si>
    <t>The product SHALL provide Zoom Mode #1: No Zoom. This mode is equivalent to no video processing of any kind being applied to the 16:9 video.  The default screen-friendly name for this mode shall be "Normal."</t>
  </si>
  <si>
    <t>TR-DSRSW-2042</t>
  </si>
  <si>
    <t>This product does not provide Zoom Mode #2</t>
  </si>
  <si>
    <t>TR-DSRSW-2043</t>
  </si>
  <si>
    <t>TR-DSRSW-2044</t>
  </si>
  <si>
    <t>TR-DSRSW-2045</t>
  </si>
  <si>
    <t>TR-DSRSW-2053</t>
  </si>
  <si>
    <t>TR-DSRSW-2055</t>
  </si>
  <si>
    <t>TR-DSRSW-2056</t>
  </si>
  <si>
    <t>The product SHALL provide the application with its maximum graphic resolution processing capability information.</t>
  </si>
  <si>
    <t>TR-DSRSW-2223</t>
  </si>
  <si>
    <t xml:space="preserve">The product SHALL allow application graphics to have priority over closed captions. </t>
  </si>
  <si>
    <t>TR-DSRSW-2235</t>
  </si>
  <si>
    <t>The product SHALL support the OpenGL graphics library.</t>
  </si>
  <si>
    <t>TR-DSRSW-2236</t>
  </si>
  <si>
    <t>The product SHALL support a graphics library that is seperate from, and not dependant upon, the Neptune API.</t>
  </si>
  <si>
    <t>TR-DSRSW-2057</t>
  </si>
  <si>
    <t>TR-DSRSW-2058</t>
  </si>
  <si>
    <t>TR-DSRSW-2059</t>
  </si>
  <si>
    <t>TR-DSRSW-2060</t>
  </si>
  <si>
    <t>TR-DSRSW-2061</t>
  </si>
  <si>
    <t>TR-DSRSW-2062</t>
  </si>
  <si>
    <t>TR-DSRSW-2063</t>
  </si>
  <si>
    <t>TR-DSRSW-2064</t>
  </si>
  <si>
    <t>TR-DSRSW-2065</t>
  </si>
  <si>
    <t>TR-DSRSW-2066</t>
  </si>
  <si>
    <t>TR-DSRSW-2067</t>
  </si>
  <si>
    <t>TR-DSRSW-2068</t>
  </si>
  <si>
    <t>TR-DSRSW-2069</t>
  </si>
  <si>
    <t>TR-DSRSW-2070</t>
  </si>
  <si>
    <t>TR-DSRSW-2071</t>
  </si>
  <si>
    <t>TR-DSRSW-2074</t>
  </si>
  <si>
    <t>Requirements in this section only apply if the set-top platform supports the specific output interface.</t>
  </si>
  <si>
    <t>TR-DSRSW-2075</t>
  </si>
  <si>
    <t>TR-DSRSW-2076</t>
  </si>
  <si>
    <t>TR-DSRSW-2077</t>
  </si>
  <si>
    <t>TR-DSRSW-2078</t>
  </si>
  <si>
    <t>TR-DSRSW-2079</t>
  </si>
  <si>
    <t>The product's HDMI and SPDIF outputs SHALL be independently configurable to carry either Dolby Digital or 2-channel (left/right) LPCM.</t>
  </si>
  <si>
    <t>TR-DSRSW-2080</t>
  </si>
  <si>
    <t>TR-DSRSW-2197</t>
  </si>
  <si>
    <t>Dolby Digital Plus Audio Decode</t>
  </si>
  <si>
    <t>TR-DSRSW-2083</t>
  </si>
  <si>
    <t>TR-DSRSW-2084</t>
  </si>
  <si>
    <t>TR-DSRSW-2085</t>
  </si>
  <si>
    <t>TR-DSRSW-2086</t>
  </si>
  <si>
    <t>TR-DSRSW-2087</t>
  </si>
  <si>
    <t>TR-DSRSW-2088</t>
  </si>
  <si>
    <t>The product SHALL support passing Dolby Digital Plus audio to the HDMI output, while simultaneously providing 2 channel (left/right) analog audio outputs, and PCM to the SPDIF output.</t>
  </si>
  <si>
    <t>TR-DSRSW-2089</t>
  </si>
  <si>
    <t>TR-DSRSW-2090</t>
  </si>
  <si>
    <t xml:space="preserve">The product SHALL acquire the service component carrying Dolby Digital Plus (DD+), service component with stream type 0x87, IF the product can decode DD+, AND the service component has a language descriptor that matches the preferred language. </t>
  </si>
  <si>
    <t>TR-DSRSW-2091</t>
  </si>
  <si>
    <t>TR-DSRSW-2092</t>
  </si>
  <si>
    <t>TR-DSRSW-2093</t>
  </si>
  <si>
    <t>The product SHALL provide an API that returns a) the audio format and b) the number of channels of the acquired audio component.</t>
  </si>
  <si>
    <t>TR-DSRSW-2094</t>
  </si>
  <si>
    <t>The product SHALL, when the user changes the audio language, acquire the appropriate audio component as defined by the Audio Selection requirements.</t>
  </si>
  <si>
    <t>TR-DSRSW-2095</t>
  </si>
  <si>
    <t>TR-DSRSW-2097</t>
  </si>
  <si>
    <t>The product SHALL be capable of transcoding stereo digital audio formats to the Dolby Digital (AC-3) 2.0 format.</t>
  </si>
  <si>
    <t>TR-DSRSW-2098</t>
  </si>
  <si>
    <t>28.1.0-2</t>
  </si>
  <si>
    <t>The product SHALL be capable of transcoding multi-channel digital audio formats to the Dolby Digital (AC-3) 5.1 format.</t>
  </si>
  <si>
    <t>TR-DSRSW-2387</t>
  </si>
  <si>
    <t>Audio Mixing</t>
  </si>
  <si>
    <t>TR-DSRSW-2388</t>
  </si>
  <si>
    <t>The product SHALL provide an API that allows an application to mix audio from an MP3 file with any supported audio input format.</t>
  </si>
  <si>
    <t>TR-DSRSW-2389</t>
  </si>
  <si>
    <t>28.2.0-2</t>
  </si>
  <si>
    <t>The product SHALL shall play the mixed audio to the HDMI output.</t>
  </si>
  <si>
    <t>TR-DSRSW-2390</t>
  </si>
  <si>
    <t>28.2.0-3</t>
  </si>
  <si>
    <t>The product SHALL shall play the mixed audio to the baseband L/R audio output.</t>
  </si>
  <si>
    <t>TR-DSRSW-2391</t>
  </si>
  <si>
    <t>The product SHALL shall play the mixed audio to the HDMI output in the current HDMI audio format. (Dolby Digital, for example)</t>
  </si>
  <si>
    <t>TR-DSRSW-2392</t>
  </si>
  <si>
    <t>The product SHALL provide an audio mixing feature that allows the file input audio to be level controlled.</t>
  </si>
  <si>
    <t>TR-DSRSW-2393</t>
  </si>
  <si>
    <t>The product SHALL start the MP3 file audio playback within 10 ms of the API request, when the file is stored in RAM.</t>
  </si>
  <si>
    <t>TR-DSRSW-2394</t>
  </si>
  <si>
    <t>TR-DSRSW-2099</t>
  </si>
  <si>
    <t>TR-DSRSW-2100</t>
  </si>
  <si>
    <t>TR-DSRSW-2101</t>
  </si>
  <si>
    <t>29.1.0-1</t>
  </si>
  <si>
    <t>TR-DSRSW-2102</t>
  </si>
  <si>
    <t>29.1.0-2</t>
  </si>
  <si>
    <t>TR-DSRSW-2103</t>
  </si>
  <si>
    <t>TR-DSRSW-2104</t>
  </si>
  <si>
    <t>TR-DSRSW-2105</t>
  </si>
  <si>
    <t>The product SHALL follow the normal audio language selection requirements IF Descriptive Video Service is enabled AND no DVS audio stream is found to match the viewer's preferences.</t>
  </si>
  <si>
    <t>TR-DSRSW-2106</t>
  </si>
  <si>
    <t>TR-DSRSW-2107</t>
  </si>
  <si>
    <t>Dolby Digital Audio Dyamic Range Compression</t>
  </si>
  <si>
    <t>TR-DSRSW-2108</t>
  </si>
  <si>
    <t>29.2.0-1</t>
  </si>
  <si>
    <t>The product SHALL be capable of adjusting audio dynamic range compression for Dolby audio signals. [Note this includes Dolby Digital and Dolby Digital Plus audio signals.]</t>
  </si>
  <si>
    <t>TR-DSRSW-2109</t>
  </si>
  <si>
    <t>29.2.0-2</t>
  </si>
  <si>
    <t>TR-DSRSW-2110</t>
  </si>
  <si>
    <t>29.2.0-3</t>
  </si>
  <si>
    <t>The product SHALL save the last  Dynamic Range Compression setting in persistent storage and reuse it during start-up.</t>
  </si>
  <si>
    <t>TR-DSRSW-1345</t>
  </si>
  <si>
    <t>Audio PID Selection</t>
  </si>
  <si>
    <t>TR-DSRSW-1346</t>
  </si>
  <si>
    <t>The product SHALL allow the application to select, for the current service, which audio stream that the product plays.</t>
  </si>
  <si>
    <t>TR-DSRSW-1347</t>
  </si>
  <si>
    <t xml:space="preserve">The product SHALL seamlessly (no audible pops, clicks, or noise) transition between audio streams when the application picks a different audio stream.  </t>
  </si>
  <si>
    <t>TR-DSRSW-1348</t>
  </si>
  <si>
    <t>The product SHALL present artifact-free video when the audio streams change.</t>
  </si>
  <si>
    <t>TR-DSRSW-2224</t>
  </si>
  <si>
    <t>TR-DSRSW-2228</t>
  </si>
  <si>
    <t>Mean Time Between Reboots</t>
  </si>
  <si>
    <t>TR-DSRSW-2225</t>
  </si>
  <si>
    <t>30.1.0-1</t>
  </si>
  <si>
    <t>The product SHALL achieve 30 days mean time between reboots (MTBR), while running ARRIS's standard stability rack test.</t>
  </si>
  <si>
    <t>R.McGowan</t>
  </si>
  <si>
    <t>Technical Requirements</t>
  </si>
  <si>
    <t>Trace to FR</t>
  </si>
  <si>
    <t>Trace to TR</t>
  </si>
  <si>
    <t>365-095-29865</t>
  </si>
  <si>
    <t xml:space="preserve"> </t>
  </si>
  <si>
    <t>Status</t>
  </si>
  <si>
    <t>Approved</t>
  </si>
  <si>
    <t>TR-DSRSW-2154</t>
  </si>
  <si>
    <t>The product SHALL run on the DSR800 hardware platform</t>
  </si>
  <si>
    <t>Modified</t>
  </si>
  <si>
    <t>TR-DSRSW-2151</t>
  </si>
  <si>
    <t>The product SHALL make at least 50% of DRAM to applications for the Adara1.0 feature set.</t>
  </si>
  <si>
    <t>TR-DSRSW-2153</t>
  </si>
  <si>
    <t>TR-DSRSW-2436</t>
  </si>
  <si>
    <t>8.4.2</t>
  </si>
  <si>
    <t>Background Download</t>
  </si>
  <si>
    <t>The product SHALL invoke a system reset if the remote control button sequence, "HELP, OPTIONS, POWER," is received with less than 1 second between each button press, provided that the firmware is functioning properly (that is, not unresponsive or otherwise disabled).</t>
  </si>
  <si>
    <t>The product SHALL complete execution of the boot code and authentication of the platform image within 15 seconds after an AC power cycle. [The requirement ends with beginning of platform software execution and only applies to a boot from FLASH, not a boot from the HDD or the network.]</t>
  </si>
  <si>
    <t>The product SHALL validate that the codeAccessStart (synonymous with the PKCS attribute signingTime) parameter in the downloaded platform code image is greater than or equal to the codeAccessStart parameter for the currently executing platform code image at platform download.</t>
  </si>
  <si>
    <t>TR-DSRSW-2431</t>
  </si>
  <si>
    <t>11.2.4</t>
  </si>
  <si>
    <t>Boot Code Authentication</t>
  </si>
  <si>
    <t>TR-DSRSW-2373</t>
  </si>
  <si>
    <t>11.3.1</t>
  </si>
  <si>
    <t>Close Sockets</t>
  </si>
  <si>
    <t xml:space="preserve">The product SHALL for all IP communications, keep sockets closed when not in use.  ONLY sockets supporting features that require listening for connections (providing remote services or waiting for a response from another network node) should be open.  Furthermore, open sockets shall be hardened against buffer overrun and incorrect packet formats - the software listening, to the extent possible, will verify the incoming content as valid before allowing other code to operate on or with the data.  </t>
  </si>
  <si>
    <t>Comment: Owing to the nature of communications technology, it is not possible to create a platform that is impenetrable to attack.  There are many methods available to increase the resiliency and robustness of networked devices, however.  It is important here to define exactly what is meant by "resiliency to attack", as this can be interpreted in a number of ways.  
In this context it is expected that while under attack the system may become sluggish or that some functions may even become unresponsive (i.e. under a Denial of Service "TCP SYN-flood" attack it is expected that the establishment of network communications may not be possible until the attack is blocked or ceases).  These conbuffer ditions may also lead to a system reset, as the CPU load is monitored to ensure that no "dead" function or application can grind the system to a halt (the "watchdog" function will force a reset if it determines the CPU is unduly loaded in order to reset any offending functions and return to normal operating capacity as quickly as possible).  It is therefore acceptable for the settop to reset in response to "flooding attacks" as a result of the operation of the watchdog function.
It is unacceptable, however, for any software exception resulting from an attack to result in a system reset, hang or crash, or the corruption of any sensitive information resident in memory (code objects, configuration information, stored content, etc.).  As an example, a buffer overflow exception must be properly handled without resulting in a reset or any corruption of stored data.  A further example of unacceptable behavior would be a malformed packet that results in some software module becoming trapped in a loop, causing the CPU to become unduly loaded and triggering the watchdog function to reset the settop.</t>
  </si>
  <si>
    <t>Comment: features that utilize network communications may open vulnerabilities previously not present on the CPE.  In order to prevent such vulnerabilities from being introduced and possibly exploited, some generally accepted security practices in the information processing and data communications industry should be required of all software executing on the CPE.  The requirements included in this section apply generally to software that may be loaded on the STB platform (including Arris platform code and 3rd party vendor developed application code).</t>
  </si>
  <si>
    <t>The FINGERPRINT message signals DigiCipher® II Decoders to output a "fingerprint" on the onscreen display, for the purposes of identification of Decoders being used illegally (such as consumer Decoders being used in a commercial establishment).  The message identifies one of several possible display formats for the 40-bit unit address, including one that is intended to go unnoticed to the casual viewer.
Decoders display FINGERPRINT messages only while displaying active video on a video service.</t>
  </si>
  <si>
    <t>The product's HLS player shall be interoperable with the Verimatrix standard security library for decryption key retrieval.</t>
  </si>
  <si>
    <t>TR-DSRSW-2432</t>
  </si>
  <si>
    <t>TR-DSRSW-2214</t>
  </si>
  <si>
    <t>The DSR800 product SHALL prevent external Hard Drive functionality.</t>
  </si>
  <si>
    <t>The product SHALL notify applications that the formatting process is complete, when formatting a DVR eHDD, after the STB has mounted the eHDD. (NOTE: The intent is that application notifies the user that the format and mounting process is complete, thus if the application had displayed an alert to the user not to disconnect the eHDD, then this alert would inform the application to tear down the alert)</t>
  </si>
  <si>
    <t>TR-DSRSW-2463</t>
  </si>
  <si>
    <t>TR-DSRSW-2464</t>
  </si>
  <si>
    <t>File Format</t>
  </si>
  <si>
    <t>TR-DSRSW-2465</t>
  </si>
  <si>
    <t>The product SHALL implement a DVR recording file structure/manifest that is compatible with code releases that implement DVR file append and spit capability. (Note: The intent here is to avoid incompatible DVR file formats)</t>
  </si>
  <si>
    <t>Deferred</t>
  </si>
  <si>
    <t>14.4.3</t>
  </si>
  <si>
    <t>14.4.3.0-1</t>
  </si>
  <si>
    <t>14.4.3.0-2</t>
  </si>
  <si>
    <t>14.4.3.0-3</t>
  </si>
  <si>
    <t>14.4.3.0-4</t>
  </si>
  <si>
    <t>14.4.3.0-5</t>
  </si>
  <si>
    <t>14.4.3.0-6</t>
  </si>
  <si>
    <t>Notes:
1. Media files could have the encryption method as NONE (unencrypted media files) or AES-128. Media files with Encryption method NONE denote unencrypted content, in which case, there is no notion of URI and Initialization vector attributes related to the key.
2. In case of media files with Encryption method of AES-128 encryption, the product needs to look at the URI attribute, which specifies how to obtain the key. If the Initialization vector is specified, the product needs to use the Initialization vector along with the key. The Initialization vector must be interpreted as a 128 bit hex number in such cases
3. If there is no initialization vector specified, the product needs to use the sequence number of the media file as the Initialization vector along with the key. This is as per the HLS spec and may not apply in case Secure Media is used with HLS.
4. In case of a stream that fully complies with HLS, the key occurs in EXT-X-KEY tag.</t>
  </si>
  <si>
    <t>(Note: Shaw wants up to 20 seconds of cache in addition to the live  2 second buffer. That's 22 seconds total, plus 2 MB for decryption RAM.
  8 Mbit/sec / 8bits  =  1 MByte per second of VOD.
  22 seconds of VOD requires 22 MB of RAM.
  Add the 2 MB decryption buffer for a total 24 MBytes of RAM.)</t>
  </si>
  <si>
    <t>The product SHALL support applicable satellite background recording requirements during a VOD session. (For example, if the product supports two HD or SD background satellite recordings from signal tuners, the product shall still be able to record two SD or HD services in the background while a VOD service plays in the foreground).</t>
  </si>
  <si>
    <t>The product SHALL enable CGMS-Analog (Type A) for video copy protection during http based rendering of internet video content. (NOTE: The only analog video output for this product is 480i60 composite video, hence, only CGMS-A Type A is required.  Type B is used for 480p60 and higher analog resolutions)</t>
  </si>
  <si>
    <t>NOTE on Band Types:
https://en.wikipedia.org/wiki/U-NII:
Band				Freq.Range	Bandwidth	MaxPower	Max EIRP
U-NII Low / U-NII-1 / U-NII Indoo	5.150-5.250 G	100 MHz	50 mW		200 W
U-NII Mid / U-NII-2 / Power	5.250–5.350 G	100 MHz	250 mW	1 W
U-NII WorldWide / U-NII-2e	5.470-5.725 G	255 MHz	.		.
U-NII Upper / U-NII-3		5.725-5.825 G	100 MHz	1 W		200 W</t>
  </si>
  <si>
    <t>The product shall support Wi-Fi Protected Setup (WPS) Push Button Configuration (PBC) authentication method.  (Note that the push button is implemented as a virtual push button on a Shaw app user screen).</t>
  </si>
  <si>
    <t xml:space="preserve">The product shall provide an API for the application to initiate pairing with a wireless access point.  </t>
  </si>
  <si>
    <t>The product SHALL, IF no UB slots are available after the first UB acquisition attempt, power OFF each accessible UB slot, then make a second attempt to claim to lowest available UB slot. (Note: In this context, "accessible UB slot" refers to all the possible UB slots that are available to the satellite tuner. This will vary depending on the configuration of the SCIF since not all UB slots are necessarily available on each SCIF output).</t>
  </si>
  <si>
    <t>The product SHALL, after a channel change, notify the application IF the PAT TSID does not match the TSID given in the Network Information Tables (NITs). (Note: the application should attempt to retune if the TSID does not match, but eventually give up allowing NITs to update if necessary.)</t>
  </si>
  <si>
    <t xml:space="preserve">When an A/V service is acquired, and the client indicates that default components should be selected, the product SHALL select the audio component that corresponds to the preferred language if the preferred language has been configured and there is an audio component that matches the preferred language. </t>
  </si>
  <si>
    <t xml:space="preserve">If the platform is in control of tuning, the product SHALL retain the permanent definition of the virtual channel (base channel) that is being overidden for a particular inband service path in order to go back to the correct channel on that inband service path when the override action is concluded. </t>
  </si>
  <si>
    <t>The product SHALL tune to a different digital service within the same multi-program transport stream (MPTS) with a 95% percentile time of 1.5 seconds from when a tune request is delivered to the platform software until when the service is available for viewing.</t>
  </si>
  <si>
    <t>[Note this includes the time to demux the other digital service, to acquire SI data (from PMT), and to decode and present the audio and video.  It assumes a standard definition MPEG-2 service with a GOP size of 15, PAT/PMT insertion rate of 8/second, and a non-encrypted channel.  It also assumes that the services are not being trick-played (going live-off-disk), and that the same audio and video codecs exist in both services.]</t>
  </si>
  <si>
    <t>The product SHALL tune to a different digital service in a different multi-program transport stream (MPTS) with a 95% percentile time of 2.0 seconds from when a tune request is delivered to the platform software until when the service is available for viewing.</t>
  </si>
  <si>
    <t>[Note this includes the tune to the frequency of the other MPTS, to demux and receive the other digital service, to acquire SI data (PAT and PMT), and to decode and present the audio and video.  It assumes a standard definition MPEG-2 service with a GOP size of 15, PAT/PMT insertion rate of 8/second, PCR interval is 50ms, and a non-encrypted channel.  It also assumes that the services are not being trick-played (going live-off-disk), and that the same audio and video codecs exist in both services.]</t>
  </si>
  <si>
    <t>TR-DSRSW-2200</t>
  </si>
  <si>
    <t>TR-DSRSW-2202</t>
  </si>
  <si>
    <t>The product SHALL have a flexible video decoder that is capable of decoding compliant MPEG-4 AVC digital video streams encoded using High Profile and up to Level 4.2 (HP@L4.2) as per [ITU-T H.264] and [ISO 14496-10]. (Level 4.2 = 1080p60)</t>
  </si>
  <si>
    <t>TR-DSRSW-2203</t>
  </si>
  <si>
    <t>HEVC Video Decode</t>
  </si>
  <si>
    <t xml:space="preserve">The product SHALL reconstruct Line 21, Field 1 and Field 2, of the VBI on its NTSC Outputs if it is tuned to a Digital service where CEA-608 caption data is present in the MPEG-2 Picture User Data of the same MPEG video frame and carried in SCTE-21 syntax with cc_type equal to '00'. </t>
  </si>
  <si>
    <t xml:space="preserve">The product SHALL reconstruct Line 21, Field 1 and Field 2, of the VBI on its NTSC Outputs if it is tuned to a Digital service where CEA-608 caption data is present in the MPEG-2 Picture User Data of the same MPEG video frame and carried in SCTE-21 syntax with cc_type equal to '01'. </t>
  </si>
  <si>
    <t xml:space="preserve">The product SHALL reconstruct Line 21, Field 1 and Field 2, of the VBI on its NTSC Outputs if it is tuned to a Digital service where CEA-608 caption data is present in the MPEG-2 Picture User Data of the same MPEG video frame and carried in SCTE-20 syntax. </t>
  </si>
  <si>
    <t>The product SHALL reconstruct Line 21, Field 1 and Field 2, of the VBI on its NTSC Outputs using the CEA-608 caption data that was received in SCTE-20 syntax if it is tuned to a Digital service where CEA-608 caption data is present in the MPEG-2 Picture User Data of the same MPEG video frame and carried in both the SCTE-20 syntax and SCTE-21 syntax.</t>
  </si>
  <si>
    <t>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with cc_type equal to '00' for the CEA-608 captions.</t>
  </si>
  <si>
    <t>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with cc_type equal to '01' for the CEA-608 captions.</t>
  </si>
  <si>
    <t>The product SHALL begin reconstructing Line 21, Field 1 and Field 2, of the VBI within three (3) seconds if the closed caption transport syntax transitions from SCTE-21 to SCTE-20 while tuned to a Digital service where CEA-608 caption data is present in the MPEG-2 Picture User Data of the same MPEG video frame.</t>
  </si>
  <si>
    <t>The product SHALL begin rendering CEA-608 captions within three (3) seconds if the closed caption transport syntax transitions from SCTE-21 to SCTE-20 while tuned to a Digital service where CEA-608 caption data is present in the MPEG-2 Picture User Data of the same MPEG video frame.</t>
  </si>
  <si>
    <t>The product SHALL begin reconstructing Line 21, Field 1 and Field 2, of the VBI within three (3) seconds if the closed caption transport syntax transitions from SCTE-20 to SCTE-21 while tuned to a Digital service where CEA-608 caption data is present in the MPEG-2 Picture User Data of the same MPEG video frame.</t>
  </si>
  <si>
    <t>The product SHALL begin rendering CEA-608 captions within three (3) seconds if the closed caption transport syntax transitions from SCTE-20 to SCTE-21 while tuned to a Digital service where CEA-608 caption data is present in the MPEG-2 Picture User Data of the same MPEG video frame.</t>
  </si>
  <si>
    <t>The product SHALL render CEA-608 closed captions on its NTSC outputs if it is tuned to a digital service where only CEA-608 caption data is present (CEA-708 data is not present) in the MPEG-2 Picture User Data of the same MPEG video frame and carried in SCTE-21 syntax with cc_type equal to '00' AND the user has selected to enable captions.</t>
  </si>
  <si>
    <t>The product SHALL render CEA-608 closed captions on its NTSC outputs if it is tuned to a digital service where only CEA-608 caption data is present (CEA-708 data is not present) in the MPEG-2 Picture User Data of the same MPEG video frame and carried in SCTE-21 syntax with cc_type equal to '01' AND the user has selected to enable captions.</t>
  </si>
  <si>
    <t>The product SHALL render CEA-608 closed captions on its NTSC outputs if it is tuned to a digital service where only CEA-608 caption data is present (CEA-708 data is not present) in the MPEG-2 Picture User Data of the same MPEG video frame and carried in SCTE-20 syntax AND the user has selected to enable captions.</t>
  </si>
  <si>
    <t>The product SHALL render the CEA-608 caption data that was received in SCTE-20 syntax on its NTSC outputs if it is tuned to a digital service where only CEA-608 caption data is present (CEA-708 data is not present) in the MPEG-2 Picture User Data of the same MPEG video frame and carried in both SCTE-20 syntax and SCTE-21 syntax AND the user has selected to enable captions.</t>
  </si>
  <si>
    <t>The product SHALL render CEA-708 captions on its NTSC outputs if it is tuned to a digital service where CEA-708 caption data is present  in the MPEG-2 Picture User Data of the same MPEG video frame and carried in SCTE-21 syntax with cc_type equal to '10' AND the user has selected to enable captions.</t>
  </si>
  <si>
    <t>The product SHALL render CEA-708 captions on its NTSC outputs if it is tuned to a digital service where CEA-708 caption data is present in the MPEG-2 Picture User Data of the same MPEG video frame and carried in SCTE-21 syntax with cc_type equal to '11' AND the user has selected to enable captions.</t>
  </si>
  <si>
    <t>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t>
  </si>
  <si>
    <t>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t>
  </si>
  <si>
    <t>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t>
  </si>
  <si>
    <t>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t>
  </si>
  <si>
    <t xml:space="preserve">The product SHALL provide Stretch Mode #3: Linear Stretch. This mode produces a 16:9 output by linearly stretching the 4:3 video in the horizontal direction only until it has an aspect ratio of 16:9.  Linear stretching introduces and equal amount of distortion across the entire width of the video.  The default screen-friendly name for this mode shall be "Stretch." </t>
  </si>
  <si>
    <t>The product SHALL provide Stretch Mode #4: Linear Zoom. This mode creates a 16:9 output by first linearly stretching the 4:3 video in the horizontal direction until the video has an aspect ratio of 16:9 and then linearly stretches the video in the vertical direction by the same amount.  The two-dimensional stretching of the original 4:3 video creates a "zoom effect" that creates no distortion in the processed video but does introduce cropping of the top and bottom of the original video.  The default screen-friendly name for this mode shall be "Zoom."</t>
  </si>
  <si>
    <t>The product SHALL present any graphics overlaid upon the processed video as is, without zooming or otherwise distorting the said graphics. The said graphics includes flip bars, program listings, closed captions, or other rendered graphical attributes.  The "pre-zoom" locations and dimensions of these graphics shall be used as the "post-zoom" locations and dimensions of these graphics.</t>
  </si>
  <si>
    <t>The product SHALL provide Zoom Mode #3: Hybrid 4:3 Expand. This mode starts with a horizontally-centered 4:3 crop of the 16:9 video and then linearly stretches the 4:3 video crop in the horizontal direction only to an aspect ratio of 16:9.  The default screen-friendly name for this mode shall be "Stretch."</t>
  </si>
  <si>
    <t>The product SHALL provide Zoom Mode #4: Widescreen TV Zoom. This mode starts with a horizontally-centered 4:3 crop of the 16:9 video and then takes a vertically-centered 16:9 crop of the 4:3 video.  This is visually equivalent to stretching the 4:3 crop linearly by the same amount both horizontally and vertically and then cropping the image to fit a 16:9 display screen.  The default screen-friendly name for this mode shall be "Zoom."</t>
  </si>
  <si>
    <t>The product SHALL support passing Dolby Digital audio to one digital audio output (HDMI or SPDIF), while simultaneously decoding Dolby Digital audio to 2 channel (left/right) LPCM for another digital audio output (SPDIF or HDMI) simultaneously with 2 channel (left/right) analog audio outputs.</t>
  </si>
  <si>
    <t>The product SHALL be capable of remapping Dolby Digital Plus (E-AC-3) audio streams to Dolby Digital (AC-3) audio streams for the digital audio outputs (SPDIF and HDMI) while simultaneously providing downmixed 2-channel (left/right) Dolby surround audio on the analog audio outputs.</t>
  </si>
  <si>
    <t>The product SHALL support remapping Dolby Digital Plus to Dolby Digital for one digital audio output (HDMI or SPDIF), while simultaneously decoding Dolby Digital Plus audio to 2 channel (left/right) LPCM for another digital audio output (SPDIF or HDMI) simultaneously with 2 channel (left/right) analog audio outputs.</t>
  </si>
  <si>
    <t xml:space="preserve">The product SHALL acquire the first Dolby Digital audio component detected in the PMT IF a service component with stream type 0x81 with a language descriptor that matches the preferred language is present in the digital service. (i.e. the platform will not toggle between acquiring different audio components with the same component type and language descriptor.)   </t>
  </si>
  <si>
    <t xml:space="preserve">The product SHALL acquire the first Dolby Digital audio component detected in the PMT IF a service component with stream type 0x81 is present in the digital service AND there are no audio components in the stream that have language descriptors that match the preferred language. </t>
  </si>
  <si>
    <t>TR-DSRSW-2460</t>
  </si>
  <si>
    <t>Audio Transcode</t>
  </si>
  <si>
    <t>The product SHALL, if an MP3 file audio mix request is started while the an MP3 file is still playing, discontinue the playing the current MP3 file, and start the MP3 audio playback of the new file.  That is, the last file in overwrites the currently playing file.</t>
  </si>
  <si>
    <t>The product SHALL support three modes of Dynamic Range Compression for Dolby Digital and Dolby Digital Plus audio inputs : a) "None" which corresponds to maximum dynamic range , b) "Light" which corresponds to standard dynamic range, c) "Heavy" which corresponds to minimum dynamic range, as specified by  [Note: this is specified in the Dolby Licensee Manual].</t>
  </si>
  <si>
    <t xml:space="preserve">1 Acronyms </t>
  </si>
  <si>
    <t/>
  </si>
  <si>
    <t xml:space="preserve">1.1 General </t>
  </si>
  <si>
    <t xml:space="preserve">2 Industry Standards and Specifications </t>
  </si>
  <si>
    <t>4 Hardware Platform Support</t>
  </si>
  <si>
    <t>5 Flash Storage of Platform Software</t>
  </si>
  <si>
    <t>6 OS</t>
  </si>
  <si>
    <t>7 Application Support</t>
  </si>
  <si>
    <t>7.1 Application RAM</t>
  </si>
  <si>
    <t>7.2 General API Support</t>
  </si>
  <si>
    <t>7.3 Guide</t>
  </si>
  <si>
    <t>7.4 EAS (Emergency Alert Service)</t>
  </si>
  <si>
    <t>7.5 EPMs (Mail)</t>
  </si>
  <si>
    <t>7.6 TAMs</t>
  </si>
  <si>
    <t>8 Download</t>
  </si>
  <si>
    <t>9 Boot</t>
  </si>
  <si>
    <t>9.1 Boot Code</t>
  </si>
  <si>
    <t>9.2 Boot from FLASH</t>
  </si>
  <si>
    <t>9.3 Startup</t>
  </si>
  <si>
    <t>10 Remote Control Interface</t>
  </si>
  <si>
    <t>11 System Security and Robustness</t>
  </si>
  <si>
    <t>11.1 Embedded MediaCipher</t>
  </si>
  <si>
    <t>11.4 Fingerprints</t>
  </si>
  <si>
    <t>13 Copy Protection</t>
  </si>
  <si>
    <t>13.1 IPRM</t>
  </si>
  <si>
    <t>14 DVR</t>
  </si>
  <si>
    <t>14.1 Internal Hard Disk Drive</t>
  </si>
  <si>
    <t>14.2 External Hard Disk Drive</t>
  </si>
  <si>
    <t>14.3 DVR Record &amp; Play Features</t>
  </si>
  <si>
    <t>14.3.1 DVR Playback</t>
  </si>
  <si>
    <t>14.3.2 Local DVR Bypass</t>
  </si>
  <si>
    <t>14.3.3 DVR Recording</t>
  </si>
  <si>
    <t>14.3.4 DVR Trick Play</t>
  </si>
  <si>
    <t>14.4 DVR File Functions</t>
  </si>
  <si>
    <t>15 Time</t>
  </si>
  <si>
    <t>16 IP VOD HLS Streaming</t>
  </si>
  <si>
    <t>16.1 VOD HLS</t>
  </si>
  <si>
    <t>17 Wi-Fi</t>
  </si>
  <si>
    <t>18 Local Diagnostics</t>
  </si>
  <si>
    <t>19 Front Panel</t>
  </si>
  <si>
    <t>19.1 Front Panel User Controls</t>
  </si>
  <si>
    <t>20 LNB Interface</t>
  </si>
  <si>
    <t>21 Tuning and Demodulation</t>
  </si>
  <si>
    <t>21.1 Service Acquisition Performance</t>
  </si>
  <si>
    <t>22 Video Decode</t>
  </si>
  <si>
    <t>23 Picture Decode</t>
  </si>
  <si>
    <t>24 User Settings</t>
  </si>
  <si>
    <t>25 Closed Captioning</t>
  </si>
  <si>
    <t>26 Video Control</t>
  </si>
  <si>
    <t>26.1 Picture in Graphics (PIG)</t>
  </si>
  <si>
    <t>26.2 Stretch and Zoom Control</t>
  </si>
  <si>
    <t>27 Video Graphics</t>
  </si>
  <si>
    <t>28 Audio Decode</t>
  </si>
  <si>
    <t>28.1 MPEG-1,2 Layer III (MP3) Audio Decode</t>
  </si>
  <si>
    <t>28.2 MPEG-2,4 AAC-LC Audio Decode</t>
  </si>
  <si>
    <t>28.3 MPEG-2,4 HE-AAC Audio Decode</t>
  </si>
  <si>
    <t>28.4 Dolby Digital Audio Decode</t>
  </si>
  <si>
    <t>29 Audio Encode</t>
  </si>
  <si>
    <t>30 Audio Control</t>
  </si>
  <si>
    <t>31 Quality</t>
  </si>
  <si>
    <t>1.2 TL9K Cat</t>
  </si>
  <si>
    <t xml:space="preserve">3 Internal Document References </t>
  </si>
  <si>
    <t>8 Code Download over Satellite</t>
  </si>
  <si>
    <t>8.7 Standard Download Screen</t>
  </si>
  <si>
    <t>11.3.2 ARP Spoofing and Overflow Mitigation</t>
  </si>
  <si>
    <t>11.3.3 IP Spoofing and Overflow Mitigation</t>
  </si>
  <si>
    <t>11.3.4 SYN Flooding Mitigation</t>
  </si>
  <si>
    <t>11.3.5 SNMP Disable</t>
  </si>
  <si>
    <t>11.1 MediaCipher</t>
  </si>
  <si>
    <t>11.2 Code Validation</t>
  </si>
  <si>
    <t>The product SHALL authenticate the platform code including validating SHA-1 hash over the SignedContent as defined in PKCS#7 RFC 3369 as part of the download process.</t>
  </si>
  <si>
    <t>The product SHALL authenticate the platform code including validating SHA-1 hash over the SignedContent as defined in PKCS#7 RFC 3369 every time that the platform code is loaded for execution.</t>
  </si>
  <si>
    <t>The product SHALL authenticate each application code including validating SHA-1 hash over the SignedContent as defined in PKCS#7 RFC 3369 as part of the download process.</t>
  </si>
  <si>
    <t>The product SHALL authenticate the application code including validating SHA-1 hash over the SignedContent as defined in PKCS#7 RFC 3369 each time that the application is loaded for execution.</t>
  </si>
  <si>
    <t>14.1 Internal Hard Disk Drive General</t>
  </si>
  <si>
    <t>14.2 External Hard Disk Drive General</t>
  </si>
  <si>
    <t>14.2.1 External DVR Formatting</t>
  </si>
  <si>
    <t>14.3 DVR Record &amp; Play Functions</t>
  </si>
  <si>
    <t>14.3.2 DVR Bypass</t>
  </si>
  <si>
    <t>16.2 Buffer Related Requirements</t>
  </si>
  <si>
    <t>16.4 Performance Attributes</t>
  </si>
  <si>
    <t>The product SHALL increment the Stretch Mode in the following order, wrapping back to Stretch Mode 1 at the end of the list:
Stretch Mode #1
Stretch Mode #3
Stretch Mode #4
(wrap)</t>
  </si>
  <si>
    <t>The product SHALL maintain the ordered list of applicable zoom modes comprising of (in order): 
Zoom Mode #1
Zoom Mode #3 
Zoom Mode #4 
	(wrap)</t>
  </si>
  <si>
    <t>7.2.4 Electronic Personal Messages (EPMS)
a.k.a., "Mail"</t>
  </si>
  <si>
    <t>7.2.5 Non-Slotted Text Messages
a.k.a., "TAMs" (Tier-Addressed Messages)</t>
  </si>
  <si>
    <t>7.2.2.1 Guide App Support</t>
  </si>
  <si>
    <t>7.2.2 Guide</t>
  </si>
  <si>
    <t>8.1 JTAG for Development Support</t>
  </si>
  <si>
    <t>8.2 General Code Download Requirements</t>
  </si>
  <si>
    <t>8.3 Code Update Variable State Retention</t>
  </si>
  <si>
    <t>8.4.1.1 Forced Download</t>
  </si>
  <si>
    <t>8.4.1 Opportunity Download</t>
  </si>
  <si>
    <t>11.1.1 MediaCipher General Requirements</t>
  </si>
  <si>
    <t>16.1 General</t>
  </si>
  <si>
    <t>18.1 Serial Interface</t>
  </si>
  <si>
    <t>18.2 Serial Port</t>
  </si>
  <si>
    <t>18.3 Diagnostic Screens</t>
  </si>
  <si>
    <t>13.1 NTSC CGMS-A Copy Protection</t>
  </si>
  <si>
    <t>6 Operating System</t>
  </si>
  <si>
    <t>7.2.1 General API Support</t>
  </si>
  <si>
    <t>11.3 Internet Security</t>
  </si>
  <si>
    <t>9.5 Synchronized Startup</t>
  </si>
  <si>
    <t>17.1 General</t>
  </si>
  <si>
    <t>17.2 Operating Mode</t>
  </si>
  <si>
    <t>17.3 PHY</t>
  </si>
  <si>
    <t>17.4 MAC</t>
  </si>
  <si>
    <t>17.5 Security</t>
  </si>
  <si>
    <t>17.9 Wireless Network Setup</t>
  </si>
  <si>
    <t>17.11 Wi-Fi Certification Capability</t>
  </si>
  <si>
    <t>12 DRM</t>
  </si>
  <si>
    <t>12.1 Verimatrix DRM</t>
  </si>
  <si>
    <t>11.2.1 Hardware</t>
  </si>
  <si>
    <t>11.2.2 Platform Code Authentication</t>
  </si>
  <si>
    <t>11.2.3 Application Code Authentication</t>
  </si>
  <si>
    <t>The product SHALL support executing on DSR800 hardware platform.</t>
  </si>
  <si>
    <t>TR-DSRSW-2149  The product SHALL run on the DSR800 hardware platform</t>
  </si>
  <si>
    <t>TR-DSRSW-1335  The product SHALL retain the platform object stored in FLASH memory through an A/C power cycle or dropout or through a reset.
TR-DSRSW-1336  The product SHALL delete the old platform object from FLASH memory only after a new platform object has been authenticated and stored to FLASH memory.
TR-DSRSW-1337  When storing its platform object in FLASH memory, the product SHALL delete the old platform object from FLASH memory once the new platform object has been authenticated and stored to FLASH memory.</t>
  </si>
  <si>
    <t>The product SHALL provide that at least 50% of DRAM is available for exclusive application use.</t>
  </si>
  <si>
    <t>TR-DSRSW-1450  The product SHALL make at least 50% of DRAM to applications for the Adara1.0 feature set.</t>
  </si>
  <si>
    <t>TR-DSRSW-2124 Electronic Personal Messages (EPMS) a.k.a., "Mail"
TR-DSRSW-2125  The Product SHALL process Unit addressed EPMs (Electronic Personal Messages). 
TR-DSRSW-2126  The Product SHALL display "immediate display"EPMs until either the OSD timeout is exceeded, or an item with higher OSD precedence is displayed.
TR-DSRSW-2127  The Product SHALL display "non-immediate display" EPMs when the user selects the message within the mail application. 
TR-DSRSW-2128  The Product SHALL display "store till read" EPMs when the user selects the message within the mail application. 
TR-DSRSW-2129  The Product SHALL retain EPMs through an AC Power Reset. 
TR-DSRSW-2130  The Product SHALL process EPMs while in stand-by.
TR-DSRSW-2131  The Product SHALL discard EPMs during a Factory Reset.
TR-DSRSW-2132  The Poduct SHALL, after the IRD displays an EPM, represent that EPM as a "read" message (that is, "not new"), including after a power cycle. 
TR-DSRSW-2242  NOTE:  The requirements in this section are for Test only.  The Shaw app implements EPM handling.</t>
  </si>
  <si>
    <t>TR-DSRSW-2134  The product SHALL support Non-Slotted Messages (a.k.a., "TAMs). 
TR-DSRSW-2135  The product SHALL display the received Non-Slotted message text when the product's current state(s) match the Decoder Condition contained in the message preamble. 
TR-DSRSW-2136  The product SHALL support preamble "tier_match" state evaluation in the Non-Slotted message.  Note, the preamble may include zero, one, or more tier_match states.
TR-DSRSW-2137  The product SHALL support preamble "region" state evaluation in the Non-Slotted message.  Note, the preamble may include zero, one, or more tier_match states.  
TR-DSRSW-2138  The product SHALL support preamble "circle_test" (a.k.a. "Postal") state evaluation in the Non-Slotted message.  Note, the preamble may include zero, one, or more circle_match states.
TR-DSRSW-2139  The product SHALL consider the preamble "circular_blacked_out" state evaluation in the Non-Slotted message.  Note, the preamble may include zero or one circular_blacked_out state. 
TR-DSRSW-2140  The product SHALL support preamble "bought" state evaluation in the Non-Slotted message.  Note, the non-slotted text messages always include the bought state for evaluation.
TR-DSRSW-2141  The product SHALL support preamble condition evaluation for up to 10 states in the Non-Slotted message.
TR-DSRSW-2142  The product SHALL discontinue displaying a non-slotted text message if the display duration given in the non-slotted text message is exceeded.
TR-DSRSW-2143  The product SHALL discontinue displaying a non-slotted text message if the product's current state no longer matches the Decoder Condition.
TR-DSRSW-2144  The product SHALL discontinue displaying a non-slotted text message at the request of application software.
TR-DSRSW-2145  The product SHALL delete any current non-slotted text messages upon discontinuation of the service (for example, channel change).
TR-DSRSW-2146  The product SHALL delete all non-slotted text messages upon power interruption.</t>
  </si>
  <si>
    <t>TR-DSRSW-1436 Boot 
TR-DSRSW-1437 Boot Code 
TR-DSRSW-1438  The product SHALL provide boot code capable of authenticating a platform software image.
TR-DSRSW-1439  The product SHALL authenticate a Platform Object prior to enabling it at the completion of a download.
TR-DSRSW-1440  Note:  The use of the term "authenticate" is intended to refer to any method of verification of the correct object.
TR-DSRSW-1441 Boot from FLASH 
TR-DSRSW-1444 Remote Control Reset Sequence The product SHALL initiate a reboot cycle when the remote control reset sequence is entered.
TR-DSRSW-1446 Maximum Boot Time The product SHALL be capable of completing execution of the boot code and begin execution of platform software available on the product within 15 seconds of application of power.</t>
  </si>
  <si>
    <t>TR-DSRSW-1447  The product SHALL complete execution of the boot code and authentication of the platform image within 15 seconds after an AC power cycle. [The requirement ends with beginning of platform software execution and only applies to a boot from FLASH, not a boot from the HDD or the network.]</t>
  </si>
  <si>
    <t xml:space="preserve">The product SHALL support synchronized startup, where the platform notifies the application when the platform layer is ready to use. If the DSR8xx platform startup time is higher than the current 6xx platform startup time then this discrepancy should be justified by Arris. </t>
  </si>
  <si>
    <t>TR-DSRSW-1445  The product SHALL invoke a system reset if the remote control button sequence, "HELP, OPTIONS, POWER," is received with less than 1 second between each button press, provided that the firmware is functioning properly (that is, not unresponsive or otherwise disabled).</t>
  </si>
  <si>
    <t>TR-DSRSW-2379 Remote Control Interface 
TR-DSRSW-2380  The product SHALL provide an API to set the Remote Control Unit (RCU) IR interface address to a value from 0 to 7.
TR-DSRSW-2397  The product SHALL provide an API to allow the appliaction to receive RCU IR commands for the selected RCU IR interface address.</t>
  </si>
  <si>
    <t>TR-DSRSW-2381  The product SHALL, if the platform suppports a Remote Control Unit (RCU) UHF interface, provide an API to set the RCU UHF interface Address to a value from 0 to 7.
TR-DSRSW-2384  The product SHALLL, if the platform supports a Remote Control Unit (RCU) UHF interface, provide an API to enable/disable the UHF Remote Control interface.
TR-DSRSW-2398  The product SHALL provide an API to allow the appliaction to receive RCU UHF commands for the selected RCU UHF interface address.</t>
  </si>
  <si>
    <t>FR-DSRSW-1531</t>
  </si>
  <si>
    <t>TR-DSRSW-1453  The product SHALL disable the JTAG port for customer products that are to be deployed.
TR-DSRSW-1454  The product SHALL disable the BBS port for customer products that are to be deployed.
TR-DSRSW-1455  The product SHALL prevent the disclosure of critical security parameters over the serial debug port.
TR-DSRSW-1457  The product SHALL use the RSA public key along with the chip vendor's ROM code to validate the boot code.
TR-DSRSW-1458  The product SHALL authenticate Boot Code each time that the product boots up.</t>
  </si>
  <si>
    <t>FR-DSRSW-1532</t>
  </si>
  <si>
    <t xml:space="preserve">TR-DSRSW-1467  The product SHALL for all IP communications, keep sockets closed when not in use.  ONLY sockets supporting features that require listening for connections (providing remote services or waiting for a response from another network node) should be open.  Furthermore, open sockets shall be hardened against buffer overrun and incorrect packet formats - the software listening, to the extent possible, will verify the incoming content as valid before allowing other code to operate on or with the data.  
TR-DSRSW-1468  NOTE: Refer to 365-095-3914 ("STB / NIM IP Security Requirements") for background on IP network security requirements. 
TR-DSRSW-1469 ARP Spoofing and Overflow Mitigation 
TR-DSRSW-1470  The Product SHALL delete an ARP entry associated with the Home Network IF this entry was not successfully refreshed within an ARP entry timeout period of 10 minutes.
TR-DSRSW-1471  The Product SHALL discard an ARP Reply received from the Home Network IF this reply is not associated with Product's ARP Request.
TR-DSRSW-1472  The product SHALL use a FIFO for the ARP Cache which provides overflow prevention and allowing the creation of ARP Entries as soon as an attack ceases.
TR-DSRSW-1473 IP Spoofing and Overflow Mitigation 
TR-DSRSW-1474  The Product SHALL discard each IP packet received from the Home Network IF the packet's destination IP address is identical to the source IP address (aka "Land Attack").
TR-DSRSW-1475  The Product SHALL discard each IP packet received from the Home Network IF this packet includes the source-routing option.
TR-DSRSW-1476  The Product SHALL discard each IP fragment of a particular IP packet received from the Home Network IF all fragments are not received within 64 seconds after the first fragment was received.
TR-DSRSW-1477  The Product SHALL discard each IP fragment buffered for reassembly of a particular IP packet received from the Home Network IF the number of fragments to be reassembled exceeds 5.
TR-DSRSW-1478  The Product SHALL discard each IP fragment buffered for reassembly of a particular IP packet received from the Home Network IF the size of the reassembled IP packet will exceed 8200 bytes.
TR-DSRSW-1479 SYN Flooding Mitigation 
TR-DSRSW-1480  The Product SHALL send a RESET TCP packet (packet with RST flag set) to the associated host in the Home Network WHEN any SYN packet is dropped from the buffer handling half-open connections due to the queue being full.
TR-DSRSW-1481  The Product SHALL discard a TCP packet received from the Home Network IF this packet has the FIN flag set without also having the ACK flag set.
TR-DSRSW-1482  The Product SHALL discard a TCP packet received from the Home Network IF this packet has no flags set (a.k.a. "Null" TCP packet).
TR-DSRSW-1483  The Product SHALL generate a sufficiently random ISN value for a TCP connection in compliance with [IETF RFC 1948 - 1].
TR-DSRSW-1484  The Product SHALL be resilient to a half-open connections buffer overflow attack (a.k.a. SYN-flood) initiated within the Home Network.
TR-DSRSW-1485  Note: FIFO implementation for the half-open connections buffer provides overflow prevention and the efficient recovery following the attack, still allowing legitimate connections to be served (depending on the rate of the SYN-flood)
TR-DSRSW-1486 SNMP Disable 
TR-DSRSW-1487  The Product SHALL ignore each SNMP message received from the Home Network interfaces.
TR-DSRSW-1488  Comment: Owing to the nature of communications technology, it is not possible to create a platform that is impenetrable to attack.  There are many methods available to increase the resiliency and robustness of networked devices, however.  It is important here to define exactly what is meant by "resiliency to attack", as this can be interpreted in a number of ways.  
In this context it is expected that while under attack the system may become sluggish or that some functions may even become unresponsive (i.e. under a Denial of Service "TCP SYN-flood" attack it is expected that the establishment of network communications may not be possible until the attack is blocked or ceases).  These conbuffer ditions may also lead to a system reset, as the CPU load is monitored to ensure that no "dead" function or application can grind the system to a halt (the "watchdog" function will force a reset if it determines the CPU is unduly loaded in order to reset any offending functions and return to normal operating capacity as quickly as possible).  It is therefore acceptable for the settop to reset in response to "flooding attacks" as a result of the operation of the watchdog function.
It is unacceptable, however, for any software exception resulting from an attack to result in a system reset, hang or crash, or the corruption of any sensitive information resident in memory (code objects, configuration information, stored content, etc.).  As an example, a buffer overflow exception must be properly handled without resulting in a reset or any corruption of stored data.  A further example of unacceptable behavior would be a malformed packet that results in some software module becoming trapped in a loop, causing the CPU to become unduly loaded and triggering the watchdog function to reset the settop.
TR-DSRSW-1489  The product SHALL process each buffer overflow exception without resulting in a system reset or memory corruption.
TR-DSRSW-1490  Comment: features that utilize network communications may open vulnerabilities previously not present on the CPE.  In order to prevent such vulnerabilities from being introduced and possibly exploited, some generally accepted security practices in the information processing and data communications industry should be required of all software executing on the CPE.  The requirements included in this section apply generally to software that may be loaded on the STB platform (including Arris platform code and 3rd party vendor developed application code).
TR-DSRSW-1491  Comment: features that utilize network communications may open vulnerabilities previously not present on the CPE.  In order to prevent such vulnerabilities from being introduced and possibly exploited, some generally accepted security practices in the information processing and data communications industry should be required of all software executing on the CPE.  The requirements included in this section apply generally to software that may be loaded on the STB platform (including Arris platform code and 3rd party vendor developed application code).
TR-DSRSW-1492  The product SHALL prohibit downloading code objects from unauthenticated sources. (in order to secure the product against "Trojan Horse" attacks).
TR-DSRSW-1493  The product SHALL disable the 'rlogin' protocol.
TR-DSRSW-1494  The product SHALL disable the 'rcp' protocol.
TR-DSRSW-1495  The product SHALL disable the 'rsh' protocol.
TR-DSRSW-1496  The product SHALL disable the anonymous FTP protocol.
TR-DSRSW-1497  The product SHALL disable the Network File System (NFS) protocol.
TR-DSRSW-1498  The product SHALL disable generation and processing of traceroute packets.
TR-DSRSW-1499  The product SHALL disable generating a ping request.
TR-DSRSW-1501  The product SHALL dynamically and immediately close the DNS port when not in use by the product.
TR-DSRSW-1502  The product SHALL dynamically and immediately close the DHCP port when not in use by the product.
TR-DSRSW-1503  The product SHALL ensure reading data from an IP communication port will not overrun a buffer.   (i.e. attempting to place N bytes into a buffer when the remaining buffer size is less that N bytes).
TR-DSRSW-2212 Internet Security 
TR-DSRSW-2373 Close Sockets </t>
  </si>
  <si>
    <t>TR-DSRSW-1504 Fingerprints 
TR-DSRSW-1505  The product SHALL support fingerprints.
TR-DSRSW-1506  The FINGERPRINT message signals DigiCipher® II Decoders to output a "fingerprint" on the onscreen display, for the purposes of identification of Decoders being used illegally (such as consumer Decoders being used in a commercial establishment).  The message identifies one of several possible display formats for the 40-bit unit address, including one that is intended to go unnoticed to the casual viewer.
Decoders display FINGERPRINT messages only while displaying active video on a video service.
TR-DSRSW-1507  The product SHALL support fingerprint messages on the PMT PID. (i.e., fingerprints are service based).
TR-DSRSW-1508  The product SHALL display fingerprints on the HDMI output.
TR-DSRSW-1510  The product SHALL display fingerprints on the composite video output.
TR-DSRSW-1512  The product SHALL display the fingerprint at the activation time specified in the last received valid fingerprint message.
TR-DSRSW-1513  The product SHALL, if the duration is specified, display the fingerprint for the duration specified in the last received valid fingerprint message.
TR-DSRSW-1514  The product SHALL, if the duration is not specified, display the fingerprint for one second (+/- 0.5 seconds).
TR-DSRSW-1515  The product SHALL, if DVR is supported, display the fingerprint at the GPS time and duration specified in the fingerprint message, regardless of the DVR playback location.
TR-DSRSW-1516  The product SHALL support fingerprint messages only for the foreground service. That is, fingerprint messages on background services, if supported and active, can be discarded.
TR-DSRSW-1517  The product SHALL display the 40 bit unit address in hexadecimal characters when the fingerprint message specifies "clear" as the fingerprint format.</t>
  </si>
  <si>
    <t>FR-DSRSW-1527</t>
  </si>
  <si>
    <t>12.0-1</t>
  </si>
  <si>
    <t>The product SHALL support the Verimatrix DRM "standard security" system for HLS streaming.</t>
  </si>
  <si>
    <t>TR-DSRSW-2418 DRM 
TR-DSRSW-2419 Verimatrix DRM 
TR-DSRSW-2420  The product SHALL support decryption of HLS streaming content that is protected under Verimatrix DRM.
TR-DSRSW-2421  The product shall decode Verimatrix streams encrypted with AES using hardware accelerated decryption.
TR-DSRSW-2422  The product shall notify an application when an error condition is raised or cleared by the Verimatrix CA system.
TR-DSRSW-2424  The product's HLS player shall be interoperable with the Verimatrix standard security library for decryption key retrieval.</t>
  </si>
  <si>
    <t>TR-DSRSW-2113  The product SHALL support pass-through of CGMS-A data encoded as per [CEA-608D - 1] and transported as per [SCTE-20] and/or [SCTE-21] of a digital MP@HL MPEG-2 video service to the NTSC analog video outputs of the product.
TR-DSRSW-2114  The product SHALL support pass-through of CGMS-A data encoded as per [CEA 608D - 1] and transported as per [SCTE DVS 683 - 1] of a digital MPEG-4 AVC video service to the NTSC analog video outputs of the product.
TR-DSRSW-2199 NTSC CGMS-A Copy Protection 
TR-DSRSW-2214  The DSR800 product SHALL prevent external Hard Drive functionality.</t>
  </si>
  <si>
    <t>TR-DSRSW-2178  The product SHALL support executing with up to 1 TB  of capacity for a single internal hard disk drive.
TR-DSRSW-2179  The product shall provide DVR services (record, play, trickplay) through the platform code  APIs on up to a 1 TB HDD.
TR-DSRSW-2180  The product shall provide file system services through the platform code APIs on the resident HDD.</t>
  </si>
  <si>
    <t>TR-DSRSW-1567  The product SHALL detect if a hard disk drive is present upon AC Power. 
TR-DSRSW-1568  The product SHALL provide capability to operate with a hard disk drive capability if drive is detected upon AC Power.
TR-DSRSW-1569  The product SHALL provide capability to operate without a hard disk drive capability if a drive is not detected upon AC Power</t>
  </si>
  <si>
    <t>The DSR830 product SHALL support external DVR functionality.</t>
  </si>
  <si>
    <t>TR-DSRSW-1591  The product SHALL be capable of real-time (1x) playback of one (1) AV transport stream of supported content from and supported hard disk drive (HDD) to local outputs.
TR-DSRSW-1592  The product SHALL select the first audio PID in the PMT that matches the user selected language during content playback.
TR-DSRSW-1593  The product SHALL select the first audio PID in the PMT if no audio PID's match the user selected language during content playback.</t>
  </si>
  <si>
    <t xml:space="preserve">TR-DSRSW-1599 DVR Recording 
TR-DSRSW-1601  The product SHALL be capable of concurrently recording up to two (2) AV streams with any combination of MPEG-2, MPEG-4 AVC, or HEVC, encoded content from its tuners to a supported hard disk drive (HDD). 
TR-DSRSW-1602  The product SHALL be capable of recording all audio, video, and data components (identified via PIDs associated with the PMT) of a target MPEG-2 program being recorded as directed by platform software.  
TR-DSRSW-1603  The product SHALL be capable of recording all audio, video, and data components (identified via PIDs associated with the PMT) of a target MPEG-4 program being recorded as directed by platform software.  
TR-DSRSW-1604  The product SHALL be capable of recording variable bit rate encoded and constant bit rate encoded digital AV streams. 
TR-DSRSW-2181  The product SHALL be capable of recording all audio, video, and data components (identified via PIDs associated with the PMT) of a target HEVC program being recorded as directed by platform software.  </t>
  </si>
  <si>
    <t>TR-DSRSW-1606  The product SHALL support trick-play of the stream being played back.
TR-DSRSW-1607  The product SHALL be capable of independent trick play capability on each stream being played back from a hard disk drive (HDD).  This requirement applies for any combination of supported coding formats (MPEG-2, MPEG-4, or HEVC).
TR-DSRSW-1608  The product SHALL support a "Fast Forward" capability on a stream being played back from a hard disk drive (HDD) with multiple speed options.  This requirement applies for all  supported coding formats.
TR-DSRSW-1609  The product SHALL support a "Pause" capability on a stream being played back from a
TR-DSRSW-1610  The product SHALL support a "Rewind" capability on a stream being played back from the a hard disk drive (HDD) with multiple speed options. This requirement applies for all  supported coding formats.
TR-DSRSW-1611  The product SHALL support a "Slow Motion Forward" capability on a stream being played back from a disk drive (HDD) with multiple speed options. This requirement applies for all  supported coding formats.
TR-DSRSW-1612  The product SHALL support a "Slow Motion Rewind" capability on a stream being played back from the a disk drive (HDD) with multiple speed options. This requirement applies for all  supported coding formats. This requirement applies for all  supported coding formats.
TR-DSRSW-1613  The product SHALL support a "Skip Forward" capability, in units of seconds, to any place on a stream being played back from a hard disk drive (HDD).  This requirement applies for all  supported coding formats.[keyword: jump ]
TR-DSRSW-1614  The product SHALL support a "Skip Backward" capability, in units of seconds, to any place on a stream being played back from a hard disk drive (HDD).  This requirement applies for all  supported coding formats.[keyword: jump ]
TR-DSRSW-1615  The product SHALL mute audio corresponding to video in DVR trick play.
TR-DSRSW-1616  The product SHALL disable closed caption rendering associated with a service for which DVR trick play is in progress.
TR-DSRSW-1617  The product SHALL disable closed caption reconstruction associated with a service for which DVR trick play is in progress.
TR-DSRSW-1618  The product SHALL support independent trick-play control of every MPEG-4 stream being played back.
TR-DSRSW-1619  The product SHALL support trick-play with each Transport Stream containing MPEG-4 video that is being played back from hard-disk.
TR-DSRSW-1620  The product SHALL enable "Pause"  functionality during playback of an Transport Stream with MPEG-4 video from hard-disk.
TR-DSRSW-1621  The product SHALL enable "Fast Forward" of a Transport Stream with MPEG-4 video being played back from the local hard disk drive at multiple speeds.
TR-DSRSW-1622  The product SHALL enable "Rewind" of a Transport Stream with MPEG-4 video being played back from the local hard disk drive at multiple speeds.
TR-DSRSW-1623  The product SHALL enable "Slow Motion Fast Forward" of a Transport Stream with MPEG-4 video being played back from the local hard disk drive at multiple speeds.
TR-DSRSW-1624  The product SHALL enable "Slow Motion Rewind" of a Transport Stream with MPEG-4 video being played back from the local hard disk drive at multiple speeds.
TR-DSRSW-1625  The product SHALL allow the application to specify the speed and direction of trick-play for DVR content.
TR-DSRSW-1626  The product SHALL support trick-play of content encoded at Main Profile or High Profile, upto Level 4.1 of content. Note: The formats and resolution for supported formats is described in decoding requirements.</t>
  </si>
  <si>
    <t>FR-DSRSW-1534</t>
  </si>
  <si>
    <t>The product SHALL support support a DVR recoring file format that is forward compatible with DVR append and split capability.</t>
  </si>
  <si>
    <t>TR-DSRSW-2465  The product SHALL implement a DVR recording file structure/manifest that is compatible with code releases that implement DVR file append and spit capability. (Note: The intent here is to avoid incompatible DVR file formats)</t>
  </si>
  <si>
    <t>New</t>
  </si>
  <si>
    <t>TR-DSRSW-1628 Synchronization of System Time with NTP Time 
TR-DSRSW-1629  The product SHALL provide an API that allows the application to request that the product synchronize system time to an application-specified NTP time server.
TR-DSRSW-1630  The product SHALL, when requested by NTP time synchronization request, read the NTP time from the specified NTP time server.
TR-DSRSW-1631  The product SHALL synchronize system time to NTP time when a valid response is received from the specified NTP time server, in response to an NTP time request.</t>
  </si>
  <si>
    <t xml:space="preserve">TR-DSRSW-1633  The product SHALL support an IP VOD HLS streaming application.
TR-DSRSW-1634  The product SHALL support variable length chunks in duration.
TR-DSRSW-1635  Note: The typical length of chunks is expected to be of the order of a second or a few seconds
TR-DSRSW-1636  The product SHALL be resilient and support input media streams that are highly jittered or are missing PCRs, have sloppy adherence to MPEG buffer models, have stream discontinuities without the MPEG-defined discontinuity indicators.
TR-DSRSW-1637  The product SHALL support streams with media files that may be encrypted.
TR-DSRSW-1638  Notes:
1. Media files could have the encryption method as NONE (unencrypted media files) or AES-128. Media files with Encryption method NONE denote unencrypted content, in which case, there is no notion of URI and Initialization vector attributes related to the key.
2. In case of media files with Encryption method of AES-128 encryption, the product needs to look at the URI attribute, which specifies how to obtain the key. If the Initialization vector is specified, the product needs to use the Initialization vector along with the key. The Initialization vector must be interpreted as a 128 bit hex number in such cases
3. If there is no initialization vector specified, the product needs to use the sequence number of the media file as the Initialization vector along with the key. This is as per the HLS spec and may not apply in case Secure Media is used with HLS.
4. In case of a stream that fully complies with HLS, the key occurs in EXT-X-KEY tag.
TR-DSRSW-1643  The product SHALL support streaming HLS video content at up to 8 Mbits/sec.
TR-DSRSW-1644  The product SHALL support streaming HLS audio content at up to 200 kbits/sec.
TR-DSRSW-1645 Buffer Related Requirements 
TR-DSRSW-1646  The product SHALL have two VOD input buffers dedicated for VOD service, with each buffer capable of supporting from 2 to 10 seconds of audio/video content for all supported service rates.
TR-DSRSW-1647  The product SHALL dedicate up to 24 MB of memory total for the IP VOD buffers.
TR-DSRSW-1648  (Note: Shaw wants up to 20 seconds of cache in addition to the live  2 second buffer. That's 22 seconds total, plus 2 MB for decryption RAM.
  8 Mbit/sec / 8bits  =  1 MByte per second of VOD.
  22 seconds of VOD requires 22 MB of RAM.
  Add the 2 MB decryption buffer for a total 24 MBytes of RAM.)
TR-DSRSW-1653  The product SHALL transition between various resolutions without visible artifacts. (NOTE: Shaw implements this requirement.  This requirement is for test plan linkage)
TR-DSRSW-1654  The product SHALL scale the received stream to the maximum resolution of the device when rendering content in full screen mode. (NOTE: Shaw implements this requirement.  This requirement is for test plan linkage)
TR-DSRSW-1655  The product SHALL transition between various bitrates without visible artifacts.(NOTE: Shaw implements this requirement.  This requirement is for test plan linkage)
TR-DSRSW-1656 Performance Attributes 
TR-DSRSW-1657  The product SHALL operate for 4 hours while continually playing back highest supported resolution video and audio content without any visual or audio artifacts, hangs, exceptions, or resets.
TR-DSRSW-1658  The product SHALL support applicable satellite background recording requirements during a VOD session. (For example, if the product supports two HD or SD background satellite recordings from signal tuners, the product shall still be able to record two SD or HD services in the background while a VOD service plays in the foreground).
TR-DSRSW-1659  The product SHALL apply the decoded output of internet video on all applicable ports (viz HDMI, Composite, Optical audio, Analog Audio, etc.) consistent with current configuration when the rendering of internet media content is in progress
TR-DSRSW-1660  The product SHALL render the internet video content in accordance with any scaling requested by the Application, provided the requested scaling is feasible under hardware support.
TR-DSRSW-1661  The product SHALL enable CGMS-Analog (Type A) for video copy protection during http based rendering of internet video content. (NOTE: The only analog video output for this product is 480i60 composite video, hence, only CGMS-A Type A is required.  Type B is used for 480p60 and higher analog resolutions)
TR-DSRSW-1662 Closed Captions The following requirements are associated with the behavior of this feature (http based delivery of internet media content) with relationship to closed captions.
TR-DSRSW-1663  The product SHALL support decoding and rendering closed captions during http based rendering of internet video content, as defined by the closed caption requirements in this PFS.
TR-DSRSW-2183 Variant Playlists (Context: Variant Playlists - A server may offer multiple Playlist files to provide different encodings of the same presentation.  In such a case, a variant Playlist file that lists each variant stream to allow the client (product) to switch between encodings dynamically, is offered.)
TR-DSRSW-2184 General </t>
  </si>
  <si>
    <t xml:space="preserve">TR-DSRSW-1665  The product SHALL provide restricted access control to the serial interface.
TR-DSRSW-1666  The product SHALL prevent debugging access to the serial port except via a ARRIS access token with non-default, serial access debugging privileges after factory provisioning is complete.
TR-DSRSW-1667  (Note: This is not intended to prevent all debugging access, only a subset of security risk items)
TR-DSRSW-2187 Serial Interface </t>
  </si>
  <si>
    <t>The product SHALL initiate a reboot cycle when the power button is held down continuously for (4) seconds. . If the product model does not contain a front panel power button, the product SHALL initiate a reboot cycle by using a 3-key sequence (e.g. "Help, Options then Power") within one second.</t>
  </si>
  <si>
    <t>TR-DSRSW-1691 LNB CSS (Channel Stacking Switch) The product SHALL support a Channel Stacking Switch (CSS) installation.
TR-DSRSW-1692 CSS General 
TR-DSRSW-1693  The product SHALL comply with the CSS command definitions in CENELEC [EN50494 - 1]. Note, this requirement does not imply compliance with the examples or command sequences described in the above standards.
TR-DSRSW-1694  The product SHALL, IF the Factory Reset user interface indicates that CSS settings are not retained, set the satellite installation mode to legacy mode AFTER a factory reset.
TR-DSRSW-1695  The product SHALL, IF the Factory Reset user interface indicates that CSS settings are retained, restore the UB slot number setting(s) upon power-up.
TR-DSRSW-1696  The product SHALL, IF the Factory Reset user interface indicates that CSS settings are retained, restore the UB frequency (automatic or manual) setting(s) upon power-up.
TR-DSRSW-1697 Power ON - Satellite Installation Mode 
TR-DSRSW-1698  The product SHALL, AFTER an AC power-on, set the satellite installation mode (CSS or Legacy) to the last satellite installation mode set by the application. (Note: satellite installation mode is typically stored in flash memory).
TR-DSRSW-1699 CSS Reclaim UB Slot 
TR-DSRSW-1700  The product SHALL, AFTER an AC power-on, WHEN CSS mode is enabled, AND CSS manual installation is not enabled, use the stored UB (user band) slot parameters for a satellite tuner IF that UB slot has not been claimed by another receiver.
TR-DSRSW-1701  The product SHALL, AFTER an AC power-on, WHEN CSS mode is enabled, AND CSS manual installation is not enabled, enter CSS auto installation for a satellite tuner IF that UB slot has been claimed by another receiver.
TR-DSRSW-1702  The product SHALL, AFTER an AC power-on, WHEN CSS mode is enabled, AND CSS manual installation is enabled, use the stored UB (user band) slot parameters.
TR-DSRSW-1703  The product SHALL, AFTER an AC power-on, WHEN CSS mode is enabled, AND CSS manual installation is enabled, notify the application that the manual CSS acquisition has failed IF that UB is claimed by another receiver.
TR-DSRSW-1704  The product SHALL avoid CSS signal collisions during an AC power on sequence. (Note: this can be tested by simultaneously powering up all the set-tops that are on the same satellite feed.)
TR-DSRSW-1705 CSS Reclaim UB Slot - Front Panel Reset 
TR-DSRSW-1706  The product SHALL, AFTER a Front panel reset, WHEN CSS mode is enabled, AND CSS manual installation is not enabled, use the stored UB (user band) slot parameters for a satellite tuner IF that UB slot has not been claimed by another receiver.
TR-DSRSW-1707  The product SHALL, AFTER a Front panel reset, WHEN CSS mode is enabled, AND CSS manual installation is not enabled, enter CSS auto installation for a satellite tuner IF that UB slot has been claimed by another receiver.
TR-DSRSW-1708  The product SHALL, AFTER a Front panel reset, WHEN CSS mode is enabled, AND CSS manual installation is enabled, use the stored UB (user band) slot parameters.
TR-DSRSW-1709  The product SHALL, AFTER a Front panel reset, WHEN CSS mode is enabled, AND CSS manual installation is enabled, notify the application that the manual CSS acquisition has failed IF the UB slot is in use by another receiver.
TR-DSRSW-1710 CSS Manual Installation 
TR-DSRSW-1711  The product SHALL, during CSS manual installation, use the UB slot parameters (UB number and frequency) entered by the user for the each selected satellite tuner (regardless of if the UB slot is in use by another receiver).
TR-DSRSW-1712 CSS Auto Installation 
TR-DSRSW-1713  The product SHALL allow the application to initiate CSS auto installation.
TR-DSRSW-1714  The product shall power off and make available the tuner's current UB slot, if any, prior to attempting to acquire a UB slot during CSS auto installation.
TR-DSRSW-1715  The product SHALL, during single cable CSS auto installation, make a first attempt to acquire the lowest available UB slot number.
TR-DSRSW-1716  The product SHALL, IF no UB slots are available after the first UB acquisition attempt, power OFF each accessible UB slot, then make a second attempt to claim to lowest available UB slot. (Note: In this context, "accessible UB slot" refers to all the possible UB slots that are available to the satellite tuner. This will vary depending on the configuration of the SCIF since not all UB slots are necessarily available on each SCIF output).
TR-DSRSW-1717  The product SHALL, IF CSS auto installation UB slot acquisition IS successful, save the allocated UB number to nonvolatile memory.
TR-DSRSW-1718  The product SHALL, IF CSS auto installation UB slot acquisition IS successful, save the allocated UB frequency to nonvolatile memory.
TR-DSRSW-1719  The product SHALL, IF CSS auto installation IS NOT successful, notify the application of the failure.
TR-DSRSW-1720  The product SHALL, at the conclusion of the auto installation process, power OFF all UB tones that were enabled during the auto installation process.
TR-DSRSW-1721 Channel Change 
TR-DSRSW-1722  The product SHALL, for a channel change while CSS is enabled, acquire the target channel at the assigned UB frequency, accounting for any rounding error in the CSS channel change command tuning word.
TR-DSRSW-1723  The product SHALL, after a channel change, notify the application IF the PAT TSID does not match the TSID given in the Network Information Tables (NITs). (Note: the application should attempt to retune if the TSID does not match, but eventually give up allowing NITs to update if necessary.)
TR-DSRSW-1724  The product SHALL, after detection of a DISEqC CSS message collision, wait for a random duration period before generating a new DISEqC CSS message to minimize subsequent traffic collisions. (note: [EN50494-1] section 8 demonstates one possible method.)
TR-DSRSW-1725 CSS Signal Loss 
TR-DSRSW-1726  The product SHALL, after UB carrier loss while CSS is active, reclaim the associated UB slot within 1 second.</t>
  </si>
  <si>
    <t>TR-DSRSW-1727 LNB Type API The product SHALL be capable of reporting the satellite LNB type to the client application.
TR-DSRSW-1728  The product SHALL provide an API to allow application software to determine the LNB type.  Supported LNB types are:
 1. Quad band 
 2. xKu band
 3. CSS with Quad band
 4. CSS with xKu band</t>
  </si>
  <si>
    <t>TR-DSRSW-1735  The product SHALL be capable of the following 8-PSK symbol and code rate combination: 20.50 Msps symbol rate, 2/3 code rate, 1.92 bps payload
TR-DSRSW-1736  The product SHALL be capable of the following 8-PSK symbol and code rate combination: 20.50 Msps symbol rate, 3/4 code rate, 2.05 bps payload
TR-DSRSW-1737  The product SHALL be capable of the following 8-PSK symbol and code rate combination: 20.50 Msps symbol rate, 3/4 code rate, 2.11 bps payload
TR-DSRSW-1738  The product SHALL be capable of the following 8-PSK symbol and code rate combination: 21.00 Msps symbol rate, 2/3 code rate, 1.92 bps payload
TR-DSRSW-1739  The product SHALL be capable of the following 8-PSK symbol and code rate combination: 21.00 Msps symbol rate, 3/4 code rate, 2.05 bps payload
TR-DSRSW-1740  The product SHALL be capable of the following 8-PSK symbol and code rate combination: 21.00 Msps symbol rate, 3/4 code rate, 2.11 bps payload
TR-DSRSW-1741  The product SHALL be capable of the following 8-PSK symbol and code rate combination: 21.50 Msps symbol rate, 2/3 code rate, 1.92 bps payload
TR-DSRSW-1742  The product SHALL be capable of the following 8-PSK symbol and code rate combination: 21.50 Msps symbol rate, 3/4 code rate, 2.05 bps payload
TR-DSRSW-1743  The product SHALL be capable of the following 8-PSK symbol and code rate combination: 21.50 Msps symbol rate, 3/4 code rate, 2.11 bps payload
TR-DSRSW-1744  The product SHALL be capable of the following 8-PSK symbol and code rate combination: 22.00 Msps symbol rate, 2/3 code rate, 1.92 bps payload
TR-DSRSW-1745  The product SHALL be capable of the following 8-PSK symbol and code rate combination: 22.00 Msps symbol rate, 3/4 code rate, 2.05 bps payload
TR-DSRSW-1746  The product SHALL be capable of the following 8-PSK symbol and code rate combination: 22.00 Msps symbol rate, 3/4 code rate, 2.11 bps payload
TR-DSRSW-2193 8-PSK Demodulation 
TR-DSRSW-2456  The product SHALL be capable of the following 8-PSK symbol and code rate combination: 22.00 Msps symbol rate, 5/6 code rate, 2.30 bps payload
TR-DSRSW-2457  The product SHALL be capable of the following 8-PSK symbol and code rate combination: 22.00 Msps symbol rate, 7/8 code rate, 2.40 bps payload</t>
  </si>
  <si>
    <t>TR-DSRSW-1802 Channel Map Storage 
TR-DSRSW-1803  The product SHALL be capable of storing up to two nonvolatile channel maps (including associated network information), loaded at the factory, to local Flash memory.
TR-DSRSW-1804  The product SHALL be capable of storing up to two nonvolatile channel maps (including associated network information), loaded via code download, to local Flash memory.
TR-DSRSW-1805  The product SHALL discard previous nonvolatile channel maps when new nonvolatile channel maps are received via code download.</t>
  </si>
  <si>
    <t>TR-DSRSW-1806 Channel Map Activation 
TR-DSRSW-1807  The product SHALL provide an API to allow application software to activate a nonvolatile channel map and associated network information, based on VCT_ID.
TR-DSRSW-1808  The product SHALL, if a channel map on the satellite network stream is the same VCT ID as an instantiated nonvolatile map, deactivate the nonvolatile channel map.
TR-DSRSW-1809  The product SHALL, if a channel map on the satellite network stream is the same VCT ID as an instantiated nonvolatile map, activate channel map received on the network stream.
TR-DSRSW-1810  The product SHALL, while using the nonvolatile channel map VCT_ID,  return to using the UIM VCT_ID when a valid UIM containing the single_map_VCT_ID is received.</t>
  </si>
  <si>
    <t>TR-DSRSW-1812 Services on the Same Transponder 
TR-DSRSW-1813  The product SHALL tune to a different digital service within the same multi-program transport stream (MPTS) with a 95% percentile time of 1.5 seconds from when a tune request is delivered to the platform software until when the service is available for viewing.
TR-DSRSW-1814  [Note this includes the time to demux the other digital service, to acquire SI data (from PMT), and to decode and present the audio and video.  It assumes a standard definition MPEG-2 service with a GOP size of 15, PAT/PMT insertion rate of 8/second, and a non-encrypted channel.  It also assumes that the services are not being trick-played (going live-off-disk), and that the same audio and video codecs exist in both services.]</t>
  </si>
  <si>
    <t>TR-DSRSW-1816  The product SHALL tune to a different digital service in a different multi-program transport stream (MPTS) with a 95% percentile time of 2.0 seconds from when a tune request is delivered to the platform software until when the service is available for viewing.
TR-DSRSW-1817  [Note this includes the tune to the frequency of the other MPTS, to demux and receive the other digital service, to acquire SI data (PAT and PMT), and to decode and present the audio and video.  It assumes a standard definition MPEG-2 service with a GOP size of 15, PAT/PMT insertion rate of 8/second, PCR interval is 50ms, and a non-encrypted channel.  It also assumes that the services are not being trick-played (going live-off-disk), and that the same audio and video codecs exist in both services.]</t>
  </si>
  <si>
    <t>TR-DSRSW-1828 MPEG-4 AVC Video Decode 
TR-DSRSW-1829  The product SHALL support MPEG-4 Part 10 AVC (H.264) Level 4.2 video decode. 
TR-DSRSW-2202  The product SHALL have a flexible video decoder that is capable of decoding compliant MPEG-4 AVC digital video streams encoded using High Profile and up to Level 4.2 (HP@L4.2) as per [ITU-T H.264] and [ISO 14496-10]. (Level 4.2 = 1080p60)</t>
  </si>
  <si>
    <t>TR-DSRSW-2203 HEVC Video Decode 
TR-DSRSW-2204  The product SHALL support HEVC video decode.
TR-DSRSW-2205  The product SHALL have a flexible video decoder that is capable of decoding compliant HEVC digital video streams encoded using Main Profile and up to Level 4.1 (MP@L4.1) as per [ITU-T H.265] and [ISO 23008-2]. (Level 4.1 = 1080p60)</t>
  </si>
  <si>
    <t>TR-DSRSW-1843 Picture Decode 
TR-DSRSW-1845  The product SHALL be capable of decoding and rendering JPEG (Joint Photographic Experts Group) image formats as in [JPEG - 1]. 
TR-DSRSW-1846  The product SHALL be capable of decoding and rendering 24-bit (8 red, 8 blue, 8 green) JPEG images.
TR-DSRSW-1847  The product SHALL be capable of positioning and scaling JPEG images on to the video graphics plane.
TR-DSRSW-1848  The product SHALL be capable of blending (transparency) of JPEG images on to the video graphics plane.</t>
  </si>
  <si>
    <t>TR-DSRSW-1953  The following requirements only apply when the product supports PVR capability.
TR-DSRSW-1954  The product SHALL reconstruct Line 21, Field 1 and Field 2, of the VBI during playback of Retained content if playback is at Normal Speed.
TR-DSRSW-1955  The product SHALL render closed captions during playback of Retained content if playback is at Normal Speed.
TR-DSRSW-1956  The product SHALL disable the reconstruction of Line 21, Field 1 and Field 2, of the VBI if the selection to Slow Forward Retained content is enabled.
TR-DSRSW-1957  The product SHALL disable the rendering of closed captions if the selection to Slow Forward Retained content is enabled.
TR-DSRSW-1958  The product SHALL disable the reconstruction of Line 21, Field 1 and Field 2, of the VBI if the selection to Fast Forward Retained content is enabled.
TR-DSRSW-1959  The product SHALL disable the rendering of closed captions if the selection to Fast Forward Retained content is enabled.
TR-DSRSW-1960  The product SHALL disable the reconstruction of Line 21, Field 1 and Field 2, of the VBI if the selection to Slow Rewind Retained content is enabled.
TR-DSRSW-1961  The product SHALL disable the rendering of closed captions if the selection to Slow Rewind Retained content is enabled.
TR-DSRSW-1962  The product SHALL disable the reconstruction of Line 21, Field 1 and Field 2, of the VBI if the selection to Fast Rewind Retained content is enabled.
TR-DSRSW-1963  The product SHALL disable the rendering of closed captions if the selection to Fast Rewind Retained content is enabled.
TR-DSRSW-1964  The product SHALL disable the reconstruction of Line 21, Field 1 and Field 2, of the VBI if the selection to Pause Retained content is enabled.
TR-DSRSW-1965  The product SHALL disable the rendering of closed captions if the selection to Pause Retained content is enabled.
TR-DSRSW-1966  The product SHALL begin reconstructing Line 21, Field 1 and Field 2, of the VBI within three (3) seconds of a transition from Slow Forward playback to Normal Speed playback of Retained content.
TR-DSRSW-1967  The product SHALL begin rendering closed caption data within three (3) seconds of a transition from Slow Forward playback to Normal Speed playback of Retained content.
TR-DSRSW-1968  The product SHALL begin reconstructing Line 21, Field 1 and Field 2, of the VBI within three (3) seconds of a transition from Fast Forward playback to Normal Speed playback of Retained content.
TR-DSRSW-1969  The product SHALL begin rendering closed caption data within three (3) seconds of a transition from Fast Forward playback to Normal Speed playback of Retained content.
TR-DSRSW-1970  The product SHALL begin reconstructing Line 21, Field 1 and Field 2, of the VBI within three (3) seconds of a transition from Slow Rewind playback to Normal Speed playback of Retained content.
TR-DSRSW-1971  The product SHALL begin rendering closed caption data within three (3) seconds of a transition from Slow Rewind playback to Normal Speed playback of Retained content.
TR-DSRSW-1972  The product SHALL begin reconstructing Line 21, Field 1 and Field 2, of the VBI within three (3) seconds of a transition from Fast Rewind playback to Normal Speed playback of Retained content.
TR-DSRSW-1973  The product SHALL begin rendering closed caption data within three (3) seconds of a transition from Fast Rewind playback to Normal Speed playback of Retained content.
TR-DSRSW-1974  The product SHALL begin reconstructing Line 21, Field 1 and Field 2, of the VBI within three (3) seconds of a transition from Paused playback to Normal Speed playback of Retained content.
TR-DSRSW-1975  The product SHALL begin rendering closed caption data within three (3) seconds of a transition from Paused playback to Normal Speed playback of Retained content.
TR-DSRSW-1976  The product SHALL reconstruct Line 21, Field 1 and Field 2, of the VBI during playback of Recorded content if playback is at Normal Speed.
TR-DSRSW-1977  The product SHALL render closed captions during playback of Recorded content if playback is at Normal Speed.
TR-DSRSW-1978  The product SHALL disable the reconstruction of Line 21, Field 1 and Field 2, of the VBI if the selection to Slow Forward Recorded content is enabled.
TR-DSRSW-1979  The product SHALL disable the rendering of closed captions if the selection to Slow Forward Recorded content is enabled.
TR-DSRSW-1980  The product SHALL disable the reconstruction of Line 21, Field 1 and Field 2, of the VBI if the selection to Fast Forward Recorded content is enabled.
TR-DSRSW-1981  The product SHALL disable the rendering of closed captions if the selection to Fast Forward Recorded content is enabled.
TR-DSRSW-1982  The product SHALL disable the reconstruction of Line 21, Field 1 and Field 2, of the VBI if the selection to Slow Rewind Recorded content is enabled.
TR-DSRSW-1983  The product SHALL disable the rendering of closed captions if the selection to Slow Rewind Recorded content is enabled.
TR-DSRSW-1984  The product SHALL disable the reconstruction of Line 21, Field 1 and Field 2, of the VBI if the selection to Fast Rewind Recorded content is enabled.
TR-DSRSW-1985  The product SHALL disable the rendering of closed captions if the selection to Fast Rewind Recorded content is enabled.
TR-DSRSW-1986  The product SHALL disable the reconstruction of Line 21, Field 1 and Field 2, of the VBI if the selection to Pause Recorded content is enabled.
TR-DSRSW-1987  The product SHALL disable the rendering of closed captions if the selection to Pause Recorded content is enabled.
TR-DSRSW-1988  The product SHALL begin reconstructing Line 21, Field 1 and Field 2, of the VBI within three (3) seconds of a transition from Slow Forward playback to Normal Speed playback of Recorded content.
TR-DSRSW-1989  The product SHALL begin rendering closed caption data within three (3) seconds of a transition from Slow Forward playback to Normal Speed playback of Recorded content.
TR-DSRSW-1990  The product SHALL begin reconstructing Line 21, Field 1 and Field 2, of the VBI within three (3) seconds of a transition from Fast Forward playback to Normal Speed playback of Recorded content.
TR-DSRSW-1991  The product SHALL begin rendering closed caption data within three (3) seconds of a transition from Fast Forward playback to Normal Speed playback of Recorded content.
TR-DSRSW-1992  The product SHALL begin reconstructing Line 21, Field 1 and Field 2, of the VBI within three (3) seconds of a transition from Slow Rewind playback to Normal Speed playback of Recorded content.
TR-DSRSW-1993  The product SHALL begin rendering closed caption data within three (3) seconds of a transition from Slow Rewind playback to Normal Speed playback of Recorded content.
TR-DSRSW-1994  The product SHALL begin reconstructing Line 21, Field 1 and Field 2, of the VBI within three (3) seconds of a transition from Fast Rewind playback to Normal Speed playback of Recorded content.
TR-DSRSW-1995  The product SHALL begin rendering closed caption data within three (3) seconds of a transition from Fast Rewind playback to Normal Speed playback of Recorded content.
TR-DSRSW-1996  The product SHALL begin reconstructing Line 21, Field 1 and Field 2, of the VBI within three (3) seconds of a transition from Paused playback to Normal Speed playback of Recorded content.
TR-DSRSW-1997  The product SHALL begin rendering closed caption data within three (3) seconds of a transition from Paused playback to Normal Speed playback of Recorded content.</t>
  </si>
  <si>
    <t>TR-DSRSW-1998 MPEG-4 and HEVC Closed Captions 
TR-DSRSW-1999  Following requirements describe the extraction of SCTE-21 closed captions from the transport. The actual rendering and pass-through requirements for 608/708 captions is defined in the closed caption module. 
TR-DSRSW-2000  The product SHALL access the  Supplemental Enhancement Information NAL units in each AVC access unit with payloadType=4, and extract the user_data_registered_itu_t_t35 payload as per syntax defined in [SCTE-128]. 
TR-DSRSW-2001  The product SHALL extract the [SCTE-21] compliant cc_data from the user_data_registered_itu_t_t35, if the user_identifier is indicated as ATSC (as per [SCTE-128]), and the  user_data_type_code is equal to 0x03.
TR-DSRSW-2002  The requirements for rendering of 608 and 708 captions, and the pass-through of the 608 captions to an NTSC output are defined in [EIA-608], [EIA-708] and [FCC-00259] (along with [47CFR15.119])
TR-DSRSW-2003  The product SHALL extract the [EIA-608] and [EIA-708] captions from the [SCTE-21] data as defined in closed caption requirements, and process the rendering of the captions in compliance with [FCC00259] and the User Settings Menu.
TR-DSRSW-2004  The product SHALL pass-through the [EIA-608] captions to an NTSC output, if exists, in compliance with [FCC00259].</t>
  </si>
  <si>
    <t>TR-DSRSW-2007 Picture in Graphics functionality. 
TR-DSRSW-2008  The product SHALL be capable of generating full-screen OSD graphics in combination with the active scaling of the video service from a decoder.
TR-DSRSW-2009  The product SHALL be capable of generating full-screen OSD graphics in combination with the active scaling of video from an application.
TR-DSRSW-2010  The product SHALL be capable of generating full-screen OSD graphics in combination with the active scaling of an MPEG still from RAM.</t>
  </si>
  <si>
    <t>TR-DSRSW-2011 Scaling for Picture in Graphics. 
TR-DSRSW-2012  The product SHALL support scaling the PIG graphics window in the horizontal and vertical dimensions in increments of (1/32) between zero (0) and one (1).
TR-DSRSW-2013  The product SHALL be capable of maintaining the native aspect ratio of the scaled video service being displayed.
TR-DSRSW-2014  The product SHALL be capable of altering the native aspect ratio of the scaled video service being displayed.
TR-DSRSW-2015  The product SHALL be capable of placing the scaled video service at any location on the visible display surface such that no portion of the scaled video service is located outside of the visible display region.
TR-DSRSW-2016  The product SHALL be capable of non-linear scaling to provide full screen display of 4:3 content on 16:9 TVs.
TR-DSRSW-2017  The product SHALL be capable of setting the scaling factor of the PIG video service under control of the platform software.
TR-DSRSW-2018  The product SHALL be capable of setting the location of the PIG video service under control of the platform software.</t>
  </si>
  <si>
    <t>TR-DSRSW-2053 Video Graphics 
TR-DSRSW-2055  The product SHALL be capable of generating and compositing a graphic surface with maximum horizontal resolution of 1920 pixels and maximum vertical resolution of 1080 pixels.
TR-DSRSW-2056  The product SHALL provide the application with its maximum graphic resolution processing capability information.</t>
  </si>
  <si>
    <t>TR-DSRSW-2058 MPEG-1,2 Layer III (MP3) Audio Decode 
TR-DSRSW-2059  The product SHALL support MPEG-1,2 Layer 3 (MP3) audio decode.
TR-DSRSW-2060  The MP3 Audio Decoding SHALL support CBR and VBR encoding with bitrates from 32 kbps up to 320 kbps.
TR-DSRSW-2061  The MP3 Audio Decode SHALL support bitstreams containing mono, stereo, and two independent audio channels.
TR-DSRSW-2062  The product SHALL support decoding MP3 audio to two channel (left/right) LPCM output to the digital audio outputs (SPDIF and HDMI) simultaneously with two channel (left/right) analog audio output.</t>
  </si>
  <si>
    <t>TR-DSRSW-2063 MPEG-2,4 AAC-LC Audio Decode 
TR-DSRSW-2064  The product SHALL support MPEG-2,4 AAC-LC audio decode.
TR-DSRSW-2065  The product SHALL have MPEG-2 / MPEG-4 AAC-LC audio decoding capability that supports CBR and VBR encoded content with bitrates from 16 kbps up to 256 kbps.
TR-DSRSW-2066  The MPEG-2 / MPEG-4 AAC-LC Decoding SHALL support the following sample rates: 8, 16, 32, 44.1 and 48 kHz.</t>
  </si>
  <si>
    <t>TR-DSRSW-2067 MPEG-2,4 HE-AAC Audio Decode 
TR-DSRSW-2068  The product SHALL support MPEG-4 HE AAC (AAC+) audio decode.
TR-DSRSW-2069  The product SHALL have MPEG-4 HE AAC audio decoding capability that supports CBR and VBR encoded content with bitrates from 16 kbps per channel up to 288 kbps per channel.
TR-DSRSW-2070  The MPEG-4 HE AAC Decoding SHALL support the following sample rates: 16, 32, 44.1 and 48kHz.</t>
  </si>
  <si>
    <t>TR-DSRSW-2071 Dolby Digital Audio Decode 
TR-DSRSW-2074  Requirements in this section only apply if the set-top platform supports the specific output interface.
TR-DSRSW-2075  The product SHALL support sample rates of 44.1 kHz and 48 kHz for Dolby Digital decode.
TR-DSRSW-2076  The product SHALL support passing Dolby Digital audio to the digital audio outputs (SPDIF and HDMI) while simultaneously providing 2 channel (left/right) analog audio outputs.
TR-DSRSW-2077  The product SHALL support decoding Dolby Digital audio to 2 channel (left/right) LPCM for the digital audio outputs (SPDIF and HDMI) simultaneously with 2 channel (left/right) analog audio outputs.
TR-DSRSW-2078  The product SHALL support passing Dolby Digital audio to one digital audio output (HDMI or SPDIF), while simultaneously decoding Dolby Digital audio to 2 channel (left/right) LPCM for another digital audio output (SPDIF or HDMI) simultaneously with 2 channel (left/right) analog audio outputs.
TR-DSRSW-2079  The product's HDMI and SPDIF outputs SHALL be independently configurable to carry either Dolby Digital or 2-channel (left/right) LPCM.
TR-DSRSW-2080  The product SHALL decode and map a single (mono) channel Dolby Digital source to both left and right output channels.</t>
  </si>
  <si>
    <t xml:space="preserve">TR-DSRSW-2083  Requirements in this section only apply if the set-top platform supports the specific output interface.
TR-DSRSW-2084  The product SHALL be capable of decoding Dolby Digital Plus audio streams with sample rates of 44.1 kHz and 48 kHz.
TR-DSRSW-2085  The product SHALL be capable of remapping Dolby Digital Plus (E-AC-3) audio streams to Dolby Digital (AC-3) audio streams for the digital audio outputs (SPDIF and HDMI) while simultaneously providing downmixed 2-channel (left/right) Dolby surround audio on the analog audio outputs.
TR-DSRSW-2086  The product SHALL be capable of decoding Dolby Digital Plus to 2-channel (left/right) LPCM for the digital audio outputs (SPDIF and HDMI) while simultaneously providing downmixed 2-channel (left/right) Dolby surround audio on the analog audio outputs.
TR-DSRSW-2087  The product SHALL support remapping Dolby Digital Plus to Dolby Digital for one digital audio output (HDMI or SPDIF), while simultaneously decoding Dolby Digital Plus audio to 2 channel (left/right) LPCM for another digital audio output (SPDIF or HDMI) simultaneously with 2 channel (left/right) analog audio outputs.
TR-DSRSW-2088  The product SHALL support passing Dolby Digital Plus audio to the HDMI output, while simultaneously providing 2 channel (left/right) analog audio outputs, and PCM to the SPDIF output.
TR-DSRSW-2197 Dolby Digital Plus Audio Decode </t>
  </si>
  <si>
    <t>TR-DSRSW-2089 Dolby Digital Plus Selection The product SHALL acquire the Dolby Digital Plus component if present in a digital service.
TR-DSRSW-2090  The product SHALL acquire the service component carrying Dolby Digital Plus (DD+), service component with stream type 0x87, IF the product can decode DD+, AND the service component has a language descriptor that matches the preferred language. 
TR-DSRSW-2091  The product SHALL acquire the first Dolby Digital audio component detected in the PMT IF a service component with stream type 0x81 with a language descriptor that matches the preferred language is present in the digital service. (i.e. the platform will not toggle between acquiring different audio components with the same component type and language descriptor.)   
TR-DSRSW-2092  The product SHALL acquire the first Dolby Digital audio component detected in the PMT IF a service component with stream type 0x81 is present in the digital service AND there are no audio components in the stream that have language descriptors that match the preferred language. 
TR-DSRSW-2093  The product SHALL provide an API that returns a) the audio format and b) the number of channels of the acquired audio component.
TR-DSRSW-2094  The product SHALL, when the user changes the audio language, acquire the appropriate audio component as defined by the Audio Selection requirements.</t>
  </si>
  <si>
    <t>TR-DSRSW-2095 Audio Encode 
TR-DSRSW-2097  The product SHALL be capable of transcoding stereo digital audio formats to the Dolby Digital (AC-3) 2.0 format.
TR-DSRSW-2098  The product SHALL be capable of transcoding multi-channel digital audio formats to the Dolby Digital (AC-3) 5.1 format.</t>
  </si>
  <si>
    <t>TR-DSRSW-2100 DVS (Descriptive Video Service) English and French Descriptive Video Services (a.k.a. "Visually Impaired" service) as defined for the "interim solution" in ENB-3791
TR-DSRSW-2101  The product SHALL allow the user to enable and disable Descriptive Video Service (a.k.a., "Visually Impaired service").
TR-DSRSW-2102  The product SHALL disable Descriptive Video Service when a factory reset is invoked.
TR-DSRSW-2103  The product SHALL play the content of the first audio component listed in the Service Map Message that matches the "enm" ISO639 language code IF Descriptive Video Service is enabled AND "English" is the language preference.
TR-DSRSW-2104  The product SHALL play the content of the first audio component listed in the Service Map Message that matches the "frm" ISO639 language code IF  Descriptive Video Service is enabled AND "French" is the language preference.
TR-DSRSW-2105  The product SHALL follow the normal audio language selection requirements IF Descriptive Video Service is enabled AND no DVS audio stream is found to match the viewer's preferences.
TR-DSRSW-2106  The product SHALL follow the normal audio language selection requirements IF Descriptive Video Service is disabled.</t>
  </si>
  <si>
    <t>TR-DSRSW-2107 Dolby Digital Audio Dyamic Range Compression 
TR-DSRSW-2108  The product SHALL be capable of adjusting audio dynamic range compression for Dolby audio signals. [Note this includes Dolby Digital and Dolby Digital Plus audio signals.]
TR-DSRSW-2109  The product SHALL support three modes of Dynamic Range Compression for Dolby Digital and Dolby Digital Plus audio inputs : a) "None" which corresponds to maximum dynamic range , b) "Light" which corresponds to standard dynamic range, c) "Heavy" which corresponds to minimum dynamic range, as specified by  [Note: this is specified in the Dolby Licensee Manual].
TR-DSRSW-2110  The product SHALL save the last  Dynamic Range Compression setting in persistent storage and reuse it during start-up.</t>
  </si>
  <si>
    <t>TR-DSRSW-1345 Audio PID Selection 
TR-DSRSW-1346  The product SHALL allow the application to select, for the current service, which audio stream that the product plays.
TR-DSRSW-1347  The product SHALL seamlessly (no audible pops, clicks, or noise) transition between audio streams when the application picks a different audio stream.  
TR-DSRSW-1348  The product SHALL present artifact-free video when the audio streams change.</t>
  </si>
  <si>
    <t>Deleted</t>
  </si>
  <si>
    <t>TR-DSRSW-2238 Append 
TR-DSRSW-2362  The product SHALL provide an “append API” that allows the application to append two program files.  (NOTE: the actual method to append the video files is not implied, and is an exercise for the developer.  The method includes, and is not limited to, physically joining the files to create one file, or creating a manifest of files that are joined.  Regardless, the implementation method is abstracted away from the application).
TR-DSRSW-2363  The product SHALL provide an append API that allows one file to be a live foreground (LOD) recording.
TR-DSRSW-2364  The product SHALL provide an append API that allows one file to be a live background recording.
TR-DSRSW-2365  The product SHALL provide an append API that allows file input to be any of the supported audio and video formats.
TR-DSRSW-2366  The product SHALL provide an append API that allows file input to be different supported audio and video formats.
TR-DSRSW-2464 File Format 
TR-DSRSW-2465  The product SHALL implement a DVR recording file structure/manifest that is compatible with code releases that implement DVR file append and spit capability. (Note: The intent here is to avoid incompatible DVR file formats)</t>
  </si>
  <si>
    <t>14.4.0-3</t>
  </si>
  <si>
    <t>TR-DSRSW-2241 Split The product SHALL support a DVR split API.
TR-DSRSW-2442  The product SHALL continue to play an active file resulting from a split recording.
TR-DSRSW-2443  The product SHALL provide an split API that allows the target file to be a live background DVR recording.
TR-DSRSW-2450  The product SHALL provide an “split API” that allows the application to split a DVR program file into seperate DVR files.
TR-DSRSW-2451  The product SHALL continue to record an active file resulting from a split recording.
TR-DSRSW-2453  The product SHALL provide an split API that allows the target file to be a live foreground DVR recording.
TR-DSRSW-2454  The product SHALL provide an split API that allows the target file to be a completed DVR recording.</t>
  </si>
  <si>
    <t>Jenner
Adara 1.1</t>
  </si>
  <si>
    <t>TR-DSRSW-2387 Audio Mixing 
TR-DSRSW-2388  The product SHALL provide an API that allows an application to mix audio from an MP3 file with any supported audio input format.
TR-DSRSW-2389  The product SHALL shall play the mixed audio to the HDMI output.
TR-DSRSW-2390  The product SHALL shall play the mixed audio to the baseband L/R audio output.
TR-DSRSW-2391  The product SHALL shall play the mixed audio to the HDMI output in the current HDMI audio format. (Dolby Digital, for example)
TR-DSRSW-2392  The product SHALL provide an audio mixing feature that allows the file input audio to be level controlled.
TR-DSRSW-2393  The product SHALL start the MP3 file audio playback within 10 ms of the API request, when the file is stored in RAM.
TR-DSRSW-2394  The product SHALL, if an MP3 file audio mix request is started while the an MP3 file is still playing, discontinue the playing the current MP3 file, and start the MP3 audio playback of the new file.  That is, the last file in overwrites the currently playing file.</t>
  </si>
  <si>
    <t>21.4.0-3</t>
  </si>
  <si>
    <t>10.0-6</t>
  </si>
  <si>
    <t>19.0-1</t>
  </si>
  <si>
    <t>20.1.1</t>
  </si>
  <si>
    <t>20.1.1.0-1</t>
  </si>
  <si>
    <t>20.1.1.0-2</t>
  </si>
  <si>
    <t>20.1.1.0-3</t>
  </si>
  <si>
    <t>20.1.1.0-4</t>
  </si>
  <si>
    <t>20.1.2</t>
  </si>
  <si>
    <t>20.1.2.0-1</t>
  </si>
  <si>
    <t>20.1.3</t>
  </si>
  <si>
    <t>20.1.3.0-1</t>
  </si>
  <si>
    <t>20.1.3.0-2</t>
  </si>
  <si>
    <t>20.1.3.0-3</t>
  </si>
  <si>
    <t>20.1.3.0-4</t>
  </si>
  <si>
    <t>20.1.3.0-5</t>
  </si>
  <si>
    <t>20.1.4</t>
  </si>
  <si>
    <t>20.1.4.0-1</t>
  </si>
  <si>
    <t>20.1.4.0-2</t>
  </si>
  <si>
    <t>20.1.4.0-3</t>
  </si>
  <si>
    <t>20.1.4.0-4</t>
  </si>
  <si>
    <t>20.1.5</t>
  </si>
  <si>
    <t>20.1.5.0-1</t>
  </si>
  <si>
    <t>20.1.6</t>
  </si>
  <si>
    <t>20.1.6.0-1</t>
  </si>
  <si>
    <t>20.1.6.0-2</t>
  </si>
  <si>
    <t>20.1.6.0-3</t>
  </si>
  <si>
    <t>20.1.6.0-4</t>
  </si>
  <si>
    <t>20.1.6.0-5</t>
  </si>
  <si>
    <t>20.1.6.0-6</t>
  </si>
  <si>
    <t>20.1.6.0-7</t>
  </si>
  <si>
    <t>20.1.6.0-8</t>
  </si>
  <si>
    <t>20.1.7</t>
  </si>
  <si>
    <t>20.1.7.0-1</t>
  </si>
  <si>
    <t>20.1.7.0-2</t>
  </si>
  <si>
    <t>20.1.7.0-3</t>
  </si>
  <si>
    <t>20.1.8</t>
  </si>
  <si>
    <t>20.1.8.0-1</t>
  </si>
  <si>
    <t>21.1.0-6</t>
  </si>
  <si>
    <t>21.1.0-10</t>
  </si>
  <si>
    <t>21.1.0-11</t>
  </si>
  <si>
    <t>21.1.0-12</t>
  </si>
  <si>
    <t>21.1.0-13</t>
  </si>
  <si>
    <t>21.1.0-14</t>
  </si>
  <si>
    <t>21.3.1</t>
  </si>
  <si>
    <t>21.3.1.0-1</t>
  </si>
  <si>
    <t>21.3.1.0-2</t>
  </si>
  <si>
    <t>21.3.1.0-3</t>
  </si>
  <si>
    <t>21.3.1.0-4</t>
  </si>
  <si>
    <t>21.3.2</t>
  </si>
  <si>
    <t>21.3.2.0-1</t>
  </si>
  <si>
    <t>21.3.2.0-2</t>
  </si>
  <si>
    <t>21.3.2.0-3</t>
  </si>
  <si>
    <t>21.3.3</t>
  </si>
  <si>
    <t>21.3.3.0-1</t>
  </si>
  <si>
    <t>21.3.3.0-2</t>
  </si>
  <si>
    <t>21.3.4</t>
  </si>
  <si>
    <t>21.3.4.0-1</t>
  </si>
  <si>
    <t>21.3.4.0-2</t>
  </si>
  <si>
    <t>21.3.4.0-3</t>
  </si>
  <si>
    <t>21.3.4.0-4</t>
  </si>
  <si>
    <t>21.3.5</t>
  </si>
  <si>
    <t>21.3.5.0-1</t>
  </si>
  <si>
    <t>21.3.5.0-2</t>
  </si>
  <si>
    <t>21.3.5.0-3</t>
  </si>
  <si>
    <t>21.3.5.0-4</t>
  </si>
  <si>
    <t>21.3.5.0-5</t>
  </si>
  <si>
    <t>21.3.5.0-6</t>
  </si>
  <si>
    <t>21.3.6</t>
  </si>
  <si>
    <t>21.3.6.0-1</t>
  </si>
  <si>
    <t>21.3.7</t>
  </si>
  <si>
    <t>21.3.7.0-1</t>
  </si>
  <si>
    <t>21.3.10</t>
  </si>
  <si>
    <t>21.3.10.0-1</t>
  </si>
  <si>
    <t>21.3.10.0-2</t>
  </si>
  <si>
    <t>21.3.10.0-3</t>
  </si>
  <si>
    <t>21.3.10.0-4</t>
  </si>
  <si>
    <t>21.3.10.0-5</t>
  </si>
  <si>
    <t>21.3.10.0-6</t>
  </si>
  <si>
    <t>21.3.10.0-7</t>
  </si>
  <si>
    <t>21.3.10.0-8</t>
  </si>
  <si>
    <t>21.3.10.0-9</t>
  </si>
  <si>
    <t>21.3.10.0-10</t>
  </si>
  <si>
    <t>21.3.10.0-11</t>
  </si>
  <si>
    <t>21.5.0-1</t>
  </si>
  <si>
    <t>21.5.0-2</t>
  </si>
  <si>
    <t>21.5.0-3</t>
  </si>
  <si>
    <t>21.5.0-4</t>
  </si>
  <si>
    <t>21.6.1</t>
  </si>
  <si>
    <t>21.6.1.0-1</t>
  </si>
  <si>
    <t>21.6.1.0-2</t>
  </si>
  <si>
    <t>21.6.2</t>
  </si>
  <si>
    <t>21.6.2.0-1</t>
  </si>
  <si>
    <t>21.6.2.0-2</t>
  </si>
  <si>
    <t>22.1-1</t>
  </si>
  <si>
    <t>22.1-2</t>
  </si>
  <si>
    <t>22.2.0-1</t>
  </si>
  <si>
    <t>22.2.0-2</t>
  </si>
  <si>
    <t>22.3-1</t>
  </si>
  <si>
    <t>22.3-2</t>
  </si>
  <si>
    <t>23.0-2</t>
  </si>
  <si>
    <t>23.0-3</t>
  </si>
  <si>
    <t>23.0-4</t>
  </si>
  <si>
    <t>25.2.0-2</t>
  </si>
  <si>
    <t>25.2.0-3</t>
  </si>
  <si>
    <t>25.2.0-4</t>
  </si>
  <si>
    <t>25.2.0-5</t>
  </si>
  <si>
    <t>25.2.0-6</t>
  </si>
  <si>
    <t>25.2.0-7</t>
  </si>
  <si>
    <t>25.2.0-8</t>
  </si>
  <si>
    <t>25.2.0-9</t>
  </si>
  <si>
    <t>25.2.0-10</t>
  </si>
  <si>
    <t>25.2.0-11</t>
  </si>
  <si>
    <t>25.2.0-12</t>
  </si>
  <si>
    <t>25.2.0-13</t>
  </si>
  <si>
    <t>25.2.0-14</t>
  </si>
  <si>
    <t>25.2.0-15</t>
  </si>
  <si>
    <t>25.2.0-16</t>
  </si>
  <si>
    <t>25.2.0-17</t>
  </si>
  <si>
    <t>25.2.0-18</t>
  </si>
  <si>
    <t>25.2.0-19</t>
  </si>
  <si>
    <t>25.2.0-20</t>
  </si>
  <si>
    <t>25.2.0-21</t>
  </si>
  <si>
    <t>25.2.0-22</t>
  </si>
  <si>
    <t>25.2.0-23</t>
  </si>
  <si>
    <t>25.2.0-24</t>
  </si>
  <si>
    <t>25.2.0-25</t>
  </si>
  <si>
    <t>25.2.0-26</t>
  </si>
  <si>
    <t>25.2.0-27</t>
  </si>
  <si>
    <t>25.2.0-28</t>
  </si>
  <si>
    <t>25.2.0-29</t>
  </si>
  <si>
    <t>25.2.0-30</t>
  </si>
  <si>
    <t>25.2.0-31</t>
  </si>
  <si>
    <t>25.2.0-32</t>
  </si>
  <si>
    <t>25.2.0-33</t>
  </si>
  <si>
    <t>25.2.0-34</t>
  </si>
  <si>
    <t>25.2.0-35</t>
  </si>
  <si>
    <t>25.2.0-36</t>
  </si>
  <si>
    <t>25.2.0-37</t>
  </si>
  <si>
    <t>25.2.0-38</t>
  </si>
  <si>
    <t>25.2.0-39</t>
  </si>
  <si>
    <t>25.2.0-40</t>
  </si>
  <si>
    <t>25.2.0-41</t>
  </si>
  <si>
    <t>25.2.0-42</t>
  </si>
  <si>
    <t>25.2.0-43</t>
  </si>
  <si>
    <t>25.2.0-44</t>
  </si>
  <si>
    <t>25.2.0-45</t>
  </si>
  <si>
    <t>25.3.0-1</t>
  </si>
  <si>
    <t>25.3.0-2</t>
  </si>
  <si>
    <t>25.3.0-3</t>
  </si>
  <si>
    <t>25.3.0-4</t>
  </si>
  <si>
    <t>25.3.0-5</t>
  </si>
  <si>
    <t>25.3.0-6</t>
  </si>
  <si>
    <t>26.1.1</t>
  </si>
  <si>
    <t>26.1.2</t>
  </si>
  <si>
    <t>26.1.2-1</t>
  </si>
  <si>
    <t>26.1.2-2</t>
  </si>
  <si>
    <t>26.1.2-3</t>
  </si>
  <si>
    <t>26.2.1</t>
  </si>
  <si>
    <t>26.2.1.0-1</t>
  </si>
  <si>
    <t>26.2.2</t>
  </si>
  <si>
    <t>26.2.2.0-1</t>
  </si>
  <si>
    <t>26.2.3</t>
  </si>
  <si>
    <t>26.2.3.0-1</t>
  </si>
  <si>
    <t>26.2.3.0-2</t>
  </si>
  <si>
    <t>26.2.3.0-3</t>
  </si>
  <si>
    <t>26.2.3.0-4</t>
  </si>
  <si>
    <t>26.2.3.0-5</t>
  </si>
  <si>
    <t>26.2.3.0-6</t>
  </si>
  <si>
    <t>26.2.4</t>
  </si>
  <si>
    <t>26.2.4.0-1</t>
  </si>
  <si>
    <t>26.2.5</t>
  </si>
  <si>
    <t>26.2.5.0-1</t>
  </si>
  <si>
    <t>26.2.5.0-2</t>
  </si>
  <si>
    <t>26.2.5.0-3</t>
  </si>
  <si>
    <t>26.2.5.0-4</t>
  </si>
  <si>
    <t>26.2.5.0-5</t>
  </si>
  <si>
    <t>27.0-1</t>
  </si>
  <si>
    <t>27.0-4</t>
  </si>
  <si>
    <t>27.0-5</t>
  </si>
  <si>
    <t>28.1.0-3</t>
  </si>
  <si>
    <t>28.1.0-4</t>
  </si>
  <si>
    <t>28.3.0-2</t>
  </si>
  <si>
    <t>28.3.0-3</t>
  </si>
  <si>
    <t>28.4.0-4</t>
  </si>
  <si>
    <t>28.4.0-5</t>
  </si>
  <si>
    <t>28.4.0-6</t>
  </si>
  <si>
    <t>28.4.0-7</t>
  </si>
  <si>
    <t>28.5.0-1</t>
  </si>
  <si>
    <t>28.5.0-2</t>
  </si>
  <si>
    <t>28.5.0-3</t>
  </si>
  <si>
    <t>28.5.0-4</t>
  </si>
  <si>
    <t>28.5.0-5</t>
  </si>
  <si>
    <t>28.5.0-6</t>
  </si>
  <si>
    <t>28.6.0-1</t>
  </si>
  <si>
    <t>28.6.0-2</t>
  </si>
  <si>
    <t>28.6.0-3</t>
  </si>
  <si>
    <t>28.6.0-4</t>
  </si>
  <si>
    <t>28.6.0-5</t>
  </si>
  <si>
    <t>29.2.0-4</t>
  </si>
  <si>
    <t>29.2.0-5</t>
  </si>
  <si>
    <t>29.2.0-6</t>
  </si>
  <si>
    <t>29.2.0-7</t>
  </si>
  <si>
    <t>30.1.0-2</t>
  </si>
  <si>
    <t>30.1.0-3</t>
  </si>
  <si>
    <t>30.1.0-4</t>
  </si>
  <si>
    <t>30.1.0-5</t>
  </si>
  <si>
    <t>30.1.0-6</t>
  </si>
  <si>
    <t>30.2.0-1</t>
  </si>
  <si>
    <t>30.2.0-2</t>
  </si>
  <si>
    <t>30.2.0-3</t>
  </si>
  <si>
    <t>30.3.0-1</t>
  </si>
  <si>
    <t>30.3.0-2</t>
  </si>
  <si>
    <t>30.3.0-3</t>
  </si>
  <si>
    <t>31.1.0-1</t>
  </si>
  <si>
    <t>TR-DSRSW-1680 Front Panel 
TR-DSRSW-1683  The product SHALL invoke a hardware reset if the power button is depressed for 4 seconds (+/-1 second), regardless of the software state.
TR-DSRSW-1684  The product SHALL invoke a hardware reset if the user presses the remote control 3-key reset sequence (HELP-OPTIONS-POWER) within the time period of one second.</t>
  </si>
  <si>
    <r>
      <t xml:space="preserve">TR-DSRSW-1542 Code Validation 
TR-DSRSW-1543  The product SHALL make Private Keys inaccessible on user accessible busses.
TR-DSRSW-1544  The product SHALL authenticate the platform code including validating SHA-1 hash over the SignedContent as defined in PKCS#7 RFC 3369 </t>
    </r>
    <r>
      <rPr>
        <u/>
        <sz val="11"/>
        <color theme="1"/>
        <rFont val="Calibri"/>
        <family val="2"/>
        <scheme val="minor"/>
      </rPr>
      <t>as part of the download process</t>
    </r>
    <r>
      <rPr>
        <sz val="11"/>
        <color theme="1"/>
        <rFont val="Calibri"/>
        <family val="2"/>
        <scheme val="minor"/>
      </rPr>
      <t xml:space="preserve">.
TR-DSRSW-1545  The product SHALL authenticate the platform code including validating SHA-1 hash over the SignedContent as defined in PKCS#7 RFC 3369 </t>
    </r>
    <r>
      <rPr>
        <u/>
        <sz val="11"/>
        <color theme="1"/>
        <rFont val="Calibri"/>
        <family val="2"/>
        <scheme val="minor"/>
      </rPr>
      <t>every time that the platform code is loaded for execution</t>
    </r>
    <r>
      <rPr>
        <sz val="11"/>
        <color theme="1"/>
        <rFont val="Calibri"/>
        <family val="2"/>
        <scheme val="minor"/>
      </rPr>
      <t xml:space="preserve">.
TR-DSRSW-1546  The product shall validate the application code CVC issuer signature using the CVC CA Public Key from the CVC CA certificate included in the PKCS#7 signature.
TR-DSRSW-1547  The product shall validate the application code CVC CA issuer signature using the CVC Root Public Key held by the product.
TR-DSRSW-1548  The product SHALL authenticate each application code including validating SHA-1 hash over the SignedContent as defined in PKCS#7 RFC 3369 </t>
    </r>
    <r>
      <rPr>
        <u/>
        <sz val="11"/>
        <color theme="1"/>
        <rFont val="Calibri"/>
        <family val="2"/>
        <scheme val="minor"/>
      </rPr>
      <t>as part of the download process</t>
    </r>
    <r>
      <rPr>
        <sz val="11"/>
        <color theme="1"/>
        <rFont val="Calibri"/>
        <family val="2"/>
        <scheme val="minor"/>
      </rPr>
      <t xml:space="preserve">.
TR-DSRSW-1549  The product SHALL authenticate the application code including validating SHA-1 hash over the SignedContent as defined in PKCS#7 RFC 3369 </t>
    </r>
    <r>
      <rPr>
        <u/>
        <sz val="11"/>
        <color theme="1"/>
        <rFont val="Calibri"/>
        <family val="2"/>
        <scheme val="minor"/>
      </rPr>
      <t>each time that the application is loaded for execution</t>
    </r>
    <r>
      <rPr>
        <sz val="11"/>
        <color theme="1"/>
        <rFont val="Calibri"/>
        <family val="2"/>
        <scheme val="minor"/>
      </rPr>
      <t>.
TR-DSRSW-1550  The product SHALL be provisioned with Code Verification CA by platform download.
TR-DSRSW-1551  The product SHALL validate the PKCS#7 Platform Code Signature embedded in the platform download object. 
TR-DSRSW-1552  The product shall validate the platform code CVC issuer signature using the CVC CA Public Key from the CVC CA certificate included in the PKCS#7 signature.
TR-DSRSW-1553  The product shall validate the platform code CVC CA issuer signature using the Motorola CVC Root Public Key held by the product.
TR-DSRSW-1554  The product SHALL validate that the codeAccessStart (synonymous with the PKCS attribute signingTime) parameter in the downloaded platform code image is greater than or equal to the codeAccessStart parameter for the currently executing platform code image at platform download.
TR-DSRSW-1555  The product SHALL save the downloaded PKCS#7 platform signatures along with the downloaded platform code image after successfully evaluating all required platform code signature parameters.
TR-DSRSW-1556  The product shall discard the platform download object if the validation of the Platform Code Signature embedded in the platform download object fails.
TR-DSRSW-1557  The product shall discard an application download object if the validation of the Platform Code Signature embedded in the application download object fails.</t>
    </r>
  </si>
  <si>
    <t xml:space="preserve">01/27/2016, Initial Release.  </t>
  </si>
  <si>
    <t>Legacy TR</t>
  </si>
  <si>
    <t>TR-PLATOS-1041</t>
  </si>
  <si>
    <t>TR-PLATOS-1043</t>
  </si>
  <si>
    <t>TR-PLATOS-1046</t>
  </si>
  <si>
    <t>TR-0-DRAM-1043</t>
  </si>
  <si>
    <t>TR-0-DSRIPG-1008</t>
  </si>
  <si>
    <t>FR-SWIFS-1360</t>
  </si>
  <si>
    <t>TR-0-DSRIPG-1011</t>
  </si>
  <si>
    <t>FR-SWIFS-1503</t>
  </si>
  <si>
    <t>TR-0-DSRAPI-FPR-1002</t>
  </si>
  <si>
    <t>FR-SWAPP-1217</t>
  </si>
  <si>
    <t>TR-0-EPM-FPR-1001</t>
  </si>
  <si>
    <t>TR-0-EPM-FPR-1002</t>
  </si>
  <si>
    <t>TR-0-EPM-FPR-1003</t>
  </si>
  <si>
    <t>TR-0-EPM-FPR-1004</t>
  </si>
  <si>
    <t>TR-0-EPM-FPR-1005</t>
  </si>
  <si>
    <t>TR-0-EPM-FPR-1006</t>
  </si>
  <si>
    <t>TR-0-EPM-FPR-1007</t>
  </si>
  <si>
    <t>TR-0-EPM-FPR-1008</t>
  </si>
  <si>
    <t>FR-SWAPP-1219</t>
  </si>
  <si>
    <t>TR-0-NSTM-FPR-1001</t>
  </si>
  <si>
    <t>TR-0-NSTM-FPR-1002</t>
  </si>
  <si>
    <t>TR-0-NSTM-FPR-1003</t>
  </si>
  <si>
    <t>TR-0-NSTM-FPR-1004</t>
  </si>
  <si>
    <t>TR-0-NSTM-FPR-1005</t>
  </si>
  <si>
    <t>TR-0-NSTM-FPR-1006</t>
  </si>
  <si>
    <t>TR-0-NSTM-FPR-1007</t>
  </si>
  <si>
    <t>TR-0-NSTM-FPR-1008</t>
  </si>
  <si>
    <t>TR-0-NSTM-FPR-1009</t>
  </si>
  <si>
    <t>TR-0-NSTM-FPR-1010</t>
  </si>
  <si>
    <t>TR-0-NSTM-FPR-1011</t>
  </si>
  <si>
    <t>TR-0-NSTM-FPR-1012</t>
  </si>
  <si>
    <t>TR-0-NSTM-FPR-1013</t>
  </si>
  <si>
    <t>FR-DL-1093</t>
  </si>
  <si>
    <t>TR-0-DL-IUM-1528</t>
  </si>
  <si>
    <t>TR-0-DL-IUM-1632</t>
  </si>
  <si>
    <t>TR-0-DL-IUM-1634</t>
  </si>
  <si>
    <t>TR-0-DL-IUM-1635</t>
  </si>
  <si>
    <t>TR-0-DL-IUM-1636</t>
  </si>
  <si>
    <t>TR-0-DL-IUM-1648</t>
  </si>
  <si>
    <t>TR-0-DL-IUM-1653</t>
  </si>
  <si>
    <t>TR-0-DL-IUM-1645</t>
  </si>
  <si>
    <t>TR-0-DL-IUM-1646</t>
  </si>
  <si>
    <t>TR-0-DL-IUM-1647</t>
  </si>
  <si>
    <t>TR-0-DL-IUM-1643</t>
  </si>
  <si>
    <t>TR-0-DL-IUM-1644</t>
  </si>
  <si>
    <t>TR-0-DL-IUM-1650</t>
  </si>
  <si>
    <t>TR-0-DL-IUM-1651</t>
  </si>
  <si>
    <t>TR-0-DL-IUM-1652</t>
  </si>
  <si>
    <t>TR-0-DL-IUM-1654</t>
  </si>
  <si>
    <t>TR-0-DL-IUM-1655</t>
  </si>
  <si>
    <t>TR-DSRSW-2480</t>
  </si>
  <si>
    <t>8.4.1.0-10</t>
  </si>
  <si>
    <t>TR-DSRSW-2479</t>
  </si>
  <si>
    <t>8.4.1.1.0-3</t>
  </si>
  <si>
    <t>8.4.2.0-1</t>
  </si>
  <si>
    <t>8.4.2.0-2</t>
  </si>
  <si>
    <t>8.4.2.0-3</t>
  </si>
  <si>
    <t>8.4.2.0-4</t>
  </si>
  <si>
    <t>8.4.2.0-5</t>
  </si>
  <si>
    <t>8.4.2.0-6</t>
  </si>
  <si>
    <t>8.4.2.0-7</t>
  </si>
  <si>
    <t>8.4.2.0-8</t>
  </si>
  <si>
    <t>TR-DSRSW-2483</t>
  </si>
  <si>
    <t>8.4.2.0-9</t>
  </si>
  <si>
    <t>8.4.2.0-10</t>
  </si>
  <si>
    <t>8.4.2.0-11</t>
  </si>
  <si>
    <t>TR-0-DL-IUM-1671</t>
  </si>
  <si>
    <t>TR-0-DL-IUM-1673</t>
  </si>
  <si>
    <t>TR-0-DL-IUM-1674</t>
  </si>
  <si>
    <t>TR-0-DL-IUM-1680</t>
  </si>
  <si>
    <t>TR-0-DL-IUM-1677</t>
  </si>
  <si>
    <t>TR-0-DL-IUM-1678</t>
  </si>
  <si>
    <t>TR-0-DL-IUM-1681</t>
  </si>
  <si>
    <t>TR-0-DL-IUM-1702</t>
  </si>
  <si>
    <t>TR-0-DL-IUM-1682</t>
  </si>
  <si>
    <t>TR-0-DL-IUM-1683</t>
  </si>
  <si>
    <t>TR-0-DL-IUM-1684</t>
  </si>
  <si>
    <t>TR-0-DL-IUM-1685</t>
  </si>
  <si>
    <t>TR-0-DL-IUM-1686</t>
  </si>
  <si>
    <t>TR-0-DL-IUM-1687</t>
  </si>
  <si>
    <t>TR-0-DL-IUM-1688</t>
  </si>
  <si>
    <t>TR-0-DL-IUM-1689</t>
  </si>
  <si>
    <t>TR-0-DL-IUM-1690</t>
  </si>
  <si>
    <t>TR-0-DL-IUM-1691</t>
  </si>
  <si>
    <t>TR-0-DL-IUM-1692</t>
  </si>
  <si>
    <t>TR-0-DL-IUM-1693</t>
  </si>
  <si>
    <t>TR-0-DL-IUM-1694</t>
  </si>
  <si>
    <t>TR-0-DL-IUM-1695</t>
  </si>
  <si>
    <t>TR-0-DL-IUM-1696</t>
  </si>
  <si>
    <t>TR-0-DL-IUM-1698</t>
  </si>
  <si>
    <t>TR-0-DL-IUM-1699</t>
  </si>
  <si>
    <t>TR-0-DL-IUM-1700</t>
  </si>
  <si>
    <t>FR-BOOT-1035</t>
  </si>
  <si>
    <t>TR-0-ROMLESS-1021</t>
  </si>
  <si>
    <t>TR-PLATOS-1029</t>
  </si>
  <si>
    <t>FR-BOOT-1060</t>
  </si>
  <si>
    <t>TR-PLATOS-1073</t>
  </si>
  <si>
    <t>FR-BOOT-1025</t>
  </si>
  <si>
    <t>TR-PLATOS-1039</t>
  </si>
  <si>
    <t>TR-BUTTON-1073</t>
  </si>
  <si>
    <t>FR-MCIPH-1007</t>
  </si>
  <si>
    <t>TR-0-MCIPHER-SES-1049</t>
  </si>
  <si>
    <t>TR-DSRSW-2467</t>
  </si>
  <si>
    <t>11.1.1.0-4</t>
  </si>
  <si>
    <t>TR-DSRSW-2468</t>
  </si>
  <si>
    <t>11.1.1.0-5</t>
  </si>
  <si>
    <t>TR-DSRSW-2466</t>
  </si>
  <si>
    <t>TR-0-MCIPHER-SES-1046</t>
  </si>
  <si>
    <t>TR-0-MCIPHER-SES-1047</t>
  </si>
  <si>
    <t>11.1.2.0-3</t>
  </si>
  <si>
    <t>TR-0-MCIPHER-SES-1048</t>
  </si>
  <si>
    <t>11.1.2.0-4</t>
  </si>
  <si>
    <t>TR-0-MCIPHER-SES-1100</t>
  </si>
  <si>
    <t>11.1.2.0-5</t>
  </si>
  <si>
    <t>TR-0-MCIPHER-SES-1101</t>
  </si>
  <si>
    <t>11.1.2.0-6</t>
  </si>
  <si>
    <t>TR-0-MCIPHER-SES-1102</t>
  </si>
  <si>
    <t>TR-DSRSW-2471</t>
  </si>
  <si>
    <t>11.1.2.0-7</t>
  </si>
  <si>
    <t>TR-0-MCIPHER-SES-1053</t>
  </si>
  <si>
    <t>TR-0-MCIPHER-SES-1054</t>
  </si>
  <si>
    <t>TR-DSRSW-2473</t>
  </si>
  <si>
    <t>11.1.4</t>
  </si>
  <si>
    <t>11.1.4.0-1</t>
  </si>
  <si>
    <t>TR-0-MCIPHER-SES-1056</t>
  </si>
  <si>
    <t>11.1.4.0-2</t>
  </si>
  <si>
    <t>TR-0-MCIPHER-SES-1057</t>
  </si>
  <si>
    <t>11.1.4.0-3</t>
  </si>
  <si>
    <t>TR-0-MCIPHER-SES-1058</t>
  </si>
  <si>
    <t>11.1.4.0-4</t>
  </si>
  <si>
    <t>TR-0-MCIPHER-SES-1059</t>
  </si>
  <si>
    <t>11.1.4.0-5</t>
  </si>
  <si>
    <t>TR-0-MCIPHER-SES-1060</t>
  </si>
  <si>
    <t>FR-MCIPH-1008</t>
  </si>
  <si>
    <t>TR-0-ROBUST-SES-1212</t>
  </si>
  <si>
    <t>TR-0-ROBUST-SES-1213</t>
  </si>
  <si>
    <t>TR-0-ROBUST-SES-1214</t>
  </si>
  <si>
    <t>TR-0-ROBUST-SES-1127</t>
  </si>
  <si>
    <t>TR-0-ROBUST-SES-1131</t>
  </si>
  <si>
    <t>TR-0-ROBUST-SES-1132</t>
  </si>
  <si>
    <t>TR-0-ROBUST-SES-1153</t>
  </si>
  <si>
    <t>TR-0-ROBUST-SES-1154</t>
  </si>
  <si>
    <t>TR-0-ROBUST-SES-1181</t>
  </si>
  <si>
    <t>TR-0-ROBUST-SES-1180</t>
  </si>
  <si>
    <t>TR-0-ROBUST-SES-1179</t>
  </si>
  <si>
    <t>TR-0-ROBUST-SES-1178</t>
  </si>
  <si>
    <t>TR-0-ROBUST-SES-1155</t>
  </si>
  <si>
    <t>TR-0-ROBUST-SES-1136</t>
  </si>
  <si>
    <t>TR-0-ROBUST-SES-1137</t>
  </si>
  <si>
    <t>TR-0-ROBUST-SES-1175</t>
  </si>
  <si>
    <t>TR-0-ROBUST-SES-1176</t>
  </si>
  <si>
    <t>TR-0-ROBUST-SES-1157</t>
  </si>
  <si>
    <t>TR-0-ROBUST-SES-1129</t>
  </si>
  <si>
    <t>TR-0-ROBUST-SES-1162</t>
  </si>
  <si>
    <t>FR-SYSSEC-SES-1024</t>
  </si>
  <si>
    <t>TR-0-NETSEC-FPR-1003</t>
  </si>
  <si>
    <t>TR-0-NETSEC-FPR-1004</t>
  </si>
  <si>
    <t>TR-0-NETSEC-FPR-1086</t>
  </si>
  <si>
    <t>TR-0-NETSEC-FPR-1007</t>
  </si>
  <si>
    <t>TR-0-NETSEC-FPR-1008</t>
  </si>
  <si>
    <t>TR-0-NETSEC-FPR-1009</t>
  </si>
  <si>
    <t>TR-0-NETSEC-FPR-1010</t>
  </si>
  <si>
    <t>TR-0-NETSEC-FPR-1011</t>
  </si>
  <si>
    <t>TR-0-NETSEC-FPR-1013</t>
  </si>
  <si>
    <t>TR-0-NETSEC-FPR-1016</t>
  </si>
  <si>
    <t>TR-0-NETSEC-FPR-1017</t>
  </si>
  <si>
    <t>TR-0-NETSEC-FPR-1018</t>
  </si>
  <si>
    <t>TR-0-NETSEC-FPR-1019</t>
  </si>
  <si>
    <t>TR-0-NETSEC-FPR-1021</t>
  </si>
  <si>
    <t>TR-0-NETSEC-FPR-1068</t>
  </si>
  <si>
    <t>TR-0-NETSEC-FPR-1069</t>
  </si>
  <si>
    <t>TR-0-NETSEC-FPR-1070</t>
  </si>
  <si>
    <t>TR-0-NETSEC-FPR-1071</t>
  </si>
  <si>
    <t>TR-0-NETSEC-FPR-1072</t>
  </si>
  <si>
    <t>TR-0-NETSEC-FPR-1073</t>
  </si>
  <si>
    <t>TR-0-NETSEC-FPR-1074</t>
  </si>
  <si>
    <t>TR-0-NETSEC-FPR-1075</t>
  </si>
  <si>
    <t>TR-0-NETSEC-FPR-1076</t>
  </si>
  <si>
    <t>TR-0-NETSEC-FPR-1084</t>
  </si>
  <si>
    <t>TR-0-NETSEC-FPR-1085</t>
  </si>
  <si>
    <t>TR-0-NETSEC-FPR-1090</t>
  </si>
  <si>
    <t>FR-SYSSEC-SES-1039</t>
  </si>
  <si>
    <t>TR-0-FPRNT-SES-1003</t>
  </si>
  <si>
    <t>TR-0-FPRNT-SES-1005</t>
  </si>
  <si>
    <t>TR-0-FPRNT-SES-1007</t>
  </si>
  <si>
    <t>TR-0-FPRNT-SES-1009</t>
  </si>
  <si>
    <t>TR-0-FPRNT-SES-1010</t>
  </si>
  <si>
    <t>TR-0-FPRNT-SES-1011</t>
  </si>
  <si>
    <t>TR-0-FPRNT-SES-1012</t>
  </si>
  <si>
    <t>TR-0-FPRNT-SES-1013</t>
  </si>
  <si>
    <t>TR-0-FPRNT-SES-1014</t>
  </si>
  <si>
    <t>TR-KA-10313</t>
  </si>
  <si>
    <t>TR-KA-10555</t>
  </si>
  <si>
    <t>TR-KA-10557</t>
  </si>
  <si>
    <t>TR-KA-10559</t>
  </si>
  <si>
    <t>TR-0-CC-REG-1382</t>
  </si>
  <si>
    <t>TR-0-CC-REG-1383</t>
  </si>
  <si>
    <t>FR-DVRCAP-1031</t>
  </si>
  <si>
    <t>TR-0-LDVRHDD-FPR-1028</t>
  </si>
  <si>
    <t>TR-0-LDVRHDD-FPR-1029</t>
  </si>
  <si>
    <t>TR-DRDETC-1001</t>
  </si>
  <si>
    <t>TR-DRDETC-1002</t>
  </si>
  <si>
    <t>TR-DRDETC-1003</t>
  </si>
  <si>
    <t>FR-DVRCAP-1055</t>
  </si>
  <si>
    <t>TR-0-EDVRHDD-FPR-2366</t>
  </si>
  <si>
    <t>TR-0-EDVRHDD-FPR-2373</t>
  </si>
  <si>
    <t>TR-0-EDVRHDD-FPR-2374</t>
  </si>
  <si>
    <t>TR-0-EDVRHDD-FPR-2375</t>
  </si>
  <si>
    <t>TR-0-EDVRHDD-FPR-2370</t>
  </si>
  <si>
    <t>TR-0-EDVRHDD-FPR-2379</t>
  </si>
  <si>
    <t>TR-0-EDVRHDD-FPR-2380</t>
  </si>
  <si>
    <t>TR-0-EDVRHDD-FPR-2125</t>
  </si>
  <si>
    <t>TR-0-EDVRHDD-FPR-1631</t>
  </si>
  <si>
    <t>TR-0-EDVRHDD-FPR-1632</t>
  </si>
  <si>
    <t>TR-0-EDVRHDD-FPR-1566</t>
  </si>
  <si>
    <t>TR-0-EDVRHDD-FPR-1637</t>
  </si>
  <si>
    <t>TR-0-EDVRHDD-FPR-1495</t>
  </si>
  <si>
    <t>TR-0-EDVRHDD-FPR-2376</t>
  </si>
  <si>
    <t>TR-0-LDVRPLAY-FPR-1080</t>
  </si>
  <si>
    <t>TR-0-LDVRPLAY-FPR-1028</t>
  </si>
  <si>
    <t>TR-0-LDVRPLAY-FPR-1029</t>
  </si>
  <si>
    <t>TR-0-LDVRPLAY-FPR-1064</t>
  </si>
  <si>
    <t>TR-0-LDVRREC-FPR-1220</t>
  </si>
  <si>
    <t>TR-0-LDVRREC-FPR-1033</t>
  </si>
  <si>
    <t>TR-0-LDVRREC-FPR-1034</t>
  </si>
  <si>
    <t>TR-0-LDVRREC-FPR-1012</t>
  </si>
  <si>
    <t>FR-LOCDVR-1080</t>
  </si>
  <si>
    <t>TR-0-LDVRTRK-FPR-1006</t>
  </si>
  <si>
    <t>TR-0-LDVRTRK-FPR-1026</t>
  </si>
  <si>
    <t>TR-0-LDVRTRK-FPR-1130</t>
  </si>
  <si>
    <t>TR-0-DVRMP4-1010</t>
  </si>
  <si>
    <t>FR-NETDAT-1264</t>
  </si>
  <si>
    <t>TR-0-NTP-FPR-1003</t>
  </si>
  <si>
    <t>TR-0-NTP-FPR-1004</t>
  </si>
  <si>
    <t>TR-0-NTP-FPR-1005</t>
  </si>
  <si>
    <t>FR-NETDAT-1254</t>
  </si>
  <si>
    <t>TR-0-IPSTREAM-FPR-1009</t>
  </si>
  <si>
    <t>TR-0-IPSTREAM-FPR-1015</t>
  </si>
  <si>
    <t>TR-0-IPSTREAM-FPR-1201</t>
  </si>
  <si>
    <t>TR-0-IPSTREAM-FPR-1259</t>
  </si>
  <si>
    <t>TR-0-IPSTREAM-FPR-1260</t>
  </si>
  <si>
    <t>TR-0-IPSTREAM-FPR-1251</t>
  </si>
  <si>
    <t>TR-0-IPSTREAM-FPR-1261</t>
  </si>
  <si>
    <t>TR-0-IPSTREAM-FPR-1037</t>
  </si>
  <si>
    <t>TR-0-IPSTREAM-FPR-1038</t>
  </si>
  <si>
    <t>TR-0-IPSTREAM-FPR-1039</t>
  </si>
  <si>
    <t>TR-0-IPSTREAM-FPR-1258</t>
  </si>
  <si>
    <t>TR-0-IPSTREAM-FPR-1254</t>
  </si>
  <si>
    <t>TR-0-IPSTREAM-FPR-1153</t>
  </si>
  <si>
    <t>TR-0-IPSTREAM-FPR-1165</t>
  </si>
  <si>
    <t>TR-0-IPSTREAM-FPR-1178</t>
  </si>
  <si>
    <t>TR-0-IPSTREAM-FPR-1256</t>
  </si>
  <si>
    <t>TR-KA-10134</t>
  </si>
  <si>
    <t>TR-KA-10135</t>
  </si>
  <si>
    <t>TR-KA-10136</t>
  </si>
  <si>
    <t>TR-KA-10140</t>
  </si>
  <si>
    <t>TR-KA-10166</t>
  </si>
  <si>
    <t>TR-KA-10167</t>
  </si>
  <si>
    <t>TR-KA-10168</t>
  </si>
  <si>
    <t>TR-KA-10177</t>
  </si>
  <si>
    <t>TR-KA-10178</t>
  </si>
  <si>
    <t>TR-KA-101xx</t>
  </si>
  <si>
    <t>TR-KA-10200</t>
  </si>
  <si>
    <t>TR-KA-11855</t>
  </si>
  <si>
    <t>TR-KA-11856</t>
  </si>
  <si>
    <t>TR-KA-11857</t>
  </si>
  <si>
    <t>TR-KA-10187</t>
  </si>
  <si>
    <t>TR-KA-11848</t>
  </si>
  <si>
    <t>TR-KA-11852</t>
  </si>
  <si>
    <t xml:space="preserve">TR-KA-101xx </t>
  </si>
  <si>
    <t>(R-1460)</t>
  </si>
  <si>
    <t>(R-1461)</t>
  </si>
  <si>
    <t>(R-1480)</t>
  </si>
  <si>
    <t>(R-1490)</t>
  </si>
  <si>
    <t>FR-NETCN-1210</t>
  </si>
  <si>
    <t>TR-0-SRLPORT-FPR-2696</t>
  </si>
  <si>
    <t>TR-SRLPRT-1001</t>
  </si>
  <si>
    <t>TR-0-LDDSR-TST-1003</t>
  </si>
  <si>
    <t>TR-BUTTON-1062</t>
  </si>
  <si>
    <t>FR-TUNCN-1053</t>
  </si>
  <si>
    <t>TR-0-TCSAT-1133</t>
  </si>
  <si>
    <t>TR-0-TCSAT-1089</t>
  </si>
  <si>
    <t>TR-0-TCSAT-1090</t>
  </si>
  <si>
    <t>TR-0-TCSAT-1130</t>
  </si>
  <si>
    <t>TR-0-TCSAT-1092</t>
  </si>
  <si>
    <t>TR-0-TCSAT-1134</t>
  </si>
  <si>
    <t>TR-0-TCSAT-1135</t>
  </si>
  <si>
    <t>TR-0-TCSAT-1138</t>
  </si>
  <si>
    <t>TR-0-TCSAT-1136</t>
  </si>
  <si>
    <t>TR-0-TCSAT-1102</t>
  </si>
  <si>
    <t>TR-0-TCSAT-1140</t>
  </si>
  <si>
    <t>TR-0-TCSAT-1141</t>
  </si>
  <si>
    <t>TR-0-TCSAT-1142</t>
  </si>
  <si>
    <t>TR-0-TCSAT-1143</t>
  </si>
  <si>
    <t>TR-0-TCSAT-1117</t>
  </si>
  <si>
    <t>TR-0-TCSAT-1150</t>
  </si>
  <si>
    <t>TR-0-TCSAT-1118</t>
  </si>
  <si>
    <t>TR-0-TCSAT-1151</t>
  </si>
  <si>
    <t>TR-0-TCSAT-1120</t>
  </si>
  <si>
    <t>TR-0-TCSAT-1132</t>
  </si>
  <si>
    <t>TR-0-TCSAT-1121</t>
  </si>
  <si>
    <t>TR-0-TCSAT-1119</t>
  </si>
  <si>
    <t>TR-0-TCSAT-1123</t>
  </si>
  <si>
    <t>TR-0-TCSAT-1124</t>
  </si>
  <si>
    <t>TR-0-TCSAT-1125</t>
  </si>
  <si>
    <t>TR-0-TCSAT-1129</t>
  </si>
  <si>
    <t>FR-TUNCN-1057</t>
  </si>
  <si>
    <t>TR-0-TCSAT-1155</t>
  </si>
  <si>
    <t>TR-0-TD8PSK-FPR-1024</t>
  </si>
  <si>
    <t>TR-0-TD8PSK-FPR-1029</t>
  </si>
  <si>
    <t>TR-0-TD8PSK-FPR-2251</t>
  </si>
  <si>
    <t>TR-0-TD8PSK-FPR-2252</t>
  </si>
  <si>
    <t>TR-0-TD8PSK-FPR-2253</t>
  </si>
  <si>
    <t>FR-TUNTD-1058</t>
  </si>
  <si>
    <t>TR-0-TDQPSK-1020</t>
  </si>
  <si>
    <t>FR-TUNTD-1076</t>
  </si>
  <si>
    <t>TR-0-SRVCACQ-1007</t>
  </si>
  <si>
    <t>TR-0-SRVCACQ-1270</t>
  </si>
  <si>
    <t>TR-0-SRVCACQ-1008</t>
  </si>
  <si>
    <t>TR-0-SRVCACQ-1291</t>
  </si>
  <si>
    <t>TR-0-SRVCACQ-1141</t>
  </si>
  <si>
    <t>TR-0-SRVCACQ-1292</t>
  </si>
  <si>
    <t>TR-0-SRVCACQ-1146</t>
  </si>
  <si>
    <t>TR-0-SRVCACQ-1278</t>
  </si>
  <si>
    <t>TR-0-SRVCACQ-1186</t>
  </si>
  <si>
    <t>TR-0-SRVCACQ-1277</t>
  </si>
  <si>
    <t>TR-0-SRVCACQ-1280</t>
  </si>
  <si>
    <t>TR-0-SRVCACQ-1289</t>
  </si>
  <si>
    <t>TR-0-SRVCACQ-1281</t>
  </si>
  <si>
    <t>TR-0-SRVCACQ-1279</t>
  </si>
  <si>
    <t>TR-0-SRVCACQ-1288</t>
  </si>
  <si>
    <t>TR-0-SRVCACQ-1287</t>
  </si>
  <si>
    <t>TR-0-SRVCACQ-1286</t>
  </si>
  <si>
    <t>TR-0-SRVCACQ-1204</t>
  </si>
  <si>
    <t>TR-0-SRVCACQ-1205</t>
  </si>
  <si>
    <t>TR-0-SRVCACQ-1228</t>
  </si>
  <si>
    <t>TR-0-SRVCACQ-1244</t>
  </si>
  <si>
    <t>TR-0-SRVCACQ-1064</t>
  </si>
  <si>
    <t>TR-0-SRVCACQ-1065</t>
  </si>
  <si>
    <t>TR-0-SRVCACQ-1066</t>
  </si>
  <si>
    <t>TR-0-SRVCACQ-1070</t>
  </si>
  <si>
    <t>TR-0-SRVCACQ-1103</t>
  </si>
  <si>
    <t>TR-0-SRVCACQ-1271</t>
  </si>
  <si>
    <t>TR-0-SRVCACQ-1285</t>
  </si>
  <si>
    <t>TR-0-SRVCACQ-1272</t>
  </si>
  <si>
    <t>TR-0-SRVCACQ-1273</t>
  </si>
  <si>
    <t>TR-0-SRVCACQ-1275</t>
  </si>
  <si>
    <t>TR-DSRSW-2478</t>
  </si>
  <si>
    <t>21.3.10.0-12</t>
  </si>
  <si>
    <t>TR-DSRSW-2474</t>
  </si>
  <si>
    <t>21.3.11</t>
  </si>
  <si>
    <t>TR-DSRSW-2476</t>
  </si>
  <si>
    <t>21.3.11.0-1</t>
  </si>
  <si>
    <t>TR-DSRSW-2477</t>
  </si>
  <si>
    <t>21.3.11.0-2</t>
  </si>
  <si>
    <t>FR-TUNTD-1084</t>
  </si>
  <si>
    <t>TR-0-SRVCACQ-1294</t>
  </si>
  <si>
    <t>TR-0-SRVCACQ-1295</t>
  </si>
  <si>
    <t>TR-0-SRVCACQ-1296</t>
  </si>
  <si>
    <t>FR-TUNTD-1085</t>
  </si>
  <si>
    <t>TR-0-SRVCACQ-1297</t>
  </si>
  <si>
    <t>TR-0-SRVCACQ-1299</t>
  </si>
  <si>
    <t>TR-0-SRVCACQ-1298</t>
  </si>
  <si>
    <t>TR-0-SRVCACQ-1300</t>
  </si>
  <si>
    <t>FR-TUNTD-1023</t>
  </si>
  <si>
    <t>TR-0-TDCASACP-FPR-1065</t>
  </si>
  <si>
    <t>FR-TUNTD-1036</t>
  </si>
  <si>
    <t>TR-0-TDCASACP-FPR-1066</t>
  </si>
  <si>
    <t>FR-VIFVD-1028</t>
  </si>
  <si>
    <t>FR-VIFVD-1061</t>
  </si>
  <si>
    <t>TR-0-DRPHOTO-FPR-1001</t>
  </si>
  <si>
    <t>TR-0-DRPHOTO-FPR-1069</t>
  </si>
  <si>
    <t>TR-0-DRPHOTO-FPR-1071</t>
  </si>
  <si>
    <t>TR-0-DRPHOTO-FPR-1070</t>
  </si>
  <si>
    <t>TR-0-DSRUSRSET-3432</t>
  </si>
  <si>
    <t>FR-CC-1018</t>
  </si>
  <si>
    <t>TR-0-CC-REG-1002</t>
  </si>
  <si>
    <t>TR-0-CC-REG-1003</t>
  </si>
  <si>
    <t>TR-0-CC-REG-1004</t>
  </si>
  <si>
    <t>TR-0-CC-REG-1034</t>
  </si>
  <si>
    <t>TR-0-CC-REG-1082</t>
  </si>
  <si>
    <t>TR-0-CC-REG-1084</t>
  </si>
  <si>
    <t>TR-0-CC-REG-1111</t>
  </si>
  <si>
    <t>TR-0-CC-REG-1112</t>
  </si>
  <si>
    <t>TR-0-CC-REG-1113</t>
  </si>
  <si>
    <t>TR-0-CC-REG-1114</t>
  </si>
  <si>
    <t>TR-0-CC-REG-1115</t>
  </si>
  <si>
    <t>TR-0-CC-REG-1116</t>
  </si>
  <si>
    <t>TR-0-CC-REG-1117</t>
  </si>
  <si>
    <t>TR-0-CC-REG-1118</t>
  </si>
  <si>
    <t>TR-0-CC-REG-1119</t>
  </si>
  <si>
    <t>TR-0-CC-REG-1120</t>
  </si>
  <si>
    <t>TR-0-CC-REG-1121</t>
  </si>
  <si>
    <t>TR-0-CC-REG-1122</t>
  </si>
  <si>
    <t>TR-0-CC-REG-1182</t>
  </si>
  <si>
    <t>TR-0-CC-REG-1183</t>
  </si>
  <si>
    <t>TR-0-CC-REG-1184</t>
  </si>
  <si>
    <t>TR-0-CC-REG-1185</t>
  </si>
  <si>
    <t>TR-0-CC-REG-1186</t>
  </si>
  <si>
    <t>TR-0-CC-REG-1187</t>
  </si>
  <si>
    <t>TR-0-CC-REG-1188</t>
  </si>
  <si>
    <t>TR-0-CC-REG-1190</t>
  </si>
  <si>
    <t>TR-0-CC-REG-1192</t>
  </si>
  <si>
    <t>TR-0-CC-REG-1193</t>
  </si>
  <si>
    <t>TR-0-CC-REG-1194</t>
  </si>
  <si>
    <t>TR-0-CC-REG-1195</t>
  </si>
  <si>
    <t>TR-0-CC-REG-1196</t>
  </si>
  <si>
    <t>TR-0-CC-REG-1197</t>
  </si>
  <si>
    <t>TR-0-CC-REG-1198</t>
  </si>
  <si>
    <t>TR-0-CC-REG-1199</t>
  </si>
  <si>
    <t>TR-0-CC-REG-1200</t>
  </si>
  <si>
    <t>TR-0-CC-REG-1201</t>
  </si>
  <si>
    <t>TR-0-CC-REG-1202</t>
  </si>
  <si>
    <t>TR-0-CC-REG-1203</t>
  </si>
  <si>
    <t>TR-0-CC-REG-1204</t>
  </si>
  <si>
    <t>TR-0-CC-REG-1205</t>
  </si>
  <si>
    <t>TR-0-CC-REG-1206</t>
  </si>
  <si>
    <t>TR-0-CC-REG-1207</t>
  </si>
  <si>
    <t>TR-0-CC-REG-1208</t>
  </si>
  <si>
    <t>TR-0-CC-REG-1209</t>
  </si>
  <si>
    <t>TR-0-CC-REG-1210</t>
  </si>
  <si>
    <t>TR-0-CC-REG-1211</t>
  </si>
  <si>
    <t>TR-0-CC-REG-1212</t>
  </si>
  <si>
    <t>TR-0-CC-REG-1232</t>
  </si>
  <si>
    <t>TR-0-CC-REG-1233</t>
  </si>
  <si>
    <t>TR-0-CC-REG-1234</t>
  </si>
  <si>
    <t>TR-0-CC-REG-1235</t>
  </si>
  <si>
    <t>TR-0-CC-REG-1236</t>
  </si>
  <si>
    <t>TR-0-CC-REG-1237</t>
  </si>
  <si>
    <t>TR-0-CC-REG-1238</t>
  </si>
  <si>
    <t>TR-0-CC-REG-1239</t>
  </si>
  <si>
    <t>TR-0-CC-REG-1240</t>
  </si>
  <si>
    <t>TR-0-CC-REG-1241</t>
  </si>
  <si>
    <t>TR-0-CC-REG-1242</t>
  </si>
  <si>
    <t>TR-0-CC-REG-1243</t>
  </si>
  <si>
    <t>TR-0-CC-REG-1244</t>
  </si>
  <si>
    <t>TR-0-CC-REG-1245</t>
  </si>
  <si>
    <t>TR-0-CC-REG-1246</t>
  </si>
  <si>
    <t>TR-0-CC-REG-1247</t>
  </si>
  <si>
    <t>TR-0-CC-REG-1014</t>
  </si>
  <si>
    <t>TR-0-CC-REG-1292</t>
  </si>
  <si>
    <t>TR-0-CC-REG-1294</t>
  </si>
  <si>
    <t>TR-0-CC-REG-1296</t>
  </si>
  <si>
    <t>TR-0-CC-REG-1298</t>
  </si>
  <si>
    <t>TR-0-CC-REG-1300</t>
  </si>
  <si>
    <t>TR-0-CC-REG-1302</t>
  </si>
  <si>
    <t>TR-0-CC-REG-1304</t>
  </si>
  <si>
    <t>TR-0-CC-REG-1306</t>
  </si>
  <si>
    <t>TR-0-CC-REG-1308</t>
  </si>
  <si>
    <t>TR-0-CC-REG-1310</t>
  </si>
  <si>
    <t>TR-0-CC-REG-1312</t>
  </si>
  <si>
    <t>TR-0-CC-REG-1314</t>
  </si>
  <si>
    <t>TR-0-CC-REG-1316</t>
  </si>
  <si>
    <t>TR-0-CC-REG-1318</t>
  </si>
  <si>
    <t>TR-0-CC-REG-1320</t>
  </si>
  <si>
    <t>TR-0-CC-REG-1322</t>
  </si>
  <si>
    <t>TR-0-CC-REG-1324</t>
  </si>
  <si>
    <t>TR-0-CC-REG-1326</t>
  </si>
  <si>
    <t>TR-0-CC-REG-1328</t>
  </si>
  <si>
    <t>TR-0-CC-REG-1330</t>
  </si>
  <si>
    <t>FR-CC-1019</t>
  </si>
  <si>
    <t>TR-0-CC-REG-1130</t>
  </si>
  <si>
    <t>TR-0-CC-REG-1131</t>
  </si>
  <si>
    <t>TR-0-CC-REG-1132</t>
  </si>
  <si>
    <t>TR-0-CC-REG-1133</t>
  </si>
  <si>
    <t>TR-0-CC-REG-1134</t>
  </si>
  <si>
    <t>TR-0-CC-REG-1135</t>
  </si>
  <si>
    <t>TR-0-CC-REG-1136</t>
  </si>
  <si>
    <t>TR-0-CC-REG-1137</t>
  </si>
  <si>
    <t>TR-0-CC-REG-1138</t>
  </si>
  <si>
    <t>TR-0-CC-REG-1139</t>
  </si>
  <si>
    <t>TR-0-CC-REG-1140</t>
  </si>
  <si>
    <t>TR-0-CC-REG-1141</t>
  </si>
  <si>
    <t>TR-0-CC-REG-1142</t>
  </si>
  <si>
    <t>TR-0-CC-REG-1143</t>
  </si>
  <si>
    <t>TR-0-CC-REG-1144</t>
  </si>
  <si>
    <t>TR-0-CC-REG-1145</t>
  </si>
  <si>
    <t>TR-0-CC-REG-1146</t>
  </si>
  <si>
    <t>TR-0-CC-REG-1147</t>
  </si>
  <si>
    <t>TR-0-CC-REG-1148</t>
  </si>
  <si>
    <t>TR-0-CC-REG-1149</t>
  </si>
  <si>
    <t>TR-0-CC-REG-1150</t>
  </si>
  <si>
    <t>TR-0-CC-REG-1151</t>
  </si>
  <si>
    <t>TR-0-CC-REG-1152</t>
  </si>
  <si>
    <t>TR-0-CC-REG-1153</t>
  </si>
  <si>
    <t>TR-0-CC-REG-1154</t>
  </si>
  <si>
    <t>TR-0-CC-REG-1155</t>
  </si>
  <si>
    <t>TR-0-CC-REG-1156</t>
  </si>
  <si>
    <t>TR-0-CC-REG-1157</t>
  </si>
  <si>
    <t>TR-0-CC-REG-1158</t>
  </si>
  <si>
    <t>TR-0-CC-REG-1159</t>
  </si>
  <si>
    <t>TR-0-CC-REG-1160</t>
  </si>
  <si>
    <t>TR-0-CC-REG-1161</t>
  </si>
  <si>
    <t>TR-0-CC-REG-1162</t>
  </si>
  <si>
    <t>TR-0-CC-REG-1163</t>
  </si>
  <si>
    <t>TR-0-CC-REG-1164</t>
  </si>
  <si>
    <t>TR-0-CC-REG-1165</t>
  </si>
  <si>
    <t>TR-0-CC-REG-1166</t>
  </si>
  <si>
    <t>TR-0-CC-REG-1167</t>
  </si>
  <si>
    <t>TR-0-CC-REG-1168</t>
  </si>
  <si>
    <t>TR-0-CC-REG-1169</t>
  </si>
  <si>
    <t>TR-0-CC-REG-1170</t>
  </si>
  <si>
    <t>TR-0-CC-REG-1171</t>
  </si>
  <si>
    <t>TR-0-CC-REG-1172</t>
  </si>
  <si>
    <t>TR-0-CC-REG-1173</t>
  </si>
  <si>
    <t>FR-CC-1024</t>
  </si>
  <si>
    <t>TR-0-VDFVIDD4-FPR-1021</t>
  </si>
  <si>
    <t>TR-0-VDFVIDD4-FPR-1022</t>
  </si>
  <si>
    <t>TR-0-VDFVIDD4-FPR-1023</t>
  </si>
  <si>
    <t>TR-0-VDFVIDD4-FPR-1024</t>
  </si>
  <si>
    <t>FR-VDCVD-1056</t>
  </si>
  <si>
    <t>TR-0-VCPIG-FPR-1023</t>
  </si>
  <si>
    <t>TR-0-VCPIG-FPR-1019</t>
  </si>
  <si>
    <t>TR-0-VCPIG-FPR-1006</t>
  </si>
  <si>
    <t>FR-VDCVD-1081</t>
  </si>
  <si>
    <t>TR-0-VCPIG-FPR-1016</t>
  </si>
  <si>
    <t>TR-0-VCPIG-FPR-1010</t>
  </si>
  <si>
    <t>TR-0-VCPIG-FPR-1011</t>
  </si>
  <si>
    <t>TR-0-VCPIG-FPR-1012</t>
  </si>
  <si>
    <t>TR-0-VCPIG-FPR-1013</t>
  </si>
  <si>
    <t>TR-0-VCPIG-FPR-1018</t>
  </si>
  <si>
    <t>TR-0-VCPIG-FPR-1026</t>
  </si>
  <si>
    <t>TR-0-VCST_ZM-FPR-1024</t>
  </si>
  <si>
    <t>TR-0-VCST_ZM-FPR-1032</t>
  </si>
  <si>
    <t>TR-0-VCST_ZM-FPR-1186</t>
  </si>
  <si>
    <t>TR-0-VCST_ZM-FPR-1187</t>
  </si>
  <si>
    <t>TR-0-VCST_ZM-FPR-1051</t>
  </si>
  <si>
    <t>TR-0-VCST_ZM-FPR-1183</t>
  </si>
  <si>
    <t>TR-0-VCST_ZM-FPR-1193</t>
  </si>
  <si>
    <t>TR-0-VCST_ZM-FPR-1075</t>
  </si>
  <si>
    <t>TR-0-VCST_ZM-FPR-1059</t>
  </si>
  <si>
    <t>TR-0-VCST_ZM-FPR-1061</t>
  </si>
  <si>
    <t>TR-0-VCST_ZM-FPR-1062</t>
  </si>
  <si>
    <t>TR-0-VCST_ZM-FPR-1172</t>
  </si>
  <si>
    <t>TR-0-GFXDISP-1266</t>
  </si>
  <si>
    <t>TR-0-GFXDISP-1125</t>
  </si>
  <si>
    <t>FR-AUDIF-1002</t>
  </si>
  <si>
    <t>TR-0-ANC-1040</t>
  </si>
  <si>
    <t>TR-0-ANC-1727</t>
  </si>
  <si>
    <t>TR-0-ANC-1683</t>
  </si>
  <si>
    <t>FR-AUDIF-1008</t>
  </si>
  <si>
    <t>TR-0-ANC-1759</t>
  </si>
  <si>
    <t>TR-0-ANC-1055</t>
  </si>
  <si>
    <t>FR-AUDIF-1010</t>
  </si>
  <si>
    <t>TR-0-ANC-1785</t>
  </si>
  <si>
    <t>TR-0-ANC-1851</t>
  </si>
  <si>
    <t>TR-0-ANC-1017</t>
  </si>
  <si>
    <t>TR-0-ANC-1674</t>
  </si>
  <si>
    <t>TR-0-ANC-1704</t>
  </si>
  <si>
    <t>TR-0-ANC-1747</t>
  </si>
  <si>
    <t>TR-0-ANC-1675</t>
  </si>
  <si>
    <t>TR-0-ANC-1748</t>
  </si>
  <si>
    <t>TR-0-ANC-1740</t>
  </si>
  <si>
    <t>TR-0-ANC-1706</t>
  </si>
  <si>
    <t>TR-0-ANC-1707</t>
  </si>
  <si>
    <t>TR-0-ANC-1750</t>
  </si>
  <si>
    <t>TR-0-ANC-1753</t>
  </si>
  <si>
    <t>FR-AUDIF-1048</t>
  </si>
  <si>
    <t>TR-0-AUDSEL-FPR-1074</t>
  </si>
  <si>
    <t>TR-0-AUDSEL-FPR-1075</t>
  </si>
  <si>
    <t>TR-0-AUDSEL-FPR-1079</t>
  </si>
  <si>
    <t>TR-0-AUDSEL-FPR-1148</t>
  </si>
  <si>
    <t>TR-0-AUDSEL-FPR-1162</t>
  </si>
  <si>
    <t>TR-0-ADXCODE-FPR-1015</t>
  </si>
  <si>
    <t>TR-0-ADXCODE-FPR-1016</t>
  </si>
  <si>
    <t>FR-AUDCT-1008</t>
  </si>
  <si>
    <t>TR-0-AUDSEL-FPR-1012</t>
  </si>
  <si>
    <t>TR-0-AUDSEL-FPR-1013</t>
  </si>
  <si>
    <t>TR-0-AUDSEL-FPR-1002</t>
  </si>
  <si>
    <t>TR-0-AUDSEL-FPR-1003</t>
  </si>
  <si>
    <t>TR-0-AUDSEL-FPR-1007</t>
  </si>
  <si>
    <t>TR-0-AUDSEL-FPR-1009</t>
  </si>
  <si>
    <t>FR-AUDCT-1017</t>
  </si>
  <si>
    <t>TR-0-ANC-1691</t>
  </si>
  <si>
    <t>TR-0-ANC-1848</t>
  </si>
  <si>
    <t>TR-0-ANC-1849</t>
  </si>
  <si>
    <t>FR-SWIFS-1362</t>
  </si>
  <si>
    <t>TR-0-AUDSEL-FPR-1016</t>
  </si>
  <si>
    <t>TR-0-AUDSEL-FPR-1017</t>
  </si>
  <si>
    <t>TR-0-AUDSEL-FPR-1020</t>
  </si>
  <si>
    <t>The product SHALL retain completed code updates when AC power is removed.</t>
  </si>
  <si>
    <t>The product SHALL alert the application of a opportunity download if the product has received a valid download_preamble() message with the force_download_now flag set to "no.</t>
  </si>
  <si>
    <t>The product SHALL alert the application of a forced download if the product has received a valid download_preamble() message with the force_download_now flag set to "yes."</t>
  </si>
  <si>
    <t>The product SHALL provide an API to allow the application to notify Neptune to start, or resume, code download collection.</t>
  </si>
  <si>
    <t>The product SHALL provide an API to allow the application to notify Neptune to stop code download collection.</t>
  </si>
  <si>
    <t>The product SHALL retain any code acquired during the code download process if the application stops the code download, except in the case of power loss.</t>
  </si>
  <si>
    <t>The product SHALL resume code dowload after the application starts/resumes the code download.</t>
  </si>
  <si>
    <t>The product SHALL discard the code download if the code download preamble is not received for 60 minutes.</t>
  </si>
  <si>
    <t>The product SHALL discard the code download in the event of power loss.</t>
  </si>
  <si>
    <t>The product SHALL provide an API to allow the application to determine when the code download is complete and the new code update is ready for activation.</t>
  </si>
  <si>
    <t>The product SHALL provide an API to allow the application to activate the code update. (the application will reboot the STB to activate the code update)</t>
  </si>
  <si>
    <t>The product SHALL support storage of 2,048 MediaCipher permanent tiers numbered from 0 to 2,047.</t>
  </si>
  <si>
    <t xml:space="preserve">The product SHALL support storage of 32 MediaCipher temporary tiers, numbered from 65,536 to 16,777,215. </t>
  </si>
  <si>
    <t>The product SHALL, while in standby mode, continue to support EMM message handling.</t>
  </si>
  <si>
    <t>The product SHALL, while in standby mode, continue to support Conditional Access control message handling.</t>
  </si>
  <si>
    <t>The product SHALL accept a Channel Override Message only if the IRD is subject to the specified message preamble condition(s) for the start time in question. (Note, preamble conditions are typically one or two geographic circles).</t>
  </si>
  <si>
    <t>The product SHALL support the Channel Override Message with one or more of the following preamble conditions:
	Tier Match
	Circle Test
	Region</t>
  </si>
  <si>
    <t xml:space="preserve">The product SHALL cancel the channel override if the applicable Channel Override Message contains a override_duration of zero, tuning to the definition given in the channel map. </t>
  </si>
  <si>
    <t>The product SHALL, while in standby mode, continue to support DCII Network Message processing.</t>
  </si>
  <si>
    <t>The product SHALL, while in standby mode, continue to support DCII Service Control Channel message processing.</t>
  </si>
  <si>
    <t>The product SHALL render CEA-608 closed captions on the HDMI output if it is tuned to a digital service where only CEA-608 caption data is present (CEA-708 data is not present) in the MPEG-2 Picture User Data of the same MPEG video frame and carried in SCTE-21 syntax with cc_type equal to '00' AND the user has selected to enable captions.</t>
  </si>
  <si>
    <t>The product SHALL render CEA-608 closed captions onthe HDMI output if it is tuned to a digital service where only CEA-608 caption data is present (CEA-708 data is not present) in the MPEG-2 Picture User Data of the same MPEG video frame and carried in SCTE-21 syntax with cc_type equal to '01' AND the user has selected to enable captions.</t>
  </si>
  <si>
    <t>The product SHALL render CEA-608 closed captions on the HDMI output if it is tuned to a digital service where only CEA-608 caption data is present (CEA-708 data is not present) in the MPEG-2 Picture User Data of the same MPEG video frame and carried in SCTE-20 syntax AND the user has selected to enable captions.</t>
  </si>
  <si>
    <t>The product SHALL render the CEA-608 caption data that was received in SCTE-20 syntax on the HDMI output if it is tuned to a digital service where only CEA-608 caption data is present (CEA-708 data is not present) in the MPEG-2 Picture User Data of the same MPEG video frame and carried in both SCTE-20 syntax and SCTE-21 syntax AND the user has selected to enable captions.</t>
  </si>
  <si>
    <t>The product SHALL render CEA-708 captions on the HDMI output if it is tuned to a digital service where CEA-708 caption data is present in the MPEG-2 Picture User Data of the same MPEG video frame and carried in SCTE-21 syntax with cc_type equal to '10' AND the user has selected to enable captions.</t>
  </si>
  <si>
    <t>The product SHALL render CEA-708 captions on the HDMI output if it is tuned to a digital service where CEA-708 caption data is present in the MPEG-2 Picture User Data of the same MPEG video frame and carried in SCTE-21 syntax with cc_type equal to '11' AND the user has selected to enable captions.</t>
  </si>
  <si>
    <t>The product SHALL render CEA-708 captions on the HDMI output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t>
  </si>
  <si>
    <t>The product SHALL render CEA-708 captions on the HDMI output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t>
  </si>
  <si>
    <t>The product SHALL render CEA-708 captions on the HDMI output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t>
  </si>
  <si>
    <t>The product SHALL render CEA-708 captions on the HDMI output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t>
  </si>
  <si>
    <t>EMM Stream Search</t>
  </si>
  <si>
    <t>CA Processing</t>
  </si>
  <si>
    <t>Standby Message Processing</t>
  </si>
  <si>
    <t>7.2 Application Support</t>
  </si>
  <si>
    <t>8.4.2 Background Download</t>
  </si>
  <si>
    <t>11.2.4 Boot Code Authentication</t>
  </si>
  <si>
    <t>11.3.1 Close Sockets</t>
  </si>
  <si>
    <t>14.4.1 File Format</t>
  </si>
  <si>
    <t>14.4.2 Append</t>
  </si>
  <si>
    <t>20.1.1 CSS General</t>
  </si>
  <si>
    <t>20.1.2 Power ON - Satellite Installation Mode</t>
  </si>
  <si>
    <t>20.1.3 CSS Reclaim UB Slot</t>
  </si>
  <si>
    <t>20.1.4 CSS Reclaim UB Slot - Front Panel Reset</t>
  </si>
  <si>
    <t>20.1.5 CSS Manual Installation</t>
  </si>
  <si>
    <t>20.1.6 CSS Auto Installation</t>
  </si>
  <si>
    <t>20.1.7 Channel Change</t>
  </si>
  <si>
    <t>20.1.8 CSS Signal Loss</t>
  </si>
  <si>
    <t>21.1 8-PSK Demodulation</t>
  </si>
  <si>
    <t>21.2 QPSK demodulation</t>
  </si>
  <si>
    <t>21.3 Service Acquisition</t>
  </si>
  <si>
    <t>21.3.1 Channel Selection</t>
  </si>
  <si>
    <t>21.3.2 A/V Component Selection</t>
  </si>
  <si>
    <t>21.3.3 Virtual Channel (VCT)</t>
  </si>
  <si>
    <t>21.3.4 ROM Resident VCT</t>
  </si>
  <si>
    <t>21.3.5 Network Information (NIT)</t>
  </si>
  <si>
    <t>21.3.6 Program Association (PAT)</t>
  </si>
  <si>
    <t>21.3.7 Program Map (PMT)</t>
  </si>
  <si>
    <t>21.3.10 Channel Overrides</t>
  </si>
  <si>
    <t>21.4 Channel Map Storage</t>
  </si>
  <si>
    <t>21.5 Channel Map Activation</t>
  </si>
  <si>
    <t>21.6 Service Acquisition Performance</t>
  </si>
  <si>
    <t>21.6.1 Services on the Same Transponder</t>
  </si>
  <si>
    <t>21.6.2 Services on Different Transponders</t>
  </si>
  <si>
    <t>22.1 MPEG-2 Video Decode</t>
  </si>
  <si>
    <t>22.2 MPEG-4 AVC Video Decode</t>
  </si>
  <si>
    <t>22.3 HEVC Video Decode</t>
  </si>
  <si>
    <t>25 Closed Captions</t>
  </si>
  <si>
    <t>25.1 Closed Captions for Live Content
The product SHALL comply with all FCC Closed Caption requirements as specified in 47cfr15 for CEA-608 and FCC 00-259 for CEA-708 caption information embedded in a digital TV service.</t>
  </si>
  <si>
    <t>25.2 Closed Captions for Stored Content
The product SHALL comply with all FCC Closed Caption requirements as specified in 47cfr15 for CEA-608 and FCC 00-259 for CEA-708 caption information embedded in stored content.</t>
  </si>
  <si>
    <t>25.3 MPEG-4 and HEVC Closed Captions</t>
  </si>
  <si>
    <t>26.2.2 4:3 Source Stretch Presentation</t>
  </si>
  <si>
    <t>26.2.4 16:9 Source Zoom Presentation</t>
  </si>
  <si>
    <t>28.5 Dolby Digital Plus Audio Decode</t>
  </si>
  <si>
    <t>29.1 Audio Transcode</t>
  </si>
  <si>
    <t>29.2 Audio Mixing</t>
  </si>
  <si>
    <t>30.2 Dolby Digital Audio Dyamic Range Compression</t>
  </si>
  <si>
    <t>30.3 Audio PID Selection</t>
  </si>
  <si>
    <t>31.1 Mean Time Between Reboots</t>
  </si>
  <si>
    <r>
      <t>Electronic Personal Messages (EPMS)</t>
    </r>
    <r>
      <rPr>
        <sz val="11"/>
        <color theme="1"/>
        <rFont val="Calibri"/>
        <family val="2"/>
        <scheme val="minor"/>
      </rPr>
      <t xml:space="preserve">
a.k.a., "Mail"</t>
    </r>
  </si>
  <si>
    <r>
      <t>Non-Slotted Text Messages</t>
    </r>
    <r>
      <rPr>
        <sz val="11"/>
        <color theme="1"/>
        <rFont val="Calibri"/>
        <family val="2"/>
        <scheme val="minor"/>
      </rPr>
      <t xml:space="preserve">
a.k.a., "TAMs" (Tier-Addressed Messages)</t>
    </r>
  </si>
  <si>
    <t>TR-0-DL-IUM-1503</t>
  </si>
  <si>
    <t>8.4.1.0-9</t>
  </si>
  <si>
    <r>
      <t xml:space="preserve">The product SHALL authenticate the platform code including validating SHA-1 hash over the SignedContent as defined in PKCS#7 RFC 3369 </t>
    </r>
    <r>
      <rPr>
        <u/>
        <sz val="11"/>
        <color theme="1"/>
        <rFont val="Calibri"/>
        <family val="2"/>
        <scheme val="minor"/>
      </rPr>
      <t>as part of the download process</t>
    </r>
    <r>
      <rPr>
        <sz val="11"/>
        <color theme="1"/>
        <rFont val="Calibri"/>
        <family val="2"/>
        <scheme val="minor"/>
      </rPr>
      <t>.</t>
    </r>
  </si>
  <si>
    <r>
      <t xml:space="preserve">The product SHALL authenticate the platform code including validating SHA-1 hash over the SignedContent as defined in PKCS#7 RFC 3369 </t>
    </r>
    <r>
      <rPr>
        <u/>
        <sz val="11"/>
        <color theme="1"/>
        <rFont val="Calibri"/>
        <family val="2"/>
        <scheme val="minor"/>
      </rPr>
      <t>every time that the platform code is loaded for execution</t>
    </r>
    <r>
      <rPr>
        <sz val="11"/>
        <color theme="1"/>
        <rFont val="Calibri"/>
        <family val="2"/>
        <scheme val="minor"/>
      </rPr>
      <t>.</t>
    </r>
  </si>
  <si>
    <r>
      <t xml:space="preserve">The product SHALL authenticate each application code including validating SHA-1 hash over the SignedContent as defined in PKCS#7 RFC 3369 </t>
    </r>
    <r>
      <rPr>
        <u/>
        <sz val="11"/>
        <color theme="1"/>
        <rFont val="Calibri"/>
        <family val="2"/>
        <scheme val="minor"/>
      </rPr>
      <t>as part of the download process</t>
    </r>
    <r>
      <rPr>
        <sz val="11"/>
        <color theme="1"/>
        <rFont val="Calibri"/>
        <family val="2"/>
        <scheme val="minor"/>
      </rPr>
      <t>.</t>
    </r>
  </si>
  <si>
    <r>
      <t xml:space="preserve">The product SHALL authenticate the application code including validating SHA-1 hash over the SignedContent as defined in PKCS#7 RFC 3369 </t>
    </r>
    <r>
      <rPr>
        <u/>
        <sz val="11"/>
        <color theme="1"/>
        <rFont val="Calibri"/>
        <family val="2"/>
        <scheme val="minor"/>
      </rPr>
      <t>each time that the application is loaded for execution</t>
    </r>
    <r>
      <rPr>
        <sz val="11"/>
        <color theme="1"/>
        <rFont val="Calibri"/>
        <family val="2"/>
        <scheme val="minor"/>
      </rPr>
      <t>.</t>
    </r>
  </si>
  <si>
    <r>
      <t>Closed Captions for Live Content</t>
    </r>
    <r>
      <rPr>
        <sz val="11"/>
        <color theme="1"/>
        <rFont val="Calibri"/>
        <family val="2"/>
        <scheme val="minor"/>
      </rPr>
      <t xml:space="preserve">
The product SHALL comply with all FCC Closed Caption requirements as specified in 47cfr15 for CEA-608 and FCC 00-259 for CEA-708 caption information embedded in a digital TV service.</t>
    </r>
  </si>
  <si>
    <r>
      <t>Closed Captions for Stored Content</t>
    </r>
    <r>
      <rPr>
        <sz val="11"/>
        <color theme="1"/>
        <rFont val="Calibri"/>
        <family val="2"/>
        <scheme val="minor"/>
      </rPr>
      <t xml:space="preserve">
The product SHALL comply with all FCC Closed Caption requirements as specified in 47cfr15 for CEA-608 and FCC 00-259 for CEA-708 caption information embedded in stored content.</t>
    </r>
  </si>
  <si>
    <r>
      <t xml:space="preserve">The product SHALL increment the Stretch Mode in the following order, wrapping back to Stretch Mode 1 at the end of the list:
</t>
    </r>
    <r>
      <rPr>
        <i/>
        <sz val="11"/>
        <color theme="1"/>
        <rFont val="Calibri"/>
        <family val="2"/>
        <scheme val="minor"/>
      </rPr>
      <t xml:space="preserve">
Stretch Mode #</t>
    </r>
    <r>
      <rPr>
        <sz val="11"/>
        <color theme="1"/>
        <rFont val="Calibri"/>
        <family val="2"/>
        <scheme val="minor"/>
      </rPr>
      <t>1</t>
    </r>
    <r>
      <rPr>
        <i/>
        <sz val="11"/>
        <color theme="1"/>
        <rFont val="Calibri"/>
        <family val="2"/>
        <scheme val="minor"/>
      </rPr>
      <t xml:space="preserve">
Stretch Mode #</t>
    </r>
    <r>
      <rPr>
        <sz val="11"/>
        <color theme="1"/>
        <rFont val="Calibri"/>
        <family val="2"/>
        <scheme val="minor"/>
      </rPr>
      <t>3</t>
    </r>
    <r>
      <rPr>
        <i/>
        <sz val="11"/>
        <color theme="1"/>
        <rFont val="Calibri"/>
        <family val="2"/>
        <scheme val="minor"/>
      </rPr>
      <t xml:space="preserve">
Stretch Mode #</t>
    </r>
    <r>
      <rPr>
        <sz val="11"/>
        <color theme="1"/>
        <rFont val="Calibri"/>
        <family val="2"/>
        <scheme val="minor"/>
      </rPr>
      <t>4</t>
    </r>
    <r>
      <rPr>
        <i/>
        <sz val="11"/>
        <color theme="1"/>
        <rFont val="Calibri"/>
        <family val="2"/>
        <scheme val="minor"/>
      </rPr>
      <t xml:space="preserve">
(wrap</t>
    </r>
    <r>
      <rPr>
        <sz val="11"/>
        <color theme="1"/>
        <rFont val="Calibri"/>
        <family val="2"/>
        <scheme val="minor"/>
      </rPr>
      <t>)</t>
    </r>
  </si>
  <si>
    <r>
      <t xml:space="preserve">The product SHALL maintain the ordered list of applicable zoom modes comprising of (in order): 
</t>
    </r>
    <r>
      <rPr>
        <i/>
        <sz val="11"/>
        <color theme="1"/>
        <rFont val="Calibri"/>
        <family val="2"/>
        <scheme val="minor"/>
      </rPr>
      <t xml:space="preserve">
Zoom Mode #</t>
    </r>
    <r>
      <rPr>
        <sz val="11"/>
        <color theme="1"/>
        <rFont val="Calibri"/>
        <family val="2"/>
        <scheme val="minor"/>
      </rPr>
      <t>1</t>
    </r>
    <r>
      <rPr>
        <i/>
        <sz val="11"/>
        <color theme="1"/>
        <rFont val="Calibri"/>
        <family val="2"/>
        <scheme val="minor"/>
      </rPr>
      <t xml:space="preserve">
Zoom Mode #3</t>
    </r>
    <r>
      <rPr>
        <sz val="11"/>
        <color theme="1"/>
        <rFont val="Calibri"/>
        <family val="2"/>
        <scheme val="minor"/>
      </rPr>
      <t xml:space="preserve"> </t>
    </r>
    <r>
      <rPr>
        <i/>
        <sz val="11"/>
        <color theme="1"/>
        <rFont val="Calibri"/>
        <family val="2"/>
        <scheme val="minor"/>
      </rPr>
      <t xml:space="preserve">
Zoom Mode #4</t>
    </r>
    <r>
      <rPr>
        <sz val="11"/>
        <color theme="1"/>
        <rFont val="Calibri"/>
        <family val="2"/>
        <scheme val="minor"/>
      </rPr>
      <t xml:space="preserve"> </t>
    </r>
    <r>
      <rPr>
        <i/>
        <sz val="11"/>
        <color theme="1"/>
        <rFont val="Calibri"/>
        <family val="2"/>
        <scheme val="minor"/>
      </rPr>
      <t xml:space="preserve">
	(wrap</t>
    </r>
    <r>
      <rPr>
        <sz val="11"/>
        <color theme="1"/>
        <rFont val="Calibri"/>
        <family val="2"/>
        <scheme val="minor"/>
      </rPr>
      <t>)</t>
    </r>
  </si>
  <si>
    <t>Legacy Req Num</t>
  </si>
  <si>
    <t>TR-DSRSW-1341 Guide Stream Support The product SHALL support alternate trickle stream processing for Guide data.
TR-DSRSW-1343  The product SHALL be capable of receiving Third Party Messages, Message Type = 0xA5, and forwarding those messages to the guide application.
TR-DSRSW-1344  The product SHALL be capable of receiving Third Party Messages, Message Type = 0xE6, and forwarding those messages to the guide application.</t>
  </si>
  <si>
    <t xml:space="preserve">TR-DSRSW-1349 EAS The product SHALL provide an API that allows applications to determine the product's geographic location.
TR-DSRSW-1350  The product SHALL provide an API that allows software applications to ascertain the three-coordinate geosynchronous location of the product, as given in the category rekey message [DCII ACP-1]. </t>
  </si>
  <si>
    <t>TR-DSRSW-1542 Code Validation 
TR-DSRSW-1543  The product SHALL make Private Keys inaccessible on user accessible busses.
TR-DSRSW-1544  The product SHALL authenticate the platform code including validating SHA-1 hash over the SignedContent as defined in PKCS#7 RFC 3369 as part of the download process.
TR-DSRSW-1545  The product SHALL authenticate the platform code including validating SHA-1 hash over the SignedContent as defined in PKCS#7 RFC 3369 every time that the platform code is loaded for execution.
TR-DSRSW-1546  The product shall validate the application code CVC issuer signature using the CVC CA Public Key from the CVC CA certificate included in the PKCS#7 signature.
TR-DSRSW-1547  The product shall validate the application code CVC CA issuer signature using the CVC Root Public Key held by the product.
TR-DSRSW-1548  The product SHALL authenticate each application code including validating SHA-1 hash over the SignedContent as defined in PKCS#7 RFC 3369 as part of the download process.
TR-DSRSW-1549  The product SHALL authenticate the application code including validating SHA-1 hash over the SignedContent as defined in PKCS#7 RFC 3369 each time that the application is loaded for execution.
TR-DSRSW-1550  The product SHALL be provisioned with Code Verification CA by platform download.
TR-DSRSW-1551  The product SHALL validate the PKCS#7 Platform Code Signature embedded in the platform download object. 
TR-DSRSW-1552  The product shall validate the platform code CVC issuer signature using the CVC CA Public Key from the CVC CA certificate included in the PKCS#7 signature.
TR-DSRSW-1553  The product shall validate the platform code CVC CA issuer signature using the Motorola CVC Root Public Key held by the product.
TR-DSRSW-1554  The product SHALL validate that the codeAccessStart (synonymous with the PKCS attribute signingTime) parameter in the downloaded platform code image is greater than or equal to the codeAccessStart parameter for the currently executing platform code image at platform download.
TR-DSRSW-1555  The product SHALL save the downloaded PKCS#7 platform signatures along with the downloaded platform code image after successfully evaluating all required platform code signature parameters.
TR-DSRSW-1556  The product shall discard the platform download object if the validation of the Platform Code Signature embedded in the platform download object fails.
TR-DSRSW-1557  The product shall discard an application download object if the validation of the Platform Code Signature embedded in the application download object fails.</t>
  </si>
  <si>
    <t>TR-DSRSW-1571  The remaining requirements in this section only apply for products that external DVR functionality.
TR-DSRSW-1572  The product SHALL support up to two active recording sessions total on any combination of HDDs, internal or external, while simultaneously supporting up to one playback session from an HDD, internal or external.
TR-DSRSW-1573  The product SHALL provide an API that allows an application to determine if an external HDD is connected.
TR-DSRSW-1574  The product SHALL provide an API that allows an application to determine if an external HDD is connected that has been formatted and paired for use with the product.
TR-DSRSW-1575  The product SHALL notify a registered application when an eHDD has been disconnected.
TR-DSRSW-1576  The product SHALL notify a registered application when an eHDD has been connected and mounted.
TR-DSRSW-1577  The product SHALL provide the software application with the eHDD connection status (connected/disconnected).
TR-DSRSW-1578  The product SHALL update the eHDD connection status upon boot up.
TR-DSRSW-1579  The product SHALL provide available free space on eHDD when eHDD is connected and requested by application.
TR-DSRSW-1580  The product SHALL provide the application with the ability to select a DVR eHDD for a particular record session. 
TR-DSRSW-1581  The product SHALL provide the application with the ability to select a DVR eHDD for a particular playback session. 
TR-DSRSW-1582 External DVR Formatting 
TR-DSRSW-1583  The product SHALL notify applications that the formatting process is complete, when formatting a DVR eHDD, after the STB has mounted the eHDD. (NOTE: The intent is that application notifies the user that the format and mounting process is complete, thus if the application had displayed an alert to the user not to disconnect the eHDD, then this alert would inform the application to tear down the alert)
TR-DSRSW-1585  The product SHALL provide an API that allows an application to acquire the HDD Unique ID of a discovered DVR eHDD.
TR-DSRSW-1586  The product SHALL provide an API that allows an application to request that an eHDD be formatted as a DVR eHDD. 
TR-DSRSW-1587  The product SHALL notify a registered application when an eHDD format attempt has failed.</t>
  </si>
  <si>
    <t xml:space="preserve">TR-DSRSW-2019 Stretch and Zoom Control 
TR-DSRSW-2021  The 4:3 Stretch feature is associated with 4:3 source content.   
The 16:9 Zoom feature is associated with 16:9 source content.  
Likewise:
"Stretch Mode" refers to manipulation of 4:3 source video.
"Zoom Mode" refers to manipulation of 16:9 source video.
TR-DSRSW-2023 4:3 Source Stretch UI The following requirements are associated with the user interface for the 4:3 Stretch Feature
TR-DSRSW-2024  The product SHALL provide a mechanism for an IR remote control unit to cycle through the available stretch/zoom modes, using a dedicated button with a unique IR keycode that is identical for 4:3 stretch and 16:9 Zoom.
TR-DSRSW-2025 4:3 Source Stretch Presentation 
TR-DSRSW-2026  The product SHALL retain any graphics overlaid upon the stretched video in an as-is condition, without stretching the graphics. Note: The said graphics includes flip bars, program listings, closed captions, or other rendered graphical attributes.
TR-DSRSW-2029 4:3 Source Stretch Modes The following requirements are associated with the various stretch modes that are available to be applied to native 4:3 SD video as part of the ASTB 4:3 Stretch Feature. The requirement is to offer "incremental" modes tied to an "aspect" key press. The same user interface of "aspect" key is valid for both stretch and zoom features. The product shall provide the following unique stretch modes that may be applied to native 4:3 video content.
TR-DSRSW-2030  The product SHALL provide Stretch Mode #1: No Stretch. This mode produces a 16:9 output by creating a pillarbox display using the tuned (or otherwise presented) 4:3 video. The default screen-friendly name for this mode shall be "Normal." 
TR-DSRSW-2031  NOTE: This product does not provide Stretch Mode #2
TR-DSRSW-2032  The product SHALL provide Stretch Mode #3: Linear Stretch. This mode produces a 16:9 output by linearly stretching the 4:3 video in the horizontal direction only until it has an aspect ratio of 16:9.  Linear stretching introduces and equal amount of distortion across the entire width of the video.  The default screen-friendly name for this mode shall be "Stretch." 
TR-DSRSW-2033  The product SHALL provide Stretch Mode #4: Linear Zoom. This mode creates a 16:9 output by first linearly stretching the 4:3 video in the horizontal direction until the video has an aspect ratio of 16:9 and then linearly stretches the video in the vertical direction by the same amount.  The two-dimensional stretching of the original 4:3 video creates a "zoom effect" that creates no distortion in the processed video but does introduce cropping of the top and bottom of the original video.  The default screen-friendly name for this mode shall be "Zoom."
TR-DSRSW-2034  The product SHALL increment the Stretch Mode in the following order, wrapping back to Stretch Mode 1 at the end of the list:
Stretch Mode #1
Stretch Mode #3
Stretch Mode #4
(wrap)
TR-DSRSW-2039  The product SHALL maintain the Stretch Mode between channel changes.
TR-DSRSW-2040 16:9 Source Zoom Modes The following requirements are associated with the the requirements for the various zoom modes that are available to be applied to 16:9 video as part of the ASTB 16:9 Zoom Feature. The product shall provide the following zoom modes that may be applied to 16:9 video content upon receipt of the dedicated IR keycode.
TR-DSRSW-2041  The product SHALL provide Zoom Mode #1: No Zoom. This mode is equivalent to no video processing of any kind being applied to the 16:9 video.  The default screen-friendly name for this mode shall be "Normal."
TR-DSRSW-2042  This product does not provide Zoom Mode #2
TR-DSRSW-2043  The product SHALL provide Zoom Mode #3: Hybrid 4:3 Expand. This mode starts with a horizontally-centered 4:3 crop of the 16:9 video and then linearly stretches the 4:3 video crop in the horizontal direction only to an aspect ratio of 16:9.  The default screen-friendly name for this mode shall be "Stretch."
TR-DSRSW-2044  The product SHALL provide Zoom Mode #4: Widescreen TV Zoom. This mode starts with a horizontally-centered 4:3 crop of the 16:9 video and then takes a vertically-centered 16:9 crop of the 4:3 video.  This is visually equivalent to stretching the 4:3 crop linearly by the same amount both horizontally and vertically and then cropping the image to fit a 16:9 display screen.  The default screen-friendly name for this mode shall be "Zoom."
TR-DSRSW-2045  The product SHALL maintain the ordered list of applicable zoom modes comprising of (in order): 
Zoom Mode #1
Zoom Mode #3 
Zoom Mode #4 
	(wrap)
TR-DSRSW-2049  The product SHALL present any graphics overlaid upon the processed video as is, without zooming or otherwise distorting the said graphics. The said graphics includes flip bars, program listings, closed captions, or other rendered graphical attributes.  The "pre-zoom" locations and dimensions of these graphics shall be used as the "post-zoom" locations and dimensions of these graphics.
TR-DSRSW-2196 16:9 Source Zoom Presentation </t>
  </si>
  <si>
    <t xml:space="preserve">TR-DSRSW-2151 Flash Storage of Platform Software </t>
  </si>
  <si>
    <t>TR-DSRSW-1352  The product SHALL support an onboard JTAG connector for code download.
TR-DSRSW-1353  The product SHALL comply with the consumer IRD applicable requirements in 486998-001, the "DigiCipher II ROM Patch Code Download Specification."
TR-DSRSW-1354  The product SHALL be capable of executing downloaded code.
TR-DSRSW-1355  The product SHALL retain downloaded code in standby mode.
TR-DSRSW-1356  The product SHALL retain completed code updates when AC power is removed.
TR-DSRSW-1357  The product SHALL, through a code update, retain favorite channel selections. [Note: this requirement is implemented by Shaw, and tested by ARRIS]
TR-DSRSW-1358  The product SHALL, through a code update, retain the user password(s). [Note: this requirement is implemented by Shaw, and tested by ARRIS]
TR-DSRSW-1359  The product SHALL, through a code update, retain rating ceilings. [Note: this requirement is implemented by Shaw, and tested by ARRIS]
TR-DSRSW-1360  The product SHALL, through a code update, retain channel lockout selections. [Note: this requirement is implemented by Shaw, and tested by ARRIS]
TR-DSRSW-1362  The product SHALL, through a code update, retain scheduled recording settings. [Note: this requirement is implemented by Shaw, and tested by ARRIS]
TR-DSRSW-1363  The product SHALL, through a code update, retain network information tables.
TR-DSRSW-1364  The product SHALL, through a code update, retain the virtual channel table.
TR-DSRSW-1365  The product SHALL, through a code update, retain user video settings. [Note: this requirement is implemented by Shaw, and tested by ARRIS]
TR-DSRSW-1366  The product SHALL, through a code update, retain user audio settings. [Note: this requirement is implemented by Shaw, and tested by ARRIS]
TR-DSRSW-1367  The product SHALL, through a code update, retain user GUI language settings. [Note: this requirement is implemented by Shaw, and tested by ARRIS]
TR-DSRSW-1368  The product SHALL, through a code update, retain EPMs (Electronic Personal Mail). [Note: this requirement is implemented by Shaw, and tested by ARRIS]
TR-DSRSW-1369  The product SHALL, through a code update, retain geographic location.
TR-DSRSW-1370  The product SHALL, through a code update, retain region.
TR-DSRSW-1371  The product SHALL, through a code update, retain multicast 16 addresses.
TR-DSRSW-1372  The product SHALL, through a code update, retain last channel viewed. [Note: this requirement is implemented by Shaw, and tested by ARRIS]
TR-DSRSW-1373  The product SHALL, through a code update, retain tier authorizations.
TR-DSRSW-1374  The product SHALL, through a code update, retain the Remote Control Unit address.
TR-DSRSW-1375  The product SHALL download any file updates if the product has received a valid download_preamble() message with the force_download_now flag set to "yes." (NOTE: This will interrupt service if a tuner is not available].
TR-DSRSW-1376  The product SHALL initiate the code download process at 2:10 AM (+/- 5 min) local time if the product has received a valid download_preamble() message, subtype 0x00, with the force_download_now flag set to "no," AND a bought PPV program is not being viewed.
TR-DSRSW-1377  The product SHALL initiate the code download process at 2:40 AM (+/- 5 min) local time if the product has received a valid download_preamble() message, subtype 0x00, with the force_download_now flag set to "no," AND a bought IPPV program is not being viewed.
TR-DSRSW-1378  The product SHALL initiate the code download process at 3:10 AM (+/- 5 min) local time if the product has received a valid download_preamble() message, subtype 0x00, with the force_download_now flag set to "no," AND a bought IPPV program is not being viewed.
TR-DSRSW-1379  The product SHALL initiate the code download process at 3:40 AM (+/- 5 min) local time if the product has received a valid download_preamble() message, subtype 0x00, with the force_download_now flag set to "no," AND a bought IPPV program is not being viewed.
TR-DSRSW-1380  The product SHALL initiate the code download process at 4:10 AM (+/- 5 min) local time if the product has received a valid download_preamble() message, subtype 0x00, with the force_download_now flag set to "no," AND a bought IPPV program is not being viewed.
TR-DSRSW-1381  The product SHALL initiate the code download process at 4:40 AM (+/- 5 min) local time if the product has received a valid download_preamble() message, subtype 0x00, with the force_download_now flag set to "no," AND a bought IPPV program is not being viewed.
TR-DSRSW-1382  The product SHALL initiate the code download process at 5:10 AM (+/- 5 min) local time if the product has received a valid download_preamble() message, subtype 0x00, with the force_download_now flag set to "no," AND a bought IPPV program is not being viewed.
TR-DSRSW-1390  The product SHALL initiate the code download process if the user has taken the proper confirmation steps in the code download screen.
TR-DSRSW-1391 User Friendly Download Screen 
TR-DSRSW-1392  A User Friendly Download Screen is shown here as a reference:
TR-DSRSW-1393  The product SHALL display the "User Friendly Download Screen" when code download begins.
TR-DSRSW-1394  The product SHALL display the unit address on the User Friendly Download Screen.
TR-DSRSW-1395  The product SHALL display a timer that indicates the amount of time since code download started on the User Friendly Download Screen.
TR-DSRSW-1396  The product SHALL display, in English and French on the User Friendly Download Screen, a notification that a code download is in progress and not to unplug the unit.
TR-DSRSW-1397  The product SHALL display a download progress indication on the User Friendly Download Screen.
TR-DSRSW-1398  The product SHALL display, in English and French on the User Friendly Download Screen, a notification that to cancel the code download, the user can press the EXIT button on the RCU.  e.g., "To cancel this download, press EXIT".
TR-DSRSW-1399  The product SHALL cancel the download if the user presses the RCU EXIT button in the Download Screen.
TR-DSRSW-1400  The product SHALL display the User Friendly Download Screen when the remote control up or down arrow is pressed while the Standard Download Screen is active.
TR-DSRSW-1401 Standard Download Screen 
TR-DSRSW-1402  A Standard Download Screen is shown here as a reference:
TR-DSRSW-1403  The product SHALL display the Standard Download Screen when the remote control up or down arrow is pressed while the User Friendly Download Screen is active.
TR-DSRSW-1404  The product SHALL display the unit address on the Standard Download Screen.
TR-DSRSW-1405  The product SHALL display a timer that indicates the amount of time since code download started on the Standard Download Screen.
TR-DSRSW-1406  The product SHALL display the current "in unit" version of IPG in the Standard Download Screen.
TR-DSRSW-1407  The product SHALL display the current "in unit" version of Neptune in the Standard Download Screen.
TR-DSRSW-1408  The product SHALL display the current "in unit" versions of Packing List in the Standard Download Screen.
TR-DSRSW-1409  The product SHALL display the current "in unit" versions of Brcmlib in the Standard Download Screen.
TR-DSRSW-1410  The product SHALL display the current "target" version of IPG in the Standard Download Screen.
TR-DSRSW-1411  The product SHALL display the current "target" version of Neptune in the Standard Download Screen.
TR-DSRSW-1412  The product SHALL display the current "target" version of Packing List in the Standard Download Screen.
TR-DSRSW-1413  The product SHALL display the current "target" version of Brcmlib in the Standard Download Screen.
TR-DSRSW-1414  The product SHALL display the current "in unit" BSP version in the Standard Download Screen.
TR-DSRSW-1415  The product SHALL display the preamble/network PID in the Standard Download Screen.
TR-DSRSW-1416  The product SHALL display the Download PID in the Standard Download Screen.
TR-DSRSW-1417  The product SHALL display the Download Channel Number in the Standard Download Screen.
TR-DSRSW-1418  The product SHALL display the Transport Locked State in the Standard Download Screen.
TR-DSRSW-1419  The product SHALL display the Signal Level in the Standard Download Screen.
TR-DSRSW-1420  The product SHALL display the VCT ID in the Standard Download Screen.
TR-DSRSW-1421  The product SHALL display the download channel Frequency in the Standard Download Screen.
TR-DSRSW-1422  The product SHALL display the download channel Code Rate in the Standard Download Screen.
TR-DSRSW-1423  The product SHALL display the download channel Symbol Rate in the Standard Download Screen.
TR-DSRSW-1424  The product SHALL display the download state in the Standard Download Screen.
TR-DSRSW-1425  The product SHALL display the Total Files Collected in the Standard Download Screen.
TR-DSRSW-1426  The product SHALL display the Total Number of Files in the Standard Download Screen.
TR-DSRSW-1427  The product SHALL which indicate which files are collected with a "1" in the Standard Download Screen.
TR-DSRSW-1428  The product SHALL which indicate which files have not been collected with a "0" in the Standard Download Screen.
TR-DSRSW-1429  The product SHALL, in the Standard Download Screen, display the  Download Preamble Filter State (0,1,2) where 0 = no request, 1= waiting on PAT, 2=received.
TR-DSRSW-1430  The product SHALL, in the Standard Download Screen, display the Download Msg Filter State (0,1,2) 0=no request, 1=waiting on PMT/SMAP, 2=Messages being received.
TR-DSRSW-1431  The product SHALL, in the Standard Download Screen, display the Download Channel Tune State (0,1,2) 0=no tune request, 1=tuned no lock, 2, tuned and locked.
TR-DSRSW-1432  The product SHALL, in the Standard Download Screen, display the bad Section count.
TR-DSRSW-1433  The product SHALL, in the Standard Download Screen, display the Last Section Number.
TR-DSRSW-1434  The product SHALL, in the Standard Download Screen, display the Remaining Section Count.
TR-DSRSW-1435  The product SHALL, in the Standard Download Screen, display the Current Section Number.
TR-DSRSW-2166 Code Update Variable State Retention 
TR-DSRSW-2167 Code Download and Initiation The following requirements define when to initiate a code download process for DSRs, given the correct parameters are met in Download Preamble message as described in the DCII MSP [DCII MSP-1] 
TR-DSRSW-2168 Forced Download 
TR-DSRSW-2169 Opportunity Download 
TR-DSRSW-2171 User Download 
TR-DSRSW-2413 Download Status 
TR-DSRSW-2414  The product SHALL provide an API to allow the application to determine the code download progress.
TR-DSRSW-2415  The product SHALL provide an API to allow the application to determine the time since the code download started.
TR-DSRSW-2416  The product SHALL provide an API to allow the application to determine the current download status of the files being updated.
TR-DSRSW-2417  The product SHALL provide enough memory to complete a 100 MByte code download, without interrupting unit performance. (NOTE: Once the code has been downloaded, the actual code update may interrupt service.) 
TR-DSRSW-2434  Opportunity Download forces a download at night, or immeadiatly if the forced DL flag is set.
TR-DSRSW-2435  The product SHALL activate the newly downloaded code when the opportunity download is complete.
TR-DSRSW-2437  The product SHALL activate the newly downloaded code when the forced download is complete.
TR-DSRSW-2438  The Standard Download Screen is in the Shaw app domain.  However, Neptune does need to provide API that reports the download status.
TR-DSRSW-2439  The product SHALL display the current "target" BSP version in the Standard Download Screen.
TR-DSRSW-2479  The product SHALL alert the application of a forced download if the product has received a valid download_preamble() message with the force_download_now flag set to "yes."
TR-DSRSW-2480  The product SHALL alert the application of a opportunity download if the product has received a valid download_preamble() message with the force_download_now flag set to "no.</t>
  </si>
  <si>
    <t>TR-DSRSW-1383  The product SHALL activate a completed code download if the product has: 
	(1) received a background download_preamble() message, subtype 0x01, with the code_application_mode set to "elective," AND 
	(2) the code_application_time is less than the current GPS time, AND 
	(3) a bought IPPV program is not being viewed.
TR-DSRSW-1384  The product SHALL initiate the code download process at 2:40 AM (+/- 5 min) local time if the product has received a valid download_preamble() message, subtype 0x01, with the code_application_mode set to "elective," AND the code_application_time is less than the current GPS time, AND a bought IPPV program is not being viewed.
TR-DSRSW-1385  The product SHALL initiate the code download process at 3:10 AM (+/- 5 min) local time if the product has received a valid download_preamble() message, subtype 0x01, with the code_application_mode set to "elective," AND the code_application_time is less than the current GPS time, AND a bought IPPV program is not being viewed.
TR-DSRSW-1386  The product SHALL initiate the code download process at 3:40 AM (+/- 5 min) local time if the product has received a valid download_preamble() message, subtype 0x01, with the code_application_mode set to "elective," AND the code_application_time is less than the current GPS time, AND a bought IPPV program is not being viewed.
TR-DSRSW-1387  The product SHALL initiate the code download process at 4:10 AM (+/- 5 min) local time if the product has received a valid download_preamble() message, subtype 0x01, with the code_application_mode set to "elective," AND the code_application_time is less than the current GPS time, AND a bought IPPV program is not being viewed.
TR-DSRSW-1388  The product SHALL initiate the code download process at 4:40 AM (+/- 5 min) local time if the product has received a valid download_preamble() message, subtype 0x01, with the code_application_mode set to "elective," AND the code_application_time is less than the current GPS time, AND a bought IPPV program is not being viewed.
TR-DSRSW-1389  The product SHALL initiate the code download process at 5:10 AM (+/- 5 min) local time if the product has received a valid download_preamble() message, subtype 0x01, with the code_application_mode set to "elective," AND the code_application_time is less than the current GPS time, AND a bought IPPV program is not being viewed.
TR-DSRSW-2170 Elective Download 
TR-DSRSW-2172  Note: The following "2:10 AM", etc. cases apply for the elective download when the application does not elect to take the download.  That is, the download will continue regardless, at the normal opportunity times.
TR-DSRSW-2401  The product SHALL provide an API to allow the application to determine if a background code update is available.
TR-DSRSW-2402  Typically, a DSR800 tuner will be available during standby mode.  A DSR830 tuner will be available when at least one of the two tuners is not being used. 
TR-DSRSW-2404  The product SHALL provide an API to allow the application to notify Neptune to start, or resume, code download collection.
TR-DSRSW-2405  The product SHALL provide an API to allow the application to notify Neptune to stop code download collection.
TR-DSRSW-2408  The product SHALL retain any code acquired during the code download process if the application stops the code download, except in the case of power loss.
TR-DSRSW-2409  The product SHALL resume code dowload after the application starts/resumes the code download.
TR-DSRSW-2410  The product SHALL discard the code download if the code download preamble is updated prior the code update.
TR-DSRSW-2411  The product SHALL provide an API to allow the application to determine when the code download is complete and the new code update is ready for activation.
TR-DSRSW-2412  The product SHALL provide an API to allow the application to activate the code update. (the application will reboot the STB to activate the code update)
TR-DSRSW-2436 Background Download 
TR-DSRSW-2441  The product SHALL discard the code download if the code download preamble is not received for 60 minutes.
TR-DSRSW-2479  The product SHALL alert the application of a forced download if the product has received a valid download_preamble() message with the force_download_now flag set to "yes."
TR-DSRSW-2480  The product SHALL alert the application of a opportunity download if the product has received a valid download_preamble() message with the force_download_now flag set to "no.
TR-DSRSW-2483  The product SHALL discard the code download in the event of power loss.</t>
  </si>
  <si>
    <t>TR-DSRSW-1518 MediaCipher 
TR-DSRSW-1519  The product SHALL provide an embedded MediaCipher security element for Embedded CA factory option.
TR-DSRSW-1520  The product SHALL receive a service if the product possesses any of the subscription tiers, for the current category, on which the service is offered. 
TR-DSRSW-1522  The product SHALL encrypt the interface between the MediaCipher processor and the SoC.
TR-DSRSW-1523  The product SHALL enter the EMM stream search after an Authorization Reset.
TR-DSRSW-1524  The product SHALL enter the EMM stream search after an Factory Reset.
TR-DSRSW-1525  The product SHALL monitor the first 5 GI EMM streams in the CAT list during the EMM stream search until the product receives an EMM with a unit address that matches the product's unit address.
TR-DSRSW-1526  The product SHALL store the EMM Provider ID of the unit addressed EMM found in the EMM Stream Search.
TR-DSRSW-1527  The product SHALL monitor the EMM PID as defined in the CAT for the EMM Provider found in the EMM stream search.
TR-DSRSW-1528  The product SHALL retain the EMM Provider in non-volatile memory.
TR-DSRSW-1529 CA Processing 
TR-DSRSW-1530  The product SHALL maintain the current and next DCII category keys in non-volatile memory, as received in the last received EMM message.
TR-DSRSW-1531  The product SHALL decrypt authorized programs under either the current or next category key.
TR-DSRSW-1532 Regional, Circular, and Spotbeam Blackouts 
TR-DSRSW-1533  The product SHALL receive an assignment to one of 256 (0-255) Geographic Regions via the EMM.
TR-DSRSW-1534  The product SHALL mute all components of the service if service is blacked out for the product's region.
TR-DSRSW-1535  The product SHALL receive an assignment to a geographic location (x,y,z) via the EMM.
TR-DSRSW-1536  The product SHALL blackout the service if circular blackouts are enabled AND the product is within at least one of the service's circular blackout regions.
TR-DSRSW-1537  The product SHALL blackout the service if spotbeam blackouts are enabled AND the product is outside all of the service's spotbeam blackout regions.
TR-DSRSW-2176 MediaCipher General Requirements 
TR-DSRSW-2426 Hardware 
TR-DSRSW-2427 Platform Code Authentication 
TR-DSRSW-2428 Application Code Authentication 
TR-DSRSW-2431 Boot Code Authentication 
TR-DSRSW-2466 EMM Stream Search 
TR-DSRSW-2467  The product SHALL support storage of 2,048 MediaCipher permanent tiers numbered from 0 to 2,047.
TR-DSRSW-2468  The product SHALL support storage of 32 MediaCipher temporary tiers, numbered from 65,536 to 16,777,215. 
TR-DSRSW-2471  The product SHALL, while in standby mode, continue to support EMM message handling.
TR-DSRSW-2473  The product SHALL, while in standby mode, continue to support Conditional Access control message handling.</t>
  </si>
  <si>
    <t>TR-DSRSW-2215  The product SHALL protect the Wi-Fi password in secure encrypted memory.
TR-DSRSW-2244 Wi-Fi 
TR-DSRSW-2245 General 
TR-DSRSW-2246  The product shall include an 802.11 wireless interface compliant with [80211ac].
TR-DSRSW-2247  The DSR800 product shall be designated as the "DSR800".
TR-DSRSW-2248  The DSR830 product shall be designated as the "DSR830".
TR-DSRSW-2251  The product shall be capable of supporting at least 5 wireless devices simultaneously connected to the AP.
TR-DSRSW-2252 Operating Mode 
TR-DSRSW-2253  The product shall automatically configure itself as an 802.11ac access point.
TR-DSRSW-2254  The product shall automatically configure itself as an 802.11ac client.  
TR-DSRSW-2255 PHY 
TR-DSRSW-2256  The product shall support operating in the 5 GHz U-NII bands. (Low/Mid/Worldwide/Upper)
TR-DSRSW-2273  The product shall be capable of generating RF transmit power (EIRP) up to 1 watt to each transmit antenna.
(While the hardware must be capable of transmitting up to 1 watt, regulatory requirements may limit the actual transmission power in operation.)
TR-DSRSW-2275  The product shall support the Short Guard Interval as specified in the 802.11 specification.
TR-DSRSW-2278 MAC 
TR-DSRSW-2279  The product shall support power save modes according to IEEE 802.11e [80211e]. (Note: 802.11e support is typically included in 802.11n and 802.11ac products)
TR-DSRSW-2280  The product shall support traffic prioritization based on Wi-Fi WMM to allow prioritization of video signaling &amp; traffic as well as control traffic.
TR-DSRSW-2281  The STB shall classify packets based on the DSCP tag and forward to the WMM queue as specified in the table below:
(Note that client ACKs must also be classified to get priority)
TR-DSRSW-2288  The product shall associate VLAN-ID and SSID to avoid broadcast domain mixing.
TR-DSRSW-2289 Security 
TR-DSRSW-2290  The product shall be capable of supporting WPA and WPA2 encryption.
TR-DSRSW-2291  The product shall support Wi-Fi Protected Setup (WPS) Push Button Configuration (PBC) authentication method.  (Note that the push button is implemented as a virtual push button on a Shaw app user screen).
TR-DSRSW-2292  The product shall support the Wi-Fi Protected Setup (WPS) PIN athentication method.
TR-DSRSW-2294  The product when operating as an AP shall include an internal registrar.
(Note: A registrar is a logical entity that is responsible for authenticating and issuing security credentials to wireless client devices. Support for interfacing with an external registrar is not required.)
TR-DSRSW-2295  The product shall include provisions for a WPS button and bi-color red/green status LED and, if installed, shall operate as follows:
1)	During WPS pairing (which has a 2 minute time out) then both devices' LEDs flash.
2)	If WPS is successful (at any time during the 2 minutes) then the LED immediately turns solid, stays solid for 30 seconds, then turns OFF.
3)	If 2 minutes elapse and no device is found then the LED turns solid and stays solid forever.
4)	If WPS fails (due to any reason, at any time during the process) then the device LED goes solid immediately and stays solid forever.
5)	Upon reboot, if the device is able to pair up automatically (based on previously saved WPS info) then the LED remains off.
6)	If an AP has just finished pairing with an STA and a second WPS session is started with another STA, the AP will start its second blinking after the 30 second time, described in 2) above, has elapsed.
TR-DSRSW-2296 Bridging 
TR-DSRSW-2297  The product shall operate as a layer 2 bridge between the Ethernet and the wireless interface.
TR-DSRSW-2298  The product shall support IGMPv3 snooping to enable the forwarding of multicast packets.
TR-DSRSW-2299  The product shall be capable of bridging Ethernet frames which include a VLAN Tag (802.1Q header).
TR-DSRSW-2302  The product shall store wireless configuration parameters in non-volatile memory.
TR-DSRSW-2305 LEDs 
TR-DSRSW-2306  The Access Point product shall include a red/green or green LED controlled by firmware on the front panel which provides the following wireless link quality status:
·	Amber or Off: SSID ready but no Clients associated.
·	Green: SSID ready and one or more Clients associated.
TR-DSRSW-2307  The Client product shall include a red/green or green LED controlled by firmware on the front panel which provides the following wireless link status and per the product:
·	Amber or Off: SSID ready but not associated to an AP.
·	Green: SSID ready and associated to an AP.
TR-DSRSW-2308 Application Support These controls are a subset of the wide range of controls that a Wireless module provides to the application.
TR-DSRSW-2309  The product SHALL provide an API that allows the application to read the Wi-Fi Wireless Interface MAC address.
TR-DSRSW-2310  The product SHALL provide an API that allows the application to enable/disable the Wi-Fi Radio.
TR-DSRSW-2313  The product shall provide an API so the application can determine Wi-Fi connection status.
TR-DSRSW-2314  The product shall provide an API for the application to initiate pairing with a wireless access point.  
TR-DSRSW-2317 Wireless Network Setup 
TR-DSRSW-2322  The product shall provide feedback to the end user indicating the Wi-Fi networks that are detected.  The feedback should include the signal strength, the SSID, and if the network is open or protected.
TR-DSRSW-2326  The product shall display success/failure feedback to the end user as a result of network entry attempts.
TR-DSRSW-2327  The product shall retain the network pairing information through power cycles.  Reboots, and Initialize messages from the headend.
TR-DSRSW-2329  The product shall be capable of providing at least four (4) SSIDs.
TR-DSRSW-2330  The product shall be capable of broadcasting all four (4) SSIDs simultaneously.
TR-DSRSW-2331  The product shall broadcast the ASCII string "ARRISDSR_[serial_number]" where [serial_number] is the serial number of the unit. 
TR-DSRSW-2333  The product shall support protected management frames via Broadcast/Multicast Integrity Protocol (BIP) per [80211w].
TR-DSRSW-2334  The product shall pass VLAN packets tagged per [8021q].
TR-DSRSW-2335  The product shall support 128 bit AES encryption.
TR-DSRSW-2336  AES shall be the default encryption.
TR-DSRSW-2337  The product shall link SSID Broadcast with WPS active when commanded enabled via TR-069.  
TR-DSRSW-2338  The product shall implement the following truth table:
	SSIDAdvertisementEnabled
WPSSSIDHiddenEnabled	T	F
T	SSID Always On	SSID On when WPS Active
F	SSID Always On	SSID Always Off
TR-DSRSW-2339  The product when operating as an AP or as a WDS extender shall include an internal registrar.  
NOTE: A registrar is a logical entity that is responsible for authenticating and issuing security credentials to wireless client devices. Support for interfacing with an external registrar is not required.
TR-DSRSW-2342 TR-069 Management Application 
TR-DSRSW-2344  The product shall provide a TR-69 management application as defined in [VAP TR69-1].
TR-DSRSW-2345  The product shall provide a TR-181 data model as defined in [TR181] 
TR-DSRSW-2346  The product shall provide a TR-0181 data model-based fault alarm system per [TR181].  
TR-DSRSW-2347  The product shall provide a TR-098 data model as defined in [TR098].  
TR-DSRSW-2348 Wi-Fi Certification Capability 
TR-DSRSW-2355  The product shall be capable of passing the Wi-Fi 802.11ac certification based on Wi-Fi Alliance Certification Standards.
TR-DSRSW-2356  The product shall be capable of passing the Wi-Fi 802.11n certification based on Wi-Fi Alliance Certification Standards.
NOTE: 802.11n certification is needed to be compatible with 802.11n devices
TR-DSRSW-2358  The product shall be capable of passing the Wi-FI Multimedia (WMM) certification based on Wi-Fi Alliance Certification Standards.
TR-DSRSW-2359  The product shall be capable of passing the Wi-Fi WPA and WPA2 network security certification based on Wi-Fi Alliance Certification Standards.
TR-DSRSW-2375  The product shall support operating in the 2.4 GHz ISM bands.
TR-DSRSW-2376  NOTE on Band Types:
https://en.wikipedia.org/wiki/U-NII:
Band				Freq.Range	Bandwidth	MaxPower	Max EIRP
U-NII Low / U-NII-1 / U-NII Indoo	5.150-5.250 G	100 MHz	50 mW		200 W
U-NII Mid / U-NII-2 / Power	5.250–5.350 G	100 MHz	250 mW	1 W
U-NII WorldWide / U-NII-2e	5.470-5.725 G	255 MHz	.		.
U-NII Upper / U-NII-3		5.725-5.825 G	100 MHz	1 W		200 W
TR-DSRSW-2395  The product shall support WPA-Personal PSK (Pre-Shared Key) authentication method.
TR-DSRSW-2396  The product SHALL operated in dual band selectable mode.</t>
  </si>
  <si>
    <t xml:space="preserve">TR-DSRSW-1754 Channel Overrides 
TR-DSRSW-1755  If the platform is in control of tuning, the product SHALL retain the permanent definition of the virtual channel (base channel) that is being overidden for a particular inband service path in order to go back to the correct channel on that inband service path when the override action is concluded. 
TR-DSRSW-1756  The product SHALL support the dynamic changes to override definitions, so that an override may itself be overridden by a new channel definition for a particular inband service path. 
TR-DSRSW-1757  The product SHALL support pending channel overrides with queue overrides that will occur at a given future time for all inband service paths. 
TR-DSRSW-1758  The product SHALL maintain an activation time queue for each individual inband service path and use this queue for channel overrides that must be activated in the future.  
TR-DSRSW-1759  A channel override for a particular inband service path must have the same VCT_ID as the system's VCT_ID.  
TR-DSRSW-1760  The product SHALL filter out channel override for a particular inband service path if the VCT_ID is different from the system's VCT_ID, and the VCT_ID of the channel override isn't zero (wildcard). 
TR-DSRSW-1761  The product SHALL accept a Channel Override Message only if the IRD is subject to the specified message preamble condition(s) for the start time in question. (Note, preamble conditions are typically one or two geographic circles).
TR-DSRSW-1762  The product SHALL support the Channel Override Message with one or more of the following preamble conditions:
	Tier Match
	Circle Test
	Region
TR-DSRSW-1763  The product SHALL only accept Channel Override Messages where the enumerated type transmission_medium indicates a "reseved10" transmission medium.
TR-DSRSW-1764  The product SHALL, in the case of contending active channel overrides with different activation times, accept Channel Override Messages with the later activation time.
TR-DSRSW-1765  The product SHALL, in the case of contending active channel overrides with the same activation time, accept the last received Channel Override Messages.
TR-DSRSW-2474 Standby Message Processing 
TR-DSRSW-2478  The product SHALL cancel the channel override if the applicable Channel Override Message contains a override_duration of zero, tuning to the definition given in the channel map. </t>
  </si>
  <si>
    <t>TR-DSRSW-1853 Closed Captions for Live Content The product SHALL comply with all FCC Closed Caption requirements as specified in 47cfr15 for CEA-608 and FCC 00-259 for CEA-708 caption information embedded in a digital TV service.
TR-DSRSW-1854  Analog (NTSC) outputs of the Set-Top are the baseband NTSC video output, the S-Video output, the RF Remod output, and the component output when configured to 480i.  Any given Set-Top model may have one or more of these outputs present.
TR-DSRSW-1855  The product SHALL reconstruct Line 21, Field 1 and Field 2, of the VBI on its NTSC Outputs if it is tuned to a Digital service where CEA-608 caption data is present in the MPEG-2 Picture User Data of the same MPEG video frame and carried in SCTE-21 syntax with cc_type equal to '00'. 
TR-DSRSW-1856  The product SHALL reconstruct Line 21, Field 1 and Field 2, of the VBI on its NTSC Outputs if it is tuned to a Digital service where CEA-608 caption data is present in the MPEG-2 Picture User Data of the same MPEG video frame and carried in SCTE-21 syntax with cc_type equal to '01'. 
TR-DSRSW-1857  The product SHALL reconstruct Line 21, Field 1 and Field 2, of the VBI on its NTSC Outputs if it is tuned to a Digital service where CEA-608 caption data is present in the MPEG-2 Picture User Data of the same MPEG video frame and carried in SCTE-20 syntax. 
TR-DSRSW-1858  The product SHALL reconstruct Line 21, Field 1 and Field 2, of the VBI on its NTSC Outputs using the CEA-608 caption data that was received in SCTE-20 syntax if it is tuned to a Digital service where CEA-608 caption data is present in the MPEG-2 Picture User Data of the same MPEG video frame and carried in both the SCTE-20 syntax and SCTE-21 syntax.
TR-DSRSW-1859  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with cc_type equal to '00' for the CEA-608 captions.
TR-DSRSW-1860  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with cc_type equal to '01' for the CEA-608 captions.
TR-DSRSW-1861  The product SHALL reconstruct Line 21, Field 1 and Field 2, of the VBI on its Component Outputs using the CEA-608 caption data that was received in SCTE-20 syntax if it is tuned to a Digital service where CEA-608 caption data is present in the MPEG-2 Picture User Data of the same MPEG video frame and carried in both the SCTE-20 syntax and SCTE-21 syntax AND it is configured for 480i.
TR-DSRSW-1862  The product SHALL reconstruct Line 21, Field 1 and Field 2, of the VBI on its Component Outputs if it is tuned to a Digital service where both CEA-608 caption data AND CEA-708 caption data are present in the MPEG-2 Picture User Data of the same MPEG video frame and carried in the SCTE-21 syntax with cc_type equal to '00' for the CEA-608 captions AND it is configured for 480i.
TR-DSRSW-1863  The product SHALL reconstruct Line 21, Field 1 and Field 2, of the VBI on its Component Outputs if it is tuned to a Digital service where both CEA-608 caption data AND CEA-708 caption data are present in the MPEG-2 Picture User Data of the same MPEG video frame and carried in the SCTE-21 syntax with cc_type equal to '01' for the CEA-608 captions AND it is configured for 480i.
TR-DSRSW-1864  The product SHALL begin rendering CEA-608 captions within three (3) seconds of a transition to a Digital service where CEA-608 caption data is present.
TR-DSRSW-1865  The product SHALL begin reconstructing Line 21, Field 1 and Field 2, of the VBI within three (3) seconds if the closed caption transport syntax transitions from SCTE-21 to SCTE-20 while tuned to a Digital service where CEA-608 caption data is present in the MPEG-2 Picture User Data of the same MPEG video frame.
TR-DSRSW-1866  The product SHALL begin rendering CEA-608 captions within three (3) seconds if the closed caption transport syntax transitions from SCTE-21 to SCTE-20 while tuned to a Digital service where CEA-608 caption data is present in the MPEG-2 Picture User Data of the same MPEG video frame.
TR-DSRSW-1867  The product SHALL begin reconstructing Line 21, Field 1 and Field 2, of the VBI within three (3) seconds if the closed caption transport syntax transitions from SCTE-20 to SCTE-21 while tuned to a Digital service where CEA-608 caption data is present in the MPEG-2 Picture User Data of the same MPEG video frame.
TR-DSRSW-1868  The product SHALL begin rendering CEA-608 captions within three (3) seconds if the closed caption transport syntax transitions from SCTE-20 to SCTE-21 while tuned to a Digital service where CEA-608 caption data is present in the MPEG-2 Picture User Data of the same MPEG video frame.
TR-DSRSW-1869  The product SHALL begin reconstructing Line 21, Field 1 and Field 2, of the VBI within (3) seconds if a Digital service is tuned where CEA-608 caption data is present in the MPEG-2 Picture User Data of the same MPEG video frame.
TR-DSRSW-1870  The product SHALL begin rendering CEA-608 captions within (3) seconds if a Digital service is tuned where CEA-608 caption data is present in the MPEG-2 Picture User Data of the same MPEG video frame.
TR-DSRSW-1871  The product SHALL begin rendering CEA-708 captions within (3) seconds if a Digital service is tuned where CEA-708 caption data is present in the MPEG-2 Picture User Data of the same MPEG video frame.
TR-DSRSW-1872  The product SHALL begin rendering CEA-708 captions within (3) seconds if the closed caption data format transitions from CEA-608 to CEA-708 while tuned to a Digital service.
TR-DSRSW-1873  The product SHALL begin reconstructing Line 21, Field 1 and Field 2, of the VBI within three (3) seconds if the closed caption data format transitions from CEA-708 to CEA-608 while tuned to a Digital service.
TR-DSRSW-1874  The product SHALL begin rendering CEA-608 captions within (3) seconds if the closed caption data format transitions from CEA-708 to CEA-608 while tuned to a Digital service.
TR-DSRSW-1875  The product SHALL disregard the '1000 000' seven-bit field of the SCTE-20 protocol when processing Closed Caption data carried in the SCTE-20 syntax.
TR-DSRSW-1876  The product SHALL render Closed Captions using the caption Font Style MONOSPACED WITH SERIFS, as defined in [CEA-708B - 1], if this font style is selected by the user.
TR-DSRSW-1877  The product SHALL render Closed Captions using the caption Font Style PROPORTIONALLY SPACED WITH SERIFS, as defined in [CEA-708B - 1], if this font style is selected by the user.
TR-DSRSW-1878  The product SHALL render Closed Captions using the caption Font Style MONOSPACED WITHOUT SERIFS, as defined in [CEA-708B - 1], if this font style is selected by the user.
TR-DSRSW-1879  The product SHALL render Closed Captions using the caption Font Style PROPORTIONALLY SPACED WITHOUT SERIFS, as defined in [CEA-708B - 1], if this font style is selected by the user.
TR-DSRSW-1880  The product SHALL render Closed Captions using the caption Font Style CASUAL, as defined in [CEA-708B - 1], if this font style is selected by the user.
TR-DSRSW-1881  The product SHALL render Closed Captions using the caption Font Style CURSIVE, as defined in [CEA-708B - 1], if this font style is selected by the user.
TR-DSRSW-1882  The product SHALL render Closed Captions using the caption Font Style SMALL CAPITALS, as defined in [CEA-708B - 1], if this font style is selected by the user.
TR-DSRSW-1883  The product SHALL render Closed Captions using the caption Font Style selected by the caption provider if the user setting for the caption Font Style is AUTO.
TR-DSRSW-1884  The product SHALL render Closed Captions using the caption Font Size STANDARD, as defined in [CEA-708B - 1], if this font size is selected by the user.
TR-DSRSW-1885  The product SHALL render Closed Captions using the caption Font Size SMALL, as defined in [CEA-708B - 1], if this font size is selected by the user.
TR-DSRSW-1886  The product SHALL render Closed Captions using the caption Font Size LARGE, as defined in [CEA-708B - 1], if this font size is selected by the user.
TR-DSRSW-1887  The product SHALL set the caption Font Size to AUTO by default.
TR-DSRSW-1888  The product SHALL render Closed Captions using the caption Font Size selected by the caption provider if the user setting for the caption Font Size is AUTO.
TR-DSRSW-1889  The product SHALL render Closed Captions using the caption Font Color WHITE, as defined in [CEA-708B - 1], if this font color is selected by the user.
TR-DSRSW-1890  The product SHALL render Closed Captions using the caption Font Color BLACK, as defined in [CEA-708B - 1], if this font color is selected by the user.
TR-DSRSW-1891  The product SHALL render Closed Captions using the caption Font Color RED, as defined in [CEA-708B - 1], if this font color is selected by the user.
TR-DSRSW-1892  The product SHALL render Closed Captions using the caption Font Color GREEN, as defined in [CEA-708B - 1], if this font color is selected by the user.
TR-DSRSW-1893  The product SHALL render Closed Captions using the caption Font Color BLUE, as defined in [CEA-708B - 1], if this font color is selected by the user.
TR-DSRSW-1894  The product SHALL render Closed Captions using the caption Font Color YELLOW, as defined in [CEA-708B - 1], if this font color is selected by the user.
TR-DSRSW-1895  The product SHALL render Closed Captions using the caption Font Color MAGENTA, as defined in [CEA-708B - 1], if this font color is selected by the user.
TR-DSRSW-1896  The product SHALL render Closed Captions using the caption Font Color CYAN, as defined in [CEA-708B - 1], if this font color is selected by the user.
TR-DSRSW-1897  The product SHALL set the caption Font Color to AUTO by default.
TR-DSRSW-1898  The product SHALL render Closed Captions using the caption Font Color selected by the caption provider if the user setting for the caption Font Color is AUTO.
TR-DSRSW-1899  The product SHALL render Closed Captions using the caption Character Opacity TRANSPARENT, as defined in [CEA-708B - 1], if this character opacity is selected by the user.
TR-DSRSW-1900  The product SHALL render Closed Captions using the caption Character Opacity TRANSLUCENT, as defined in [CEA-708B - 1], if this character opacity is selected by the user.
TR-DSRSW-1901  The product SHALL render Closed Captions using the caption Character Opacity SOLID, as defined in [CEA-708B - 1], if this character opacity is selected by the user.
TR-DSRSW-1902  The product SHALL render Closed Captions using the caption Character Opacity FLASHING, as defined in [CEA-708B - 1], if this character opacity is selected by the user.
TR-DSRSW-1903  The product SHALL set the caption Character Opacity to AUTO by default.
TR-DSRSW-1904  The product SHALL render Closed Captions using the caption Character Opacity selected by the caption provider if the user setting for the caption Character Opacity is AUTO.
TR-DSRSW-1905  The product SHALL render Closed Captions using the caption Background Color WHITE, as defined in [CEA-708B - 1], if this background color is selected by the user.
TR-DSRSW-1906  The product SHALL render Closed Captions using the caption Background Color BLACK, as defined in [CEA-708B - 1], if this background color is selected by the user.
TR-DSRSW-1907  The product SHALL render Closed Captions using the caption Background Color RED, as defined in [CEA-708B - 1], if this background color is selected by the user.
TR-DSRSW-1908  The product SHALL render Closed Captions using the caption Background Color GREEN, as defined in [CEA-708B - 1], if this background color is selected by the user.
TR-DSRSW-1909  The product SHALL render Closed Captions using the caption Background Color BLUE, as defined in [CEA-708B - 1], if this background color is selected by the user.
TR-DSRSW-1910  The product SHALL render Closed Captions using the caption Background Color YELLOW, as defined in [CEA-708B - 1], if this background color is selected by the user.
TR-DSRSW-1911  The product SHALL render Closed Captions using the caption Background Color MAGENTA, as defined in [CEA-708B - 1], if this background color is selected by the user.
TR-DSRSW-1912  The product SHALL render Closed Captions using the caption Background Color CYAN, as defined in [CEA-708B - 1], if this background color is selected by the user.
TR-DSRSW-1913  The product SHALL set the caption Background Color to AUTO by default.
TR-DSRSW-1914  The product SHALL render Closed Captions using the caption Background Color selected by the caption provider if the user setting for the caption Background Color is AUTO.
TR-DSRSW-1915  The product SHALL render Closed Captions using the caption Background Opacity TRANSPARENT, as defined in [CEA-708B - 1], if this background opacity is selected by the user.
TR-DSRSW-1916  The product SHALL render Closed Captions using the caption Background Opacity TRANSLUCENT, as defined in [CEA-708B - 1], if this background opacity is selected by the user.
TR-DSRSW-1917  The product SHALL render Closed Captions using the caption Background Opacity SOLID, as defined in [CEA-708B - 1], if this background opacity is selected by the user.
TR-DSRSW-1918  The product SHALL render Closed Captions using the caption Background Opacity FLASHING, as defined in [CEA-708B - 1], if this background opacity is selected by the user.
TR-DSRSW-1919  The product SHALL set the caption Background Opacity to AUTO by default.
TR-DSRSW-1920  The product SHALL render Closed Captions using the caption Background Opacity selected by the caption provider if the user setting for the caption Background Opacity is AUTO.
TR-DSRSW-1921  The product SHALL disable the rendering of closed captions if the user has selected to disable captions.
TR-DSRSW-1922  The product SHALL render CEA-608 closed captions on its NTSC outputs if it is tuned to a digital service where only CEA-608 caption data is present (CEA-708 data is not present) in the MPEG-2 Picture User Data of the same MPEG video frame and carried in SCTE-21 syntax with cc_type equal to '00' AND the user has selected to enable captions.
TR-DSRSW-1923  The product SHALL render CEA-608 closed captions on its Component outputs if it is tuned to a digital service where only CEA-608 caption data is present (CEA-708 data is not present) in the MPEG-2 Picture User Data of the same MPEG video frame and carried in SCTE-21 syntax with cc_type equal to '00' AND the user has selected to enable captions.
TR-DSRSW-1924  The product SHALL render CEA-608 closed captions on the HDMI output if it is tuned to a digital service where only CEA-608 caption data is present (CEA-708 data is not present) in the MPEG-2 Picture User Data of the same MPEG video frame and carried in SCTE-21 syntax with cc_type equal to '00' AND the user has selected to enable captions.
TR-DSRSW-1925  The product SHALL render CEA-608 closed captions on its NTSC outputs if it is tuned to a digital service where only CEA-608 caption data is present (CEA-708 data is not present) in the MPEG-2 Picture User Data of the same MPEG video frame and carried in SCTE-21 syntax with cc_type equal to '01' AND the user has selected to enable captions.
TR-DSRSW-1926  The product SHALL render CEA-608 closed captions on its Component outputs if it is tuned to a digital service where only CEA-608 caption data is present (CEA-708 data is not present) in the MPEG-2 Picture User Data of the same MPEG video frame and carried in SCTE-21 syntax with cc_type equal to '01' AND the user has selected to enable captions.
TR-DSRSW-1927  The product SHALL render CEA-608 closed captions onthe HDMI output if it is tuned to a digital service where only CEA-608 caption data is present (CEA-708 data is not present) in the MPEG-2 Picture User Data of the same MPEG video frame and carried in SCTE-21 syntax with cc_type equal to '01' AND the user has selected to enable captions.
TR-DSRSW-1928  The product SHALL render CEA-608 closed captions on its NTSC outputs if it is tuned to a digital service where only CEA-608 caption data is present (CEA-708 data is not present) in the MPEG-2 Picture User Data of the same MPEG video frame and carried in SCTE-20 syntax AND the user has selected to enable captions.
TR-DSRSW-1929  The product SHALL render CEA-608 closed captions on its Component outputs if it is tuned to a digital service where only CEA-608 caption data is present (CEA-708 data is not present) in the MPEG-2 Picture User Data of the same MPEG video frame and carried in SCTE-20 syntax AND the user has selected to enable captions.
TR-DSRSW-1930  The product SHALL render CEA-608 closed captions on the HDMI output if it is tuned to a digital service where only CEA-608 caption data is present (CEA-708 data is not present) in the MPEG-2 Picture User Data of the same MPEG video frame and carried in SCTE-20 syntax AND the user has selected to enable captions.
TR-DSRSW-1931  The product SHALL render the CEA-608 caption data that was received in SCTE-20 syntax on its NTSC outputs if it is tuned to a digital service where only CEA-608 caption data is present (CEA-708 data is not present) in the MPEG-2 Picture User Data of the same MPEG video frame and carried in both SCTE-20 syntax and SCTE-21 syntax AND the user has selected to enable captions.
TR-DSRSW-1932  The product SHALL render the CEA-608 caption data that was received in SCTE-20 syntax on its Component outputs if it is tuned to a digital service where only CEA-608 caption data is present (CEA-708 data is not present) in the MPEG-2 Picture User Data of the same MPEG video frame and carried in both SCTE-20 syntax and SCTE-21 syntax AND the user has selected to enable captions.
TR-DSRSW-1933  The product SHALL render the CEA-608 caption data that was received in SCTE-20 syntax on the HDMI output if it is tuned to a digital service where only CEA-608 caption data is present (CEA-708 data is not present) in the MPEG-2 Picture User Data of the same MPEG video frame and carried in both SCTE-20 syntax and SCTE-21 syntax AND the user has selected to enable captions.
TR-DSRSW-1934  The product SHALL render CEA-708 captions on its NTSC outputs if it is tuned to a digital service where CEA-708 caption data is present  in the MPEG-2 Picture User Data of the same MPEG video frame and carried in SCTE-21 syntax with cc_type equal to '10' AND the user has selected to enable captions.
TR-DSRSW-1935  The product SHALL render CEA-708 captions on its Component outputs if it is tuned to a digital service where CEA-708 caption data is present in the MPEG-2 Picture User Data of the same MPEG video frame and carried in SCTE-21 syntax with cc_type equal to '10' AND the user has selected to enable captions.
TR-DSRSW-1936  The product SHALL render CEA-708 captions on the HDMI output if it is tuned to a digital service where CEA-708 caption data is present in the MPEG-2 Picture User Data of the same MPEG video frame and carried in SCTE-21 syntax with cc_type equal to '10' AND the user has selected to enable captions.
TR-DSRSW-1937  The product SHALL render CEA-708 captions on its NTSC outputs if it is tuned to a digital service where CEA-708 caption data is present in the MPEG-2 Picture User Data of the same MPEG video frame and carried in SCTE-21 syntax with cc_type equal to '11' AND the user has selected to enable captions.
TR-DSRSW-1938  The product SHALL render CEA-708 captions on its Component outputs if it is tuned to a digital service where CEA-708 caption data is present in the MPEG-2 Picture User Data of the same MPEG video frame and carried in SCTE-21 syntax with cc_type equal to '11' AND the user has selected to enable captions.
TR-DSRSW-1939  The product SHALL render CEA-708 captions on the HDMI output if it is tuned to a digital service where CEA-708 caption data is present in the MPEG-2 Picture User Data of the same MPEG video frame and carried in SCTE-21 syntax with cc_type equal to '11' AND the user has selected to enable captions.
TR-DSRSW-1940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TR-DSRSW-1941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TR-DSRSW-1942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TR-DSRSW-1943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TR-DSRSW-1944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TR-DSRSW-1945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TR-DSRSW-1946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TR-DSRSW-1947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TR-DSRSW-1948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TR-DSRSW-1949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TR-DSRSW-1950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TR-DSRSW-1951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TR-DSRSW-1952 Closed Captions for Stored Content The product SHALL comply with all FCC Closed Caption requirements as specified in 47cfr15 for CEA-608 and FCC 00-259 for CEA-708 caption information embedded in stored content.</t>
  </si>
  <si>
    <t>TR-DSRSW-1749 Service Acquisition 
TR-DSRSW-1750  The product SHALL return an error and take no further action (i.e. any existing services that would have been replaced are not affected by the failed acquisition attempt) if any parameter provided by a client to acquire a service is invalid.  
TR-DSRSW-1751  The product SHALL allow the user to select normal, non-hidden services with virtual channel numbers in the range of 1 to 999 decimal. 
TR-DSRSW-1752  The product SHALL acquire services with virtual channel numbers in the range of 1 to 4095 decimal. 
TR-DSRSW-1753  The product SHALL support audio services regardless of whether a video component is present. (tags: audio only, music channel )
TR-DSRSW-1766 A/V Component Selection 
TR-DSRSW-1767  When an A/V service is acquired, and the client indicates that default components should be selected, the product SHALL select the audio component that corresponds to the preferred language if the preferred language has been configured and there is an audio component that matches the preferred language. 
TR-DSRSW-1768  The product SHALL select the first audio component listed in the PMT if there is no audio component that matches the preferred language.
TR-DSRSW-1769  The product SHALL automatically update selection of A/V component streams when the settop's language configuration changes. 
TR-DSRSW-1770 Virtual Channel (VCT) 
TR-DSRSW-1771  The product SHALL only accept Virtual Channel Table (VCT)  Messages where the enumerated type transmission_medium indicates a "reseved10" transmission medium.
TR-DSRSW-1772  The product SHALL maintain the Virtual Channel Table (VCT) in non-volatile memory. 
TR-DSRSW-1773 ROM Resident VCT 
TR-DSRSW-1774  The product SHALL use the ROM resident VCT containing the Satellite Virtual Channels until updated by valid VCT messages.
TR-DSRSW-1775  The product SHALL contain a ROM based default virtual channel map with VCT ID 0x1100 (decimal 4352). 
TR-DSRSW-1776  The product SHALL default to the ROM based virtual channel map after a Factory Reset. 
TR-DSRSW-1777  The product SHALL contain a default ROM resident VCT as defined in the table below.
Ch	Ton	Pol	Freq	CR	Sym	Medium	Serv	Mode	
200	Off	V/R	1147.75	3/4	19.51	QPSK	0x0002	Combined	
201	Off	H/L	970	3/4	19.51	QPSK	0x00FF	Combined	
202	Off	V/R	1010	7/8	29.27	QPSK	0x0005	Split	
203	Off	H/L	1010	3/4	19.51	QPSK	0x00FF	Combined	
204	Off	V/R	964.75	3/4	19.51	QPSK	0x00FF	Combined	
205	Off	H/L	1050	3/4	19.51	QPSK	0x00FF	Combined	
206	Off	V/R	1070	3/4	19.51	QPSK	0x00FF	Combined	
207	Off	H/L	1090	3/4	19.51	QPSK	0x00FF	Combined	
208	Off	V/R	1070	3/4	19.51	QPSK	0x00FF	Combined	
209	Off	H/L	1130	3/4	19.51	QPSK	0x00FF	Combined	
210	Off	H/L	1147.75	3/4	19.51	QPSK	0x00FF	Combined	
211	Off	H/L	1147.75	3/4	19.51	QPSK	0x00FF	Combined	
212	Off	V/R	1190	3/4	19.51	QPSK	0x00FF	Combined	
213	Off	H/L	1210	3/4	19.51	QPSK	0x00FF	Combined	
214	Off	V/R	1230	3/4	19.51	QPSK	0x00FF	Combined	
215	Off	H/L	1250	3/4	19.51	QPSK	0x00FF	Combined	
216	Off	V/R	1270	3/4	19.51	QPSK	0x00FF	Combined	
217	Off	H/L	1290	3/4	19.51	QPSK	0x00FF	Combined	
218	Off	V/R	1310	3/4	19.51	QPSK	0x00FF	Combined	
222	Off	V/R	1390	3/4	19.51	QPSK	0x00FF	Combined	
223	Off	H/L	1410	3/4	19.51	QPSK	0x00FF	Combined	
224	Off	V/R	1430	3/4	19.51	QPSK	0x00FF	Combined	
231	Off	V/R	1230	3/4	19.51	QPSK	0x00FF	Combined	
232	Off	H/L	1250	3/4	19.51	QPSK	0x00FF	Combined	
233	Off	V/R	1270	3/4	19.51	QPSK	0x00FF	Combined	
234	Off	H/L	1290	3/4	19.51	QPSK	0x00FF	Combined	
250	Off	V/R	1825	3/4	19.51	QPSK	0x00FF	Combined	
251	Off	V/R	1370	7/8	14.63	QPSK	0x00FF	Combined	
252	Off	V/R	1825	3/4	19.51	QPSK	0x00FF	Combined	
253	Off	V/R	1130	3/4	4.88	QPSK	0x00FF	Combined	
254	Off	V/R	1170	3/4	19.51	QPSK	0x00FF	Combined	
255	Off	H/L	1556	1/2	29.27	QPSK	0x00FF	Combined	
256	Off	H/L	1123.5	3/4	19.51	QPSK	0x00FF	Combined	
257	Off	H/L	1147.75	3/4	19.51	QPSK	0x00FF	Combined	
258	Off	V/R	1310	3/4	19.51	QPSK	0x00FF	Combined	
259	Off	H/L	1278.5	3/4	19.51	QPSK	0x00FF	Combined	
260	Off	V/R	1427	3/4	19.51	QPSK	0x00FF	Combined	
281	Off	V/R	964.75	3/4	19.51	QPSK	0x00FF	Combined	
282	Off	V/R	1010	7/8	29.27	QPSK	0x00FF	Split	
283	Off	V/R	1070	3/4	19.51	QPSK	0x00FF	Combined	
284	Off	V/R	1054	3/4	19.51	QPSK	0x00FF	Combined	
285	Off	V/R	1089	3/4	19.51	QPSK	0x00FF	Combined	
286	Off	V/R	995.25	3/4	19.51	QPSK	0x00FF	Combined	
287	Off	V/R	1150	3/4	19.51	QPSK	0x00FF	Combined	
288	Off	V/R	964.75	3/4	19.51	QPSK	0x00FF	Combined	
289	Off	V/R	1391.75	3/4	19.51	QPSK	0x00FF	Combined	
290	Off	V/R	1237	3/4	19.51	QPSK	0x00FF	Combined	
291	Off	H/L	1374.25	3/4	19.51	QPSK	0x00FF	Combined	
292	Off	H/L	1311	3/4	19.51	QPSK	0x00FF	Combined	
293	Off	V/R	1117.25	3/4	19.51	QPSK	0x00FF	Combined	
299	Off	V/R	995.25	3/4	19.51	QPSK	0x00FF	Combined	
350	On	V/R	1422.25	3/4	19.51	QPSK	0x00FF	Combined	
402	Off	V/R	995.25	3/4	19.51	QPSK	0x00FF	Combined	
501	Off	V/R	1170	3/4	19.51	QPSK	0x00FF	Combined	
503	Off	V/R	1170	3/4	19.51	QPSK	0x00FF	Combined	
509	Off	V/R	1170	3/4	19.51	QPSK	0x00FF	Combined	
700	On	H/L	1313.25	3/4	19.51	QPSK	0x00FF	Combined	
703	Off	V/R	1310	3/4	19.51	QPSK	0x00FF	Combined	
705	Off	V/R	1310	3/4	19.51	QPSK	0x00FF	Combined	
900	Off	V/R	1370	7/8	14.63	8-PSK	0x00FF		
904	Off	V/R	1430	2/3 1.92	20.00	8-PSK	0x00FF		
905	On	V/R	1430	2/3 1.92	20.00	8-PSK	0x00FF		
906	Off	H/L	1430	3/4 2.11	21.50	8-PSK	0x00FF		
907	On	H/L	1430	3/4 2.11	21.50	8-PSK	0x00FF		
908	Off	H/L	970	2/3 1.92	20.00	8-PSK	0x00FF		
916	Off	H/L	1556	1/2	29.27	QPSK	0x0014	Combined	
921	Off	H/L	990	1/2	29.27	QPSK	0x0015	Combined	
922	Off	H/L	990	1/2	29.27	QPSK	0x0016	Combined	
926	Off	H/L	990	1/2	29.27	QPSK	0x001A	Combined	
927	Off	H/L	990	1/2	29.27	QPSK	0x001B	Combined	
928	Off	H/L	990	1/2	29.27	QPSK	0x001C	Combined	
929	Off	H/L	1470	3/4	19.51	QPSK	0x001E	Combined	
930	Off	V/R	2130	3/4	19.51	QPSK	0x000D	Combined	
931	Off	H/L	970	1/2	29.27	QPSK	0x0014	Combined	
932	Off	H/L	1540	3/4	19.51	QPSK	0x000D	Combined	
933	Off	V/R	1540	1/2	29.27	QPSK	0x0014	Combined	
934	Off	V/R	2140	3/4	19.51	QPSK	0x0010	Combined	
935	Off	H/L	2140	1/2	29.27	QPSK	0x0017	Combined	
943	Off	H/L	990	3/4	19.51	QPSK	0x000A	Combined	
944	Off	H/L	990	3/4	19.51	QPSK	0x000B	Combined	
945	Off	H/L	990	3/4	19.51	QPSK	0x000C	Combined	
946	Off	H/L	990	3/4	19.51	QPSK	0x000D	Combined	
947	Off	H/L	990	3/4	19.51	QPSK	0x000E	Combined	
948	Off	H/L	990	3/4	19.51	QPSK	0x000F	Combined	
954	Off	V/R	1310	3/4	19.51	QPSK	0x0001	Combined	
955	Off	V/R	1310	3/4	19.51	QPSK	0x0002	Combined	
956	Off	V/R	1310	3/4	19.51	QPSK	0x0003	Combined	
957	Off	V/R	1310	3/4	19.51	QPSK	0x0004	Combined	
958	Off	V/R	1310	3/4	19.51	QPSK	0x0005	Combined	
962	Off	H/L	1010	1/2	29.27	QPSK	0x0002	Combined	
963	Off	V/R	1310	3/4	19.51	QPSK	0x000A	Combined	
964	Off	V/R	1310	3/4	19.51	QPSK	0x000B	Combined	
965	Off	V/R	1310	3/4	19.51	QPSK	0x000C	Combined	
966	Off	V/R	1310	3/4	19.51	QPSK	0x000D	Combined	
967	Off	V/R	1310	3/4	19.51	QPSK	0x000E	Combined	
968	Off	V/R	2130	3/4	19.51	QPSK	0x000F	Combined	
969	Off	H/L	1430	1/2	29.27	QPSK	0x0014	Combined	
970	Off	H/L	1430	1/2	29.27	QPSK	0x0015	Combined	
971	Off	H/L	1430	1/2	29.27	QPSK	0x0016	Combined	
972	Off	H/L	1430	1/2	29.27	QPSK	0x0001	Combined	
976	Off	H/L	1430	1/2	29.27	QPSK	0x0017	Combined	
977	Off	H/L	1430	1/2	29.27	QPSK	0x0018	Combined	
978	Off	H/L	1430	1/2	29.27	QPSK	0x0019	Combined	
979	Off	H/L	1430	1/2	29.27	QPSK	0x0001	Combined	
980	Off	H/L	970	1/2	29.27	QPSK	0x001A	Combined	
981	Off	H/L	1430	1/2	29.27	QPSK	0x001B	Combined	
982	Off	H/L	1430	1/2	29.27	QPSK	0x001C	Combined	
985	Off	V/R	1310	3/4	19.51	QPSK	0x0010	Combined	
986	Off	V/R	1310	3/4	19.51	QPSK	0x0011	Combined	
987	Off	V/R	1310	3/4	19.51	QPSK	0x0012	Combined	
988	Off	V/R	1310	3/4	19.51	QPSK	0x0013	Combined	
990	Off	H/L	1070	1/2	29.27	QPSK	0x0001	Combined	d
TR-DSRSW-1778 Network Information (NIT) 
TR-DSRSW-1779  The product SHALL only accept Network Information (NIT) Messages where the enumerated type transmission_medium indicates a "reseved10" transmission medium.
TR-DSRSW-1780  The product SHALL process the Satellite Information Table (SIT) associated with the current Virtual Channel Table's (VCT) lowest channel number.
TR-DSRSW-1781  The product SHALL maintain the Satellite Information Table (SIT) tuning data in non-volatile memory. 
TR-DSRSW-1782  The product SHALL maintain the Transponder Data Table (TDT) tuning data in non-volatile memory. 
TR-DSRSW-1783  The product SHALL maintain the Modulation Mode Table (MMT) tuning data in non-volatile memory. 
TR-DSRSW-1784  The product SHALL maintain the Carrier Definition Table (CDT) tuning data in non-volatile memory. 
TR-DSRSW-1785 Program Association (PAT) 
TR-DSRSW-1786  If an active A/V service is modified in the PAT, the product SHALL reacquire the service and notify the application client. 
TR-DSRSW-1787 Program Map (PMT) 
TR-DSRSW-1788  If the PCR PID in the PMT changes for an A/V service, the product SHALL reacquire the A/V service. 
TR-DSRSW-1789 Program Information Message 
TR-DSRSW-1791  The product SHALL notify the application of any ratings contained in the Program Information messages of associated services.
TR-DSRSW-1792 Flexible Services 
TR-DSRSW-1793  Flexible services are multiple services constructed from various combinations of service components {e.g. video, audio, data, etc.} originating from the same television service processor within the DCII encoder.
Within the confines of the MPEG-2 definition, it is permissible to define services that share streams with other services.  For example, services 0x0012 and 0x0013 may be defined with a video component in common:
  [Service 0x0012:    Video PID =     0x1012 
            Audio PID 1 = 0x0212 
            Audio PID 2 = 0x0213 ]
  [Service 0x0013:    Video PID = 0x1012 
            Audio PID 1 = 0x0214 ]
The PMT PID contains one PMT for each flexible service, but only one (Program Information Message) PIM and one (Program Name Message) PNM for all of the services.  Thus, to conserve bandwidth, the PIM and PNM use a wildcard service number.
TR-DSRSW-1801  The product SHALL process Program Information messages if the service number is 0x0000 ("wildcard service number"). 
TR-DSRSW-1811 Service Acquisition Performance 
TR-DSRSW-1815 Services on Different Transponders 
TR-DSRSW-2194 Channel Selection 
TR-DSRSW-2476  The product SHALL, while in standby mode, continue to support DCII Network Message processing.
TR-DSRSW-2477  The product SHALL, while in standby mode, continue to support DCII Service Control Channel message processing.</t>
  </si>
  <si>
    <t>11.1.2 EMM Stream Search</t>
  </si>
  <si>
    <t>11.1.3 CA Processing</t>
  </si>
  <si>
    <t>11.1.4 Regional, Circular, and Spotbeam Blackouts</t>
  </si>
  <si>
    <t>21.3.11 Standby Message Processing</t>
  </si>
  <si>
    <t>Previous Version (x1)</t>
  </si>
  <si>
    <t>See Acronyms tab</t>
  </si>
  <si>
    <t>See Docs tab.</t>
  </si>
  <si>
    <t>Added</t>
  </si>
  <si>
    <t>TR-DSRSW-1615</t>
  </si>
  <si>
    <t>14.3.4.0-10</t>
  </si>
  <si>
    <t>The product SHALL mute audio corresponding to video in DVR trick play.</t>
  </si>
  <si>
    <t>TR-0-LDVRTRK-FPR-1025</t>
  </si>
  <si>
    <t>The product SHALL provide an “append API” that allows the application to append progam streams.</t>
  </si>
  <si>
    <t>TR-DSRSW-2484</t>
  </si>
  <si>
    <t>The product SHALL support appending DVR AV program files that occur due to a channel override.</t>
  </si>
  <si>
    <t>TR-DSRSW-2485</t>
  </si>
  <si>
    <t>The product SHALL support appending DVR AV program files that occur due to a power loss.</t>
  </si>
  <si>
    <t>14.4.2.0-6</t>
  </si>
  <si>
    <t>The product SHALL provide an append API that allows the appended files to be any of the supported audio and video formats.</t>
  </si>
  <si>
    <t>14.4.2.0-7</t>
  </si>
  <si>
    <t>The product SHALL provide an append API that allows the appended files to be different audio formats or video formats.</t>
  </si>
  <si>
    <t xml:space="preserve">TR-DSRSW-1824  The product SHALL support MPEG-2 (MP@HL) video decode.
TR-DSRSW-2200  The product SHALL have a flexible video decoder that is capable of decoding compliant MPEG-2 digital video streams encoded using Main Profile and up to High Level (MP@HL) as per [ISO 13818-2] including full resolution with B-frames.  (MP@HL = 1080i30)
TR-DSRSW-2201 MPEG-2 Video Decode </t>
  </si>
  <si>
    <t>Previous Ver (x1)</t>
  </si>
  <si>
    <t>The product SHALL support MPEG-2 (MP@HL) video decode.
(MP@HL = 1080i)</t>
  </si>
  <si>
    <t>The product SHALL have a flexible video decoder that is capable of decoding compliant MPEG-2 digital video streams encoded using Main Profile and up to High Level (MP@HL) as per [ISO 13818-2].  (MP@HL = 1080i)</t>
  </si>
  <si>
    <t>Cosmetic</t>
  </si>
  <si>
    <t>02/14/2017
PFS - Added VCO cancel requirement. (Section 21.3.10)
PFS - Modified Background download requirements to reflect implementation. (Section 8.4)</t>
  </si>
  <si>
    <t>x.2 iteration 1</t>
  </si>
  <si>
    <t>x.2 iteration 2</t>
  </si>
  <si>
    <t>Note: Sort by Type "Com" to see headings (similar to a table of contents).
Note: Filter Status column to see changes.  e.g., uncheck "Approved".</t>
  </si>
  <si>
    <t>03/01/2017
PMR - Corrected MPEG-2 MP@HL highest rate to be 1080i (PMR Section 22)
PFS - Corrected MPEG-2 MP@HL highest rate to be 1080i (PFS Section 22.1)
PFS - Deleted all references to Component Video (not supported) (PFS Section 25) 
PFS - Added Apend requirements back to this release (PFS Section 14.4.2)</t>
  </si>
  <si>
    <t>Hdr</t>
  </si>
  <si>
    <t>Guide Stream Support</t>
  </si>
  <si>
    <t>TR-DSRSW-2487</t>
  </si>
  <si>
    <t>The requirements below are for support of alternate guide data trickle streams.</t>
  </si>
  <si>
    <t>7.2.2.2.0-2</t>
  </si>
  <si>
    <t>EAS</t>
  </si>
  <si>
    <t>Code Download and Initiation</t>
  </si>
  <si>
    <t xml:space="preserve">The following requirements define when to initiate a code download process for DSRs, given the correct parameters are met in Download Preamble message as described in the DCII MSP [DCII MSP-1] </t>
  </si>
  <si>
    <t>TR-DSRSW-2488</t>
  </si>
  <si>
    <t>8.4.0-1</t>
  </si>
  <si>
    <t>Remote Control Reset Sequence</t>
  </si>
  <si>
    <t>Maximum Boot Time</t>
  </si>
  <si>
    <t>Split</t>
  </si>
  <si>
    <t>TR-DSRSW-2513</t>
  </si>
  <si>
    <t>14.4.4</t>
  </si>
  <si>
    <t>DVR DST and Time Zone Adjustments</t>
  </si>
  <si>
    <t>TR-DSRSW-2514</t>
  </si>
  <si>
    <t>14.4.4.0-1</t>
  </si>
  <si>
    <t xml:space="preserve">The product SHALL record guide recordings at the proper UTC time as given by the application, through DST transitions or time zone adjustments.  </t>
  </si>
  <si>
    <t>TR-DSRSW-2515</t>
  </si>
  <si>
    <t>14.4.4.0-2</t>
  </si>
  <si>
    <t>The product SHALL record manual recordings at the proper local time as given by the application, through DST transitions and time zone adjustments.  (e.g., in local time, if a 03:00 to 04:00 manual recording is set up for every night prior to a DST transition, then a 03:00 to 04:00 manual recording will be set up for every night after a DST transition).</t>
  </si>
  <si>
    <t>TR-DSRSW-2499</t>
  </si>
  <si>
    <t>DCII System Time</t>
  </si>
  <si>
    <t>TR-DSRSW-2500</t>
  </si>
  <si>
    <t>The product SHALL synchronize system time to GPS time, including the GPS_UTC_offset (in seconds), as given in the DCII System Time message.</t>
  </si>
  <si>
    <t>TR-DSRSW-2501</t>
  </si>
  <si>
    <t>The product SHALL adjust local time by the time_zone offset (in minutes) given in the unit_information_message.   
(Note: 
The time zone is given in the DCII Unit Information message as the number of minutes between the product's local time and UTC time.)</t>
  </si>
  <si>
    <t>TR-DSRSW-2503</t>
  </si>
  <si>
    <t>The product SHALL add one hour to local time when in daylight savings time as given in the unit_information_message
    daylight_savings_enable flag, 
    daylight_savings_entry_time, and 
    daylight_savings_exit_time.
(Note: 
The software engineer and system test engineer should be aware that there are six possible positions for current time with respect to UIM DST entry and exit times:
    current_time &lt; DST_Entry &lt; DST_Exit == standard_time
    DST_Entry &lt; current_time &lt; DST_Exit == daylight_savings_time
    DST_Entry &lt; DST_Exit &lt; current_time == standard_time
    current_time &lt; DST_Exit &lt; DST_Entry == daylight_savings_time 
    DST_Exit &lt; current_time &lt; DST_Entry == standard_time 
    DST_Exit &lt; DST_Entry &lt; current_time == daylight_savings_time 
)</t>
  </si>
  <si>
    <t>15.2.0-1</t>
  </si>
  <si>
    <t>15.2.0-2</t>
  </si>
  <si>
    <t>15.2.0-3</t>
  </si>
  <si>
    <t>Variant Playlists</t>
  </si>
  <si>
    <t>(Context: Variant Playlists - A server may offer multiple Playlist files to provide different encodings of the same presentation.  In such a case, a variant Playlist file that lists each variant stream to allow the client (product) to switch between encodings dynamically, is offered.)</t>
  </si>
  <si>
    <t>TR-DSRSW-2489</t>
  </si>
  <si>
    <t>16.3.0-4</t>
  </si>
  <si>
    <t>The following requirements are associated with the behavior of this feature (http based delivery of internet media content) with relationship to closed captions.</t>
  </si>
  <si>
    <t>TR-DSRSW-2490</t>
  </si>
  <si>
    <t>16.5.0-2</t>
  </si>
  <si>
    <t>These controls are a subset of the wide range of controls that a Wireless module provides to the application.</t>
  </si>
  <si>
    <t>TR-DSRSW-2491</t>
  </si>
  <si>
    <t>17.8.0-5</t>
  </si>
  <si>
    <t>LNB CSS (Channel Stacking Switch)</t>
  </si>
  <si>
    <t>TR-DSRSW-2497</t>
  </si>
  <si>
    <t>20.1.0-1</t>
  </si>
  <si>
    <t>The requirements in this section are for a Channel Stacking Switch (CSS) installation.</t>
  </si>
  <si>
    <t>LNB Type API</t>
  </si>
  <si>
    <t>TR-DSRSW-2498</t>
  </si>
  <si>
    <t>The requirements below allow the product to report the satellite LNB type to the client application.</t>
  </si>
  <si>
    <t>20.2.0-2</t>
  </si>
  <si>
    <t>TR-DSRSW-2506</t>
  </si>
  <si>
    <t>Video Format Conversion</t>
  </si>
  <si>
    <t>TR-DSRSW-2507</t>
  </si>
  <si>
    <t>26.1.1.0-1</t>
  </si>
  <si>
    <t xml:space="preserve">The product SHALL be capable of converting any video format supported by the decoder to the 480i format/resolution on the HDMI output. </t>
  </si>
  <si>
    <t>TR-DSRSW-2508</t>
  </si>
  <si>
    <t>26.1.1.0-2</t>
  </si>
  <si>
    <t xml:space="preserve">The product SHALL be capable of converting any video format supported by the decoder to the 480p format/resolution on the HDMI output. </t>
  </si>
  <si>
    <t>TR-DSRSW-2509</t>
  </si>
  <si>
    <t>26.1.1.0-3</t>
  </si>
  <si>
    <t xml:space="preserve">The product SHALL be capable of converting any video format supported by the decoder to the 720p format/resolution on the HDMI output. </t>
  </si>
  <si>
    <t>TR-DSRSW-2510</t>
  </si>
  <si>
    <t>26.1.1.0-4</t>
  </si>
  <si>
    <t xml:space="preserve">The product SHALL be capable of converting any video format supported by the decoder to the 1080i format/resolution on the HDMI output. </t>
  </si>
  <si>
    <t>TR-DSRSW-2511</t>
  </si>
  <si>
    <t>26.1.1.0-5</t>
  </si>
  <si>
    <t>The product SHALL be capable of converting any video format supported by the decoder to the 1080p 60fps format/resolution on the HDMI output.</t>
  </si>
  <si>
    <t>26.1.3</t>
  </si>
  <si>
    <t>26.1.3-1</t>
  </si>
  <si>
    <t>26.1.3-2</t>
  </si>
  <si>
    <t>26.1.3-3</t>
  </si>
  <si>
    <t>26.1.3-4</t>
  </si>
  <si>
    <t>26.1.3-5</t>
  </si>
  <si>
    <t>26.1.3-6</t>
  </si>
  <si>
    <t>26.1.3-7</t>
  </si>
  <si>
    <t>4:3 Source Stretch UI</t>
  </si>
  <si>
    <t>The following requirements are associated with the user interface for the 4:3 Stretch Feature</t>
  </si>
  <si>
    <t>TR-DSRSW-2492</t>
  </si>
  <si>
    <t>26.2.1.0-2</t>
  </si>
  <si>
    <t>4:3 Source Stretch Modes</t>
  </si>
  <si>
    <t>The following requirements are associated with the various stretch modes that are available to be applied to native 4:3 SD video as part of the ASTB 4:3 Stretch Feature. The requirement is to offer "incremental" modes tied to an "aspect" key press. The same user interface of "aspect" key is valid for both stretch and zoom features. The product shall provide the following unique stretch modes that may be applied to native 4:3 video content.</t>
  </si>
  <si>
    <t>TR-DSRSW-2493</t>
  </si>
  <si>
    <t>26.2.3.0-7</t>
  </si>
  <si>
    <t>16:9 Source Zoom Modes</t>
  </si>
  <si>
    <t>The following requirements are associated with the the requirements for the various zoom modes that are available to be applied to 16:9 video as part of the ASTB 16:9 Zoom Feature. The product shall provide the following zoom modes that may be applied to 16:9 video content upon receipt of the dedicated IR keycode.</t>
  </si>
  <si>
    <t>TR-DSRSW-2494</t>
  </si>
  <si>
    <t>26.2.5.0-6</t>
  </si>
  <si>
    <t>Dolby Digital Plus Selection</t>
  </si>
  <si>
    <t>TR-DSRSW-2495</t>
  </si>
  <si>
    <t>28.6.0-6</t>
  </si>
  <si>
    <t>DVS (Descriptive Video Service)</t>
  </si>
  <si>
    <t>English and French Descriptive Video Services (a.k.a. "Visually Impaired" service) as defined for the "interim solution" in ENB-3791</t>
  </si>
  <si>
    <t>TR-DSRSW-2496</t>
  </si>
  <si>
    <t>30.1.0-7</t>
  </si>
  <si>
    <t>7.2.2.2 Guide Stream Support</t>
  </si>
  <si>
    <t>7.2.3 EAS</t>
  </si>
  <si>
    <t>8.4 Code Download and Initiation</t>
  </si>
  <si>
    <t>9.3 Remote Control Reset Sequence</t>
  </si>
  <si>
    <t>9.4 Maximum Boot Time</t>
  </si>
  <si>
    <t>14.4.3 Split</t>
  </si>
  <si>
    <t>14.4.4 DVR DST and Time Zone Adjustments</t>
  </si>
  <si>
    <t>15.1 DCII System Time</t>
  </si>
  <si>
    <t>15.2 Synchronization of System Time with NTP Time</t>
  </si>
  <si>
    <t>16.3 Variant Playlists</t>
  </si>
  <si>
    <t>16.5 Closed Captions</t>
  </si>
  <si>
    <t>17.8 Application Support</t>
  </si>
  <si>
    <t>20.1 LNB CSS (Channel Stacking Switch)</t>
  </si>
  <si>
    <t>20.2 LNB Type API</t>
  </si>
  <si>
    <t>26.1.1 Video Format Conversion</t>
  </si>
  <si>
    <t>26.1.2 Picture in Graphics functionality.</t>
  </si>
  <si>
    <t>26.1.3 Scaling for Picture in Graphics.</t>
  </si>
  <si>
    <t>26.2.1 4:3 Source Stretch UI</t>
  </si>
  <si>
    <t>26.2.3 4:3 Source Stretch Modes</t>
  </si>
  <si>
    <t>26.2.5 16:9 Source Zoom Modes</t>
  </si>
  <si>
    <t>28.6 Dolby Digital Plus Selection</t>
  </si>
  <si>
    <t>30.1 DVS (Descriptive Video Service)</t>
  </si>
  <si>
    <t>3/22/2017
PFS - ADD DCII Time Requirements (PFS Section 15.1)
PFS - Added DVR DST requirements (PFS Section 14.4.4)
PFS - Updated ROM Map (PFS Section 21.3.4)
PFS - Added Video Upscaling Requirements (PFS Section 26.1.1)</t>
  </si>
  <si>
    <t>x.2 iteration 3</t>
  </si>
  <si>
    <t>The product SHALL, during CSS manual installation, use the UB slot number entered by the user for the each selected satellite tuner (regardless of if the UB slot is in use by another receiver).</t>
  </si>
  <si>
    <t>The product SHALL be capable of the following 8-PSK symbol and code rate combination: 22.00 Msps symbol rate, 8/9 code rate, 2.40 bps payload</t>
  </si>
  <si>
    <t>TR-DSRSW-2520</t>
  </si>
  <si>
    <t>The product SHALL be capable of storing a minimum of 905 channel definitions.</t>
  </si>
  <si>
    <t>21.3.1.0-5</t>
  </si>
  <si>
    <t>The product SHALL contain a default ROM resident VCT as defined in the table below.
Chn  Xpdr  Sat  Po  Frequency  SymRate  CR  Mod  Ton  SvcN  SourceID
200  49  1  VR  1147750000  19510470  3/4  QPSK  0  010  0x0002
201  40  1  HL  0970000000  19510470  3/4  QPSK  0  255  0x0003
202  41  1  VR  1010000000  29265700  7/8  QPSK  0  005  0x0009
203  42  1  HL  1010000000  19510470  3/4  QPSK  0  255  0x000C
204  08  1  VR  0964750000  19510470  3/4  QPSK  0  255  0x000D
205  44  1  HL  1050000000  19510470  3/4  QPSK  0  255  0x000E
206  03  1  VR  1070000000  19510470  3/4  QPSK  0  255  0x000F
207  46  1  HL  1090000000  19510470  3/4  QPSK  0  255  0x0013
208  03  1  VR  1070000000  19510470  3/4  QPSK  0  255  0x03B5
209  48  1  HL  1130000000  19510470  3/4  QPSK  0  255  0x03B6
210  29  1  HL  1147750000  19510470  3/4  QPSK  0  255  0x002A
211  29  1  HL  1147750000  19510470  3/4  QPSK  0  255  0x002F
212  51  1  VR  1190000000  19510470  3/4  QPSK  0  255  0x0030
213  52  1  HL  1210000000  19510470  3/4  QPSK  0  255  0x0031
214  53  1  VR  1230000000  19510470  3/4  QPSK  0  255  0x0050
215  54  1  HL  1250000000  19510470  3/4  QPSK  0  255  0x0051
216  55  1  VR  1270000000  19510470  3/4  QPSK  0  255  0x0057
217  56  1  HL  1290000000  19510470  3/4  QPSK  0  255  0x0058
218  57  1  VR  1310000000  19510470  3/4  QPSK  0  255  0x005B
222  61  1  VR  1390000000  19510470  3/4  QPSK  0  255  0x005C
223  62  1  HL  1410000000  19510470  3/4  QPSK  0  255  0x005D
224  63  1  VR  1430000000  19510470  3/4  QPSK  0  255  0x005F
231  14  1  VR  1230000000  19510470  3/4  QPSK  0  255  0x0064
232  15  1  HL  1250000000  19510470  3/4  QPSK  0  255  0x006D
233  16  1  VR  1270000000  19510470  3/4  QPSK  0  255  0x0074
234  17  1  HL  1290000000  19510470  3/4  QPSK  0  255  0x0075
250  24  1  VR  1825000000  19510470  3/4  QPSK  0  255  0x0076
251  23  1  VR  1370000000  14632850  7/8  OQPSK  0  255  0x0077
252  24  1  VR  1825000000  19510470  3/4  QPSK  0  255  0x0078
253  25  1  VR  1130000000  04877617  3/4  OQPSK  0  255  0x0079
254  26  1  VR  1170000000  19510470  3/4  QPSK  0  255  0x007A
256  28  1  HL  1123500000  19510470  3/4  QPSK  0  255  0x00A3
257  29  1  HL  1147750000  19510470  3/4  QPSK  0  255  0x00A4
258  30  1  VR  1310000000  19510470  3/4  QPSK  0  255  0x00A5
259  31  1  HL  1278500000  19510470  3/4  QPSK  0  255  0x00A6
260  32  1  VR  1427000000  19510470  3/4  QPSK  0  255  0x00BF
265  02  1  VR  1641750000  21000000  2.11  PSK_8  0  101  0xFB6F
266  45  1  VR  1147750000  20500000  1.92  PSK_8  1  001  0xFAA3
267  43  1  VR  1018500000  22000000  8/9  PSK_8  0  102  0xFC7E
268  27  1  VR  1824750000  20500000  1.92  PSK_8  0  285  0x010A
281  01  1  VR  1422250000  19510470  3/4  QPSK  0  255  0x010B
283  03  1  VR  1070000000  19510470  3/4  QPSK  0  255  0x010D
284  04  1  VR  1054000000  19510470  3/4  QPSK  0  255  0x010E
285  05  1  VR  1089000000  19510470  3/4  QPSK  0  255  0x010F
286  06  1  VR  0995250000  19510470  3/4  QPSK  0  255  0x0110
287  07  1  VR  1150000000  19510470  3/4  QPSK  0  255  0x0111
288  08  1  VR  0964750000  19510470  3/4  QPSK  0  255  0x0112
289  09  1  VR  1391750000  19510470  3/4  QPSK  0  255  0x0113
290  10  1  VR  1237000000  19510470  3/4  QPSK  0  255  0x0114
291  11  1  HL  1374250000  19510470  3/4  QPSK  0  255  0x0115
292  12  1  HL  1311000000  19510470  3/4  QPSK  0  255  0x0116
293  13  1  VR  1117250000  19510470  3/4  QPSK  0  255  0x0117
299  06  1  VR  0995250000  19510470  3/4  QPSK  0  255  0x1010
350  01  1  VR  1422250000  19510470  3/4  QPSK  1  255  0x0071
402  06  1  VR  0995250000  19510470  3/4  QPSK  0  255  0x011A
501  26  1  VR  1170000000  19510470  3/4  QPSK  0  255  0x011B
503  26  1  VR  1170000000  19510470  3/4  QPSK  0  255  0x011C
509  26  1  VR  1170000000  19510470  3/4  QPSK  0  255  0x011E
666  42  1  HL  1010000000  19510470  3/4  QPSK  0  255  0x0118
668  42  1  HL  1010000000  19510470  3/4  QPSK  0  255  0x0119
700  00  1  HL  1313250000  19510470  3/4  QPSK  1  255  0x007D
703  30  1  VR  1310000000  19510470  3/4  QPSK  0  255  0x0120
705  30  1  VR  1310000000  19510470  3/4  QPSK  0  255  0x0121
899  47  1  VR  1210000000  21000000  8/9  PSK_8  0  255  0x011F
900  23  1  VR  1370000000  14632850  7/8  OQPSK  0  040  0x0399
901  50  1  HL  1620000000  22000000  5/6  PSK_8  0  255  0x0128
902  47  1  VR  1210000000  21000000  8/9  PSK_8  0  255  0x0129
904  58  1  VR  1430000000  20000000  1.92  PSK_8  0  010  0x0123
905  58  1  VR  1430000000  20000000  1.92  PSK_8  1  003  0x0124
906  59  1  HL  1430000000  21500000  2.11  PSK_8  0  020  0x0125
907  59  1  HL  1430000000  21500000  2.11  PSK_8  1  023  0x0126
908  60  1  HL  0970000000  20000000  1.92  PSK_8  0  000  0x0127
921  34  1  HL  0990000000  29265700  1/2  QPSK  0  021  0x0399
922  34  1  HL  0990000000  29265700  1/2  QPSK  0  022  0x039A
926  34  1  HL  0990000000  29265700  1/2  QPSK  0  026  0x039E
927  34  1  HL  0990000000  29265700  1/2  QPSK  0  027  0x039F
928  34  1  HL  0990000000  29265700  1/2  QPSK  0  028  0x03A0
929  37  1  HL  1470000000  19510470  3/4  QPSK  0  030  0x03A1
930  38  1  VR  2130000000  19510470  3/4  QPSK  0  013  0x03A2
931  39  1  HL  0970000000  29265700  1/2  QPSK  0  020  0x03A3
932  18  1  HL  1540000000  19510470  3/4  QPSK  0  013  0x03A4
933  19  1  VR  1540000000  29265700  1/2  QPSK  0  020  0x03A5
934  20  1  VR  2140000000  19510470  3/4  QPSK  0  016  0x03A6
935  21  1  HL  2140000000  29265700  1/2  QPSK  0  023  0x03A7
943  36  1  HL  0990000000  19510470  3/4  QPSK  0  010  0x03AF
944  36  1  HL  0990000000  19510470  3/4  QPSK  0  011  0x03B0
945  36  1  HL  0990000000  19510470  3/4  QPSK  0  012  0x03B1
946  36  1  HL  0990000000  19510470  3/4  QPSK  0  013  0x03B2
947  36  1  HL  0990000000  19510470  3/4  QPSK  0  014  0x03B3
948  36  1  HL  0990000000  19510470  3/4  QPSK  0  015  0x03B4
954  57  1  VR  1310000000  19510470  3/4  QPSK  0  001  0x0015
955  57  1  VR  1310000000  19510470  3/4  QPSK  0  002  0x0015
956  57  1  VR  1310000000  19510470  3/4  QPSK  0  003  0x0015
957  57  1  VR  1310000000  19510470  3/4  QPSK  0  004  0x0015
958  57  1  VR  1310000000  19510470  3/4  QPSK  0  005  0x0016
962  57  1  VR  1310000000  19510470  3/4  QPSK  0  009  0x03C2
963  57  1  VR  1310000000  19510470  3/4  QPSK  0  010  0x03C3
964  57  1  VR  1310000000  19510470  3/4  QPSK  0  011  0x03C4
965  57  1  VR  1310000000  19510470  3/4  QPSK  0  012  0x03C5
966  57  1  VR  1310000000  19510470  3/4  QPSK  0  013  0x03C6
967  57  1  VR  1310000000  19510470  3/4  QPSK  0  014  0x03C7
968  38  1  VR  2130000000  19510470  3/4  QPSK  0  015  0x03C8
969  35  1  HL  1430000000  29265700  1/2  QPSK  0  020  0x03C9
970  35  1  HL  1430000000  29265700  1/2  QPSK  0  021  0x03CA
971  35  1  HL  1430000000  29265700  1/2  QPSK  0  022  0x03CB
972  35  1  HL  1430000000  29265700  1/2  QPSK  0  001  0x0016
976  35  1  HL  1430000000  29265700  1/2  QPSK  0  023  0x03D0
977  35  1  HL  1430000000  29265700  1/2  QPSK  0  024  0x03D1
978  35  1  HL  1430000000  29265700  1/2  QPSK  0  025  0x03D2
979  35  1  HL  1430000000  29265700  1/2  QPSK  0  001  0x0017
980  39  1  HL  0970000000  29265700  1/2  QPSK  0  026  0x03D4
981  35  1  HL  1430000000  29265700  1/2  QPSK  0  027  0x03D5
982  35  1  HL  1430000000  29265700  1/2  QPSK  0  028  0x03D6
985  57  1  VR  1310000000  19510470  3/4  QPSK  0  016  0x03D9
986  57  1  VR  1310000000  19510470  3/4  QPSK  0  017  0x03DA
987  57  1  VR  1310000000  19510470  3/4  QPSK  0  018  0x03DB
988  57  1  VR  1310000000  19510470  3/4  QPSK  0  019  0x03DC
989  33  1  VR  1175000000  20000000  1.92  PSK_8  0  004  0x012A
990  33  1  VR  1175000000  20000000  1.92  PSK_8  0  002  0x012B</t>
  </si>
  <si>
    <r>
      <t xml:space="preserve">Note: See Column A to see Legacy Requirement numbers.
Note: Sort by Type "Hdr" to see headings (similar to a table of contents).
</t>
    </r>
    <r>
      <rPr>
        <b/>
        <i/>
        <u/>
        <sz val="11"/>
        <color rgb="FFFF0000"/>
        <rFont val="Calibri"/>
        <family val="2"/>
      </rPr>
      <t>Note: Filter Status column to see changes.  e.g., uncheck "Approved".</t>
    </r>
  </si>
  <si>
    <t>x.2 iteration 4</t>
  </si>
  <si>
    <t>x.2 iteration 5</t>
  </si>
  <si>
    <t>4/12/2017
PFS - Updated Status for TR-DSRSW-2457 "8PSK 2.40 bps 8/9" (PFS Section 21.1).</t>
  </si>
  <si>
    <t>4/3/2017
PFS - Added DVR DST requirements (PFS Section 14.4.4)
PFS - Deleted CSS UB custom freq requirements (PFS Section 20.1)
PFS - Added minimum channels requirement (PFS Section 21.3.1)</t>
  </si>
  <si>
    <t>TR-DSRSW-2554</t>
  </si>
  <si>
    <t>1.0-1</t>
  </si>
  <si>
    <t>See Acronyms tab.</t>
  </si>
  <si>
    <t>TR-DSRSW-2555</t>
  </si>
  <si>
    <t xml:space="preserve">Internal Document References </t>
  </si>
  <si>
    <t>TR-DSRSW-2556</t>
  </si>
  <si>
    <t>TR-DSRSW-2536</t>
  </si>
  <si>
    <t>4.0-3</t>
  </si>
  <si>
    <t>The product SHALL run on the DSR830p2 hardware platform</t>
  </si>
  <si>
    <t>The product SHALL make at least 50% of DRAM available to applications for the Adara feature set.</t>
  </si>
  <si>
    <t>TR-DSRSW-2537</t>
  </si>
  <si>
    <t>7.1.0-2</t>
  </si>
  <si>
    <t>The product SHALL make at least 50% of DRAM available to applications for the Copernicus feature set.</t>
  </si>
  <si>
    <t>Test not required</t>
  </si>
  <si>
    <t>Do we need req for JTAG disable?</t>
  </si>
  <si>
    <t>Enough Memory?</t>
  </si>
  <si>
    <t>The remaining requirements in this section only apply for products that support external DVR functionality.</t>
  </si>
  <si>
    <t>DSR600, DSR605 support External DVR</t>
  </si>
  <si>
    <t>Future</t>
  </si>
  <si>
    <t>Does DSR830p2 have a different designation.</t>
  </si>
  <si>
    <t>DSR6xx only</t>
  </si>
  <si>
    <t>25.1.1.0-2</t>
  </si>
  <si>
    <t xml:space="preserve">The product SHALL reconstruct Line 21, Field 1 and Field 2, of the VBI on its NTSC Outputs if it is tuned to a Digital service where CEA-608 caption data is present in the MPEG-2 Picture User Data of the same MPEG video frame and carried in SCTE-21 syntax. </t>
  </si>
  <si>
    <t>VBI NTSC SCTE-21</t>
  </si>
  <si>
    <t>25.1.1.0-3</t>
  </si>
  <si>
    <t>VBI NTSC SCTE-20</t>
  </si>
  <si>
    <t>VBI NTSC SCTE-20&gt;21</t>
  </si>
  <si>
    <t>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t>
  </si>
  <si>
    <t>VBI NTSC SCTE-21&amp;708</t>
  </si>
  <si>
    <t>25.1.2.0-1</t>
  </si>
  <si>
    <t>Render 
608</t>
  </si>
  <si>
    <t>25.1.2.0-2</t>
  </si>
  <si>
    <t>VBI 
608 21 -&gt; 20</t>
  </si>
  <si>
    <t>25.1.2.0-3</t>
  </si>
  <si>
    <t>Render
608 21 -&gt; 20</t>
  </si>
  <si>
    <t>25.1.2.0-4</t>
  </si>
  <si>
    <t xml:space="preserve">VBI 
608 20 -&gt; 21
</t>
  </si>
  <si>
    <t>25.1.2.0-5</t>
  </si>
  <si>
    <t xml:space="preserve">Render
608 20 -&gt; 21
</t>
  </si>
  <si>
    <t>25.1.2.0-6</t>
  </si>
  <si>
    <t xml:space="preserve">VBI 
608 tune
</t>
  </si>
  <si>
    <t>25.1.2.0-7</t>
  </si>
  <si>
    <t>Render
608 tune</t>
  </si>
  <si>
    <t>25.1.2.0-8</t>
  </si>
  <si>
    <t>Render
708 tune</t>
  </si>
  <si>
    <t>25.1.2.0-9</t>
  </si>
  <si>
    <t>Render
608 -&gt; 708</t>
  </si>
  <si>
    <t>25.1.2.0-10</t>
  </si>
  <si>
    <t xml:space="preserve">VBI
708 -&gt; 608
</t>
  </si>
  <si>
    <t>25.1.2.0-11</t>
  </si>
  <si>
    <t xml:space="preserve">Render
708 -&gt;608
</t>
  </si>
  <si>
    <t>25.1.3.0-1</t>
  </si>
  <si>
    <t>25.1.3.0-2</t>
  </si>
  <si>
    <t>25.1.3.0-3</t>
  </si>
  <si>
    <t>25.1.3.0-4</t>
  </si>
  <si>
    <t>25.1.3.0-5</t>
  </si>
  <si>
    <t>25.1.5.0-1</t>
  </si>
  <si>
    <t>25.1.5.0-2</t>
  </si>
  <si>
    <t>25.1.5.0-3</t>
  </si>
  <si>
    <t>25.1.5.0-4</t>
  </si>
  <si>
    <t>25.1.5.0-5</t>
  </si>
  <si>
    <t>25.1.5.0-6</t>
  </si>
  <si>
    <t>25.1.5.0-7</t>
  </si>
  <si>
    <t>25.1.5.0-8</t>
  </si>
  <si>
    <t>25.1.7.0-1</t>
  </si>
  <si>
    <t>25.1.7.0-2</t>
  </si>
  <si>
    <t>25.1.7.0-3</t>
  </si>
  <si>
    <t>25.1.7.0-4</t>
  </si>
  <si>
    <t>25.1.7.0-5</t>
  </si>
  <si>
    <t>Not required by FCC-0259</t>
  </si>
  <si>
    <t>The product SHALL, when closed captioning is enabled, render CEA-608 closed captions on its NTSC output if only CEA-608 caption data is present (CEA-708 data is not present) and carried in SCTE-21 syntax only (not in the SCTE-20 syntax).</t>
  </si>
  <si>
    <t xml:space="preserve">Render
608 SCTE-21 NTSC
</t>
  </si>
  <si>
    <t>The product SHALL, when closed captioning is enabled, render CEA-608 closed captions on its HDMI output if only CEA-608 caption data is present (CEA-708 data is not present) and carried in SCTE-21 syntax only (not in the SCTE-20 syntax).</t>
  </si>
  <si>
    <t xml:space="preserve">Render
608 SCTE-21 HDMI
</t>
  </si>
  <si>
    <t>The product SHALL, when closed captioning is enabled, render CEA-608 closed captions received in SCTE-20 syntax on its NTSC output if only CEA-608 caption data is present (CEA-708 data is not present) and carried in SCTE-20 syntax.</t>
  </si>
  <si>
    <t xml:space="preserve">Render
608 SCTE-20 NTSC
</t>
  </si>
  <si>
    <t>The product SHALL, when closed captioning is enabled, render CEA-608 closed captions received in SCTE-20 syntax on its HDMI output if only CEA-608 caption data is present (CEA-708 data is not present) and carried in SCTE-20 syntax.</t>
  </si>
  <si>
    <t xml:space="preserve">Render
608 SCTE-20 HDMI
</t>
  </si>
  <si>
    <t>The product SHALL, when closed captioning is enabled, render CEA-608 closed captions received in SCTE-20 syntax on its NTSC output if only CEA-608 caption data is present (CEA-708 data is not present) and carried in SCTE-20 syntax and SCTE-21 syntax.</t>
  </si>
  <si>
    <t>Render
608 SCTE-20 (not 21)  NTSC</t>
  </si>
  <si>
    <t>The product SHALL, when closed captioning is enabled, render CEA-608 closed captions received in SCTE-20 syntax on its HDMI output if only CEA-608 caption data is present (CEA-708 data is not present) and carried in SCTE-20 syntax and SCTE-21 syntax.</t>
  </si>
  <si>
    <t>Render
608 SCTE-20 (not 21) HDMI</t>
  </si>
  <si>
    <t>The product SHALL, when closed caption rendering is enabled, render CEA-708 captions on its NTSC output if CEA-708 caption data is present.</t>
  </si>
  <si>
    <t>Render
708 NTSC</t>
  </si>
  <si>
    <t>The product SHALL, when closed caption rendering is enabled, render CEA-708 captions on its HDMI output if CEA-708 caption data is present.</t>
  </si>
  <si>
    <t>Render
708 HDMI</t>
  </si>
  <si>
    <t>DSR6xx?</t>
  </si>
  <si>
    <t>FR-DSRSW-1465
FR-DSRSW-1499</t>
  </si>
  <si>
    <t>FR-DSRSW-1466
FR-DSRSW-1477</t>
  </si>
  <si>
    <t>FR-DSRSW-1336
FR-DSRSW-1485</t>
  </si>
  <si>
    <t>FR-DSRSW-1374
FR-DSRSW-1484</t>
  </si>
  <si>
    <t>FR-DSRSW-1481
FR-DSRSW-1534</t>
  </si>
  <si>
    <t xml:space="preserve">Adara </t>
  </si>
  <si>
    <t xml:space="preserve">Copernicus </t>
  </si>
  <si>
    <t xml:space="preserve">Adara Copernicus </t>
  </si>
  <si>
    <t>DSR800 and DSR830 Software PMR/PFS</t>
  </si>
  <si>
    <t>x.3 iteration 1</t>
  </si>
  <si>
    <t>12/20/2017
PFS - Added Copernicus Software Product</t>
  </si>
  <si>
    <t>FR-DSRSW-xxxx</t>
  </si>
  <si>
    <t>Text Chgs Since  3.0 ()  09 May 2018  Prior to Deneb changes</t>
  </si>
  <si>
    <t>Jenner
Adara
Copernicus
Deneb</t>
  </si>
  <si>
    <t>Jenner
Adara
Betelgeuse
Copernicus
Deneb</t>
  </si>
  <si>
    <t>Adara
Copernicus
Deneb</t>
  </si>
  <si>
    <t>TR-DSRSW-2565</t>
  </si>
  <si>
    <t>4.0-7</t>
  </si>
  <si>
    <t>The DSR800 SHALL have a model ID value of 0x0097 hexadecimal.</t>
  </si>
  <si>
    <t>FR-DSRSW-1543</t>
  </si>
  <si>
    <t>Object created after baseline 3.0</t>
  </si>
  <si>
    <t>TR-0-DSRHW-FPR-1015</t>
  </si>
  <si>
    <t>TR-DSRSW-2566</t>
  </si>
  <si>
    <t>4.0-8</t>
  </si>
  <si>
    <t>The DSR830 SHALL have a model ID value of 0x0096 hexadecimal.</t>
  </si>
  <si>
    <t>TR-DSRSW-2567</t>
  </si>
  <si>
    <t>4.0-9</t>
  </si>
  <si>
    <t>The DSR830p2 SHALL have a model ID value of 0x0098 hexadecimal.</t>
  </si>
  <si>
    <t>Copernicus
Deneb</t>
  </si>
  <si>
    <t>TR-DSRSW-2571</t>
  </si>
  <si>
    <t>7.2.2.1.0-4</t>
  </si>
  <si>
    <t>The product SHALL support the Shaw Direct Deneb application.</t>
  </si>
  <si>
    <t>Deneb</t>
  </si>
  <si>
    <t>FR-DSRSW-1544</t>
  </si>
  <si>
    <t>TR-DSRSW-2561</t>
  </si>
  <si>
    <t>14.4.5</t>
  </si>
  <si>
    <t>DVR API</t>
  </si>
  <si>
    <t>FR-DSRSW-1539</t>
  </si>
  <si>
    <t>TR-DSRSW-2562</t>
  </si>
  <si>
    <t>14.4.5.0-1</t>
  </si>
  <si>
    <t>The product SHALL notify the application of success or failure for any recording related API call.</t>
  </si>
  <si>
    <t>FR-DSRSW-1540</t>
  </si>
  <si>
    <t>TR-DSRSW-2564</t>
  </si>
  <si>
    <t>14.4.5.0-2</t>
  </si>
  <si>
    <t>The product SHALL allow the application to associate a generic metadata buffer, up to 128 bytes, with a recoding.</t>
  </si>
  <si>
    <t>FR-DSRSW-1542</t>
  </si>
  <si>
    <t>TR-DSRSW-2559</t>
  </si>
  <si>
    <t>20.1.1.0-7</t>
  </si>
  <si>
    <t>The product SHALL support eight CSS user bands.</t>
  </si>
  <si>
    <t>FR-DSRSW-1538</t>
  </si>
  <si>
    <t>TR-DSRSW-2560</t>
  </si>
  <si>
    <t>20.1.1.0-8</t>
  </si>
  <si>
    <t>The product SHALL support the following user band frequencies:
    1. 1210 MHz 
    2. 1420 MHz
    3. 1550 MHz
    4. 1680 MHz
    5. 1892 MHz
    6. 2040 MHz
    7. 1270 MHz
    8. 1330 MHz</t>
  </si>
  <si>
    <t>TR-DSRSW-2563</t>
  </si>
  <si>
    <t>21.3.7.0-2</t>
  </si>
  <si>
    <t>The product SHALL send valid PMT PID-to-elementary-stream association data to the application in response to tune request APIs.  (Note, in previous SW versions, unvisited channels in the VCT did not have cached PID values, thus, incorrect PMT PID values were sent).</t>
  </si>
  <si>
    <t>TR-DSRSW-2229</t>
  </si>
  <si>
    <t>Test Suite</t>
  </si>
  <si>
    <t>FR-DSRSW-1471</t>
  </si>
  <si>
    <t>TR-DSRSW-2572</t>
  </si>
  <si>
    <t>Performance Tests</t>
  </si>
  <si>
    <t>TR-DSRSW-2573</t>
  </si>
  <si>
    <t>31.3.1</t>
  </si>
  <si>
    <t>Channel Surfing</t>
  </si>
  <si>
    <t>FR-DSRSW-1549</t>
  </si>
  <si>
    <t>TR-DSRSW-2574</t>
  </si>
  <si>
    <t>31.3.1.0-1</t>
  </si>
  <si>
    <t>The product SHALL be capable of performing a successful channel change on the live feed every 6 seconds over 12 hours.</t>
  </si>
  <si>
    <t>TR-DSRSW-2580</t>
  </si>
  <si>
    <t>31.3.1.0-2</t>
  </si>
  <si>
    <t>The product SHALL be capable of performing a successful channel change on the live feed every 6 seconds over 12 hours, WHILE LOD is enabled.</t>
  </si>
  <si>
    <t>TR-DSRSW-2578</t>
  </si>
  <si>
    <t>31.3.1.0-3</t>
  </si>
  <si>
    <t>The product SHALL be capable of performing a successful channel change on the live feed every 6 seconds over 12 hours, WHILE LOD is enabled AND a recording is active in the background.</t>
  </si>
  <si>
    <t>TR-DSRSW-2579</t>
  </si>
  <si>
    <t>31.3.1.0-4</t>
  </si>
  <si>
    <t>The product SHALL be capable of performing a successful channel change on the live feed every 6 seconds over 12 hours, WHILE LOD is enabled AND a recording is active in the background AND VCOs are active.</t>
  </si>
  <si>
    <t>TR-DSRSW-2575</t>
  </si>
  <si>
    <t>31.3.2</t>
  </si>
  <si>
    <t>TR-DSRSW-2581</t>
  </si>
  <si>
    <t>31.3.2.0-1</t>
  </si>
  <si>
    <t xml:space="preserve">The product SHALL, if signal loss occurs during an active recording, allow the user to play and perform trick-play across the gaps caused by signal loss while the recording event is still active. </t>
  </si>
  <si>
    <t>FR-DSRSW-1550</t>
  </si>
  <si>
    <t>TR-DSRSW-2582</t>
  </si>
  <si>
    <t>31.3.2.0-2</t>
  </si>
  <si>
    <t xml:space="preserve">The product SHALL, if signal loss occurs during an active recording, allow the user to play and perform trick-play across the gaps caused by signal loss after the recording event is complete. </t>
  </si>
  <si>
    <t>TR-DSRSW-2583</t>
  </si>
  <si>
    <t>31.3.2.0-3</t>
  </si>
  <si>
    <t>The product SHALL allow perform random trick-play operations on an active LOD program without failure.</t>
  </si>
  <si>
    <t>FR-DSRSW-1545</t>
  </si>
  <si>
    <t>TR-DSRSW-2584</t>
  </si>
  <si>
    <t>31.3.2.0-4</t>
  </si>
  <si>
    <t>The product SHALL support at least 6 VCO transitions during a recording.</t>
  </si>
  <si>
    <t>TR-DSRSW-2585</t>
  </si>
  <si>
    <t>31.3.2.0-5</t>
  </si>
  <si>
    <t>The product SHALL support signal loss and recovery transitions during a recording.</t>
  </si>
  <si>
    <t>TR-DSRSW-2576</t>
  </si>
  <si>
    <t>31.3.3</t>
  </si>
  <si>
    <t>IP VOD Streaming</t>
  </si>
  <si>
    <t>FR-DSRSW-1546</t>
  </si>
  <si>
    <t>TR-DSRSW-2586</t>
  </si>
  <si>
    <t>31.3.3.0-1</t>
  </si>
  <si>
    <t>The product SHALL be capable of switching between IP VOD and satellite programs (live or recorded [if supported]).</t>
  </si>
  <si>
    <t>TR-DSRSW-2577</t>
  </si>
  <si>
    <t>31.3.4</t>
  </si>
  <si>
    <t>Live Feed and Long Turn</t>
  </si>
  <si>
    <t>TR-DSRSW-2587</t>
  </si>
  <si>
    <t>31.3.4.0-1</t>
  </si>
  <si>
    <t>The product SHALL achieve a reset rate of one reset or less per month (30 days) during normal operation.</t>
  </si>
  <si>
    <t>FR-DSRSW-1547</t>
  </si>
  <si>
    <t>TR-DSRSW-2588</t>
  </si>
  <si>
    <t>31.3.4.0-2</t>
  </si>
  <si>
    <t>The product SHALL maintain a consistent and quality user experience regardless of the number of recordings and hard drive percentage full (internal and external).  Consistent” means that the normal operations, such as channel changes, are the same speed.   “Quality” means that user interfaces, response times, etc., are not impacted.</t>
  </si>
  <si>
    <t>FR-DSRSW-1548</t>
  </si>
  <si>
    <t>TR-DSRSW-2150  The product SHALL run on the DSR830 hardware platform
TR-DSRSW-2536  The product SHALL run on the DSR830p2 hardware platform</t>
  </si>
  <si>
    <t>4.0-6</t>
  </si>
  <si>
    <t>The product SHALL have unique model ID.</t>
  </si>
  <si>
    <t>TR-DSRSW-2565  The DSR800 SHALL have a model ID value of 0x0097 hexadecimal.
TR-DSRSW-2566  The DSR830 SHALL have a model ID value of 0x0096 hexadecimal.
TR-DSRSW-2567  The DSR830p2 SHALL have a model ID value of 0x0098 hexadecimal.
TR-DSRSW-2568  The DSR630 SHALL have a model ID value of 0x0094 hexadecimal.
TR-DSRSW-2569  The DSR605 SHALL have a model ID value of 0x0093 hexadecimal.
TR-DSRSW-2570  The DSR600 SHALL have a model ID value of 0x0095 hexadecimal.</t>
  </si>
  <si>
    <t>TR-DSRSW-2207 Operating System 
TR-DSRSW-2208  The product SHALL run on the Linux operating system
TR-DSRSW-2521  The product SHALL run on the VxWorks operating system</t>
  </si>
  <si>
    <t>TR-DSRSW-1450  The product SHALL make at least 50% of DRAM available to applications for the Adara feature set.
TR-DSRSW-2537  The product SHALL make at least 50% of DRAM available to applications for the Copernicus feature set.</t>
  </si>
  <si>
    <t>TR-DSRSW-2571  The product SHALL support the Shaw Direct Deneb application.</t>
  </si>
  <si>
    <t>7.3.0-4</t>
  </si>
  <si>
    <r>
      <t xml:space="preserve">TR-DSRSW-1341 </t>
    </r>
    <r>
      <rPr>
        <b/>
        <sz val="11"/>
        <color theme="1"/>
        <rFont val="Calibri"/>
        <family val="2"/>
        <scheme val="minor"/>
      </rPr>
      <t>Guide Stream Support</t>
    </r>
    <r>
      <rPr>
        <sz val="11"/>
        <color theme="1"/>
        <rFont val="Calibri"/>
        <family val="2"/>
        <scheme val="minor"/>
      </rPr>
      <t xml:space="preserve"> 
TR-DSRSW-1343  The product SHALL be capable of receiving Third Party Messages, Message Type = 0xA5, and forwarding those messages to the guide application.
TR-DSRSW-1344  The product SHALL be capable of receiving Third Party Messages, Message Type = 0xE6, and forwarding those messages to the guide application.</t>
    </r>
  </si>
  <si>
    <r>
      <t xml:space="preserve">TR-DSRSW-1349 </t>
    </r>
    <r>
      <rPr>
        <b/>
        <sz val="11"/>
        <color theme="1"/>
        <rFont val="Calibri"/>
        <family val="2"/>
        <scheme val="minor"/>
      </rPr>
      <t>EAS</t>
    </r>
    <r>
      <rPr>
        <sz val="11"/>
        <color theme="1"/>
        <rFont val="Calibri"/>
        <family val="2"/>
        <scheme val="minor"/>
      </rPr>
      <t xml:space="preserve"> 
TR-DSRSW-1350  The product SHALL provide an API that allows software applications to ascertain the three-coordinate geosynchronous location of the product, as given in the category rekey message [DCII ACP-1]. </t>
    </r>
  </si>
  <si>
    <t>TR-DSRSW-1352  The product SHALL support an onboard JTAG connector for code download.
TR-DSRSW-1353  The product SHALL comply with the consumer IRD applicable requirements in 486998-001, the "DigiCipher II ROM Patch Code Download Specification."
TR-DSRSW-1354  The product SHALL be capable of executing downloaded code.
TR-DSRSW-1355  The product SHALL retain downloaded code in standby mode.
TR-DSRSW-1356  The product SHALL retain completed code updates when AC power is removed.
TR-DSRSW-1357  The product SHALL, through a code update, retain favorite channel selections. [Note: this requirement is implemented by Shaw, and tested by ARRIS]
TR-DSRSW-1358  The product SHALL, through a code update, retain the user password(s). [Note: this requirement is implemented by Shaw, and tested by ARRIS]
TR-DSRSW-1359  The product SHALL, through a code update, retain rating ceilings. [Note: this requirement is implemented by Shaw, and tested by ARRIS]
TR-DSRSW-1360  The product SHALL, through a code update, retain channel lockout selections. [Note: this requirement is implemented by Shaw, and tested by ARRIS]
TR-DSRSW-1362  The product SHALL, through a code update, retain scheduled recording settings. [Note: this requirement is implemented by Shaw, and tested by ARRIS]
TR-DSRSW-1363  The product SHALL, through a code update, retain network information tables.
TR-DSRSW-1364  The product SHALL, through a code update, retain the virtual channel table.
TR-DSRSW-1365  The product SHALL, through a code update, retain user video settings. [Note: this requirement is implemented by Shaw, and tested by ARRIS]
TR-DSRSW-1366  The product SHALL, through a code update, retain user audio settings. [Note: this requirement is implemented by Shaw, and tested by ARRIS]
TR-DSRSW-1367  The product SHALL, through a code update, retain user GUI language settings. [Note: this requirement is implemented by Shaw, and tested by ARRIS]
TR-DSRSW-1368  The product SHALL, through a code update, retain EPMs (Electronic Personal Mail). [Note: this requirement is implemented by Shaw, and tested by ARRIS]
TR-DSRSW-1369  The product SHALL, through a code update, retain geographic location.
TR-DSRSW-1370  The product SHALL, through a code update, retain region.
TR-DSRSW-1371  The product SHALL, through a code update, retain multicast 16 addresses.
TR-DSRSW-1372  The product SHALL, through a code update, retain last channel viewed. [Note: this requirement is implemented by Shaw, and tested by ARRIS]
TR-DSRSW-1373  The product SHALL, through a code update, retain tier authorizations.
TR-DSRSW-1374  The product SHALL, through a code update, retain the Remote Control Unit address.
TR-DSRSW-1375  The product SHALL download any file updates if the product has received a valid download_preamble() message with the force_download_now flag set to "yes." (NOTE: This will interrupt service if a tuner is not available].
TR-DSRSW-1376  The product SHALL initiate the code download process at 2:10 AM (+/- 5 min) local time if the product has received a valid download_preamble() message, subtype 0x00, with the force_download_now flag set to "no," AND a bought PPV program is not being viewed.
TR-DSRSW-1377  The product SHALL initiate the code download process at 2:40 AM (+/- 5 min) local time if the product has received a valid download_preamble() message, subtype 0x00, with the force_download_now flag set to "no," AND a bought IPPV program is not being viewed.
TR-DSRSW-1378  The product SHALL initiate the code download process at 3:10 AM (+/- 5 min) local time if the product has received a valid download_preamble() message, subtype 0x00, with the force_download_now flag set to "no," AND a bought IPPV program is not being viewed.
TR-DSRSW-1379  The product SHALL initiate the code download process at 3:40 AM (+/- 5 min) local time if the product has received a valid download_preamble() message, subtype 0x00, with the force_download_now flag set to "no," AND a bought IPPV program is not being viewed.
TR-DSRSW-1380  The product SHALL initiate the code download process at 4:10 AM (+/- 5 min) local time if the product has received a valid download_preamble() message, subtype 0x00, with the force_download_now flag set to "no," AND a bought IPPV program is not being viewed.
TR-DSRSW-1381  The product SHALL initiate the code download process at 4:40 AM (+/- 5 min) local time if the product has received a valid download_preamble() message, subtype 0x00, with the force_download_now flag set to "no," AND a bought IPPV program is not being viewed.
TR-DSRSW-1382  The product SHALL initiate the code download process at 5:10 AM (+/- 5 min) local time if the product has received a valid download_preamble() message, subtype 0x00, with the force_download_now flag set to "no," AND a bought IPPV program is not being viewed.
TR-DSRSW-1390  The product SHALL initiate the code download process if the user has taken the proper confirmation steps in the code download screen.
TR-DSRSW-1391 User Friendly Download Screen 
TR-DSRSW-1392  A User Friendly Download Screen is shown here as a reference:
TR-DSRSW-1393  The product SHALL display the "User Friendly Download Screen" when code download begins.
TR-DSRSW-1394  The product SHALL display the unit address on the User Friendly Download Screen.
TR-DSRSW-1395  The product SHALL display a timer that indicates the amount of time since code download started on the User Friendly Download Screen.
TR-DSRSW-1396  The product SHALL display, in English and French on the User Friendly Download Screen, a notification that a code download is in progress and not to unplug the unit.
TR-DSRSW-1397  The product SHALL display a download progress indication on the User Friendly Download Screen.
TR-DSRSW-1398  The product SHALL display, in English and French on the User Friendly Download Screen, a notification that to cancel the code download, the user can press the EXIT button on the RCU.  e.g., "To cancel this download, press EXIT".
TR-DSRSW-1399  The product SHALL cancel the download if the user presses the RCU EXIT button in the Download Screen.
TR-DSRSW-1400  The product SHALL display the User Friendly Download Screen when the remote control up or down arrow is pressed while the Standard Download Screen is active.
TR-DSRSW-1401 Standard Download Screen 
TR-DSRSW-1402  A Standard Download Screen is shown here as a reference:
TR-DSRSW-1403  The product SHALL display the Standard Download Screen when the remote control up or down arrow is pressed while the User Friendly Download Screen is active.
TR-DSRSW-1404  The product SHALL display the unit address on the Standard Download Screen.
TR-DSRSW-1405  The product SHALL display a timer that indicates the amount of time since code download started on the Standard Download Screen.
TR-DSRSW-1406  The product SHALL display the current "in unit" version of IPG in the Standard Download Screen.
TR-DSRSW-1407  The product SHALL display the current "in unit" version of Neptune in the Standard Download Screen.
TR-DSRSW-1408  The product SHALL display the current "in unit" versions of Packing List in the Standard Download Screen.
TR-DSRSW-1409  The product SHALL display the current "in unit" versions of Brcmlib in the Standard Download Screen.
TR-DSRSW-1410  The product SHALL display the current "target" version of IPG in the Standard Download Screen.
TR-DSRSW-1411  The product SHALL display the current "target" version of Neptune in the Standard Download Screen.
TR-DSRSW-1412  The product SHALL display the current "target" version of Packing List in the Standard Download Screen.
TR-DSRSW-1413  The product SHALL display the current "target" version of Brcmlib in the Standard Download Screen.
TR-DSRSW-1414  The product SHALL display the current "in unit" BSP version in the Standard Download Screen.
TR-DSRSW-1415  The product SHALL display the preamble/network PID in the Standard Download Screen.
TR-DSRSW-1416  The product SHALL display the Download PID in the Standard Download Screen.
TR-DSRSW-1417  The product SHALL display the Download Channel Number in the Standard Download Screen.
TR-DSRSW-1418  The product SHALL display the Transport Locked State in the Standard Download Screen.
TR-DSRSW-1419  The product SHALL display the Signal Level in the Standard Download Screen.
TR-DSRSW-1420  The product SHALL display the VCT ID in the Standard Download Screen.
TR-DSRSW-1421  The product SHALL display the download channel Frequency in the Standard Download Screen.
TR-DSRSW-1422  The product SHALL display the download channel Code Rate in the Standard Download Screen.
TR-DSRSW-1423  The product SHALL display the download channel Symbol Rate in the Standard Download Screen.
TR-DSRSW-1424  The product SHALL display the download state in the Standard Download Screen.
TR-DSRSW-1425  The product SHALL display the Total Files Collected in the Standard Download Screen.
TR-DSRSW-1426  The product SHALL display the Total Number of Files in the Standard Download Screen.
TR-DSRSW-1427  The product SHALL which indicate which files are collected with a "1" in the Standard Download Screen.
TR-DSRSW-1428  The product SHALL which indicate which files have not been collected with a "0" in the Standard Download Screen.
TR-DSRSW-1429  The product SHALL, in the Standard Download Screen, display the  Download Preamble Filter State (0,1,2) where 0 = no request, 1= waiting on PAT, 2=received.
TR-DSRSW-1430  The product SHALL, in the Standard Download Screen, display the Download Msg Filter State (0,1,2) 0=no request, 1=waiting on PMT/SMAP, 2=Messages being received.
TR-DSRSW-1431  The product SHALL, in the Standard Download Screen, display the Download Channel Tune State (0,1,2) 0=no tune request, 1=tuned no lock, 2, tuned and locked.
TR-DSRSW-1432  The product SHALL, in the Standard Download Screen, display the bad Section count.
TR-DSRSW-1433  The product SHALL, in the Standard Download Screen, display the Last Section Number.
TR-DSRSW-1434  The product SHALL, in the Standard Download Screen, display the Remaining Section Count.
TR-DSRSW-1435  The product SHALL, in the Standard Download Screen, display the Current Section Number.
TR-DSRSW-2166 Code Update Variable State Retention 
TR-DSRSW-2167 Code Download and Initiation 
TR-DSRSW-2168 Forced Download 
TR-DSRSW-2169 Opportunity Download 
TR-DSRSW-2171 User Download 
TR-DSRSW-2413 Download Status 
TR-DSRSW-2414  The product SHALL provide an API to allow the application to determine the code download progress.
TR-DSRSW-2415  The product SHALL provide an API to allow the application to determine the time since the code download started.
TR-DSRSW-2416  The product SHALL provide an API to allow the application to determine the current download status of the files being updated.
TR-DSRSW-2417  The product SHALL provide enough memory to complete a 100 MByte code download, without interrupting unit performance. (NOTE: Once the code has been downloaded, the actual code update may interrupt service.) 
TR-DSRSW-2434  Opportunity Download forces a download at night, or immeadiatly if the forced DL flag is set.
TR-DSRSW-2435  The product SHALL activate the newly downloaded code when the opportunity download is complete.
TR-DSRSW-2437  The product SHALL activate the newly downloaded code when the forced download is complete.
TR-DSRSW-2438  The Standard Download Screen is in the Shaw app domain.  However, Neptune does need to provide API that reports the download status.
TR-DSRSW-2439  The product SHALL display the current "target" BSP version in the Standard Download Screen.
TR-DSRSW-2479  The product SHALL alert the application of a forced download if the product has received a valid download_preamble() message with the force_download_now flag set to "yes."
TR-DSRSW-2480  The product SHALL alert the application of a opportunity download if the product has received a valid download_preamble() message with the force_download_now flag set to "no.</t>
  </si>
  <si>
    <t xml:space="preserve">TR-DSRSW-1436 Boot 
TR-DSRSW-1437 Boot Code 
TR-DSRSW-1438  The product SHALL provide boot code capable of authenticating a platform software image.
TR-DSRSW-1439  The product SHALL authenticate a Platform Object prior to enabling it at the completion of a download.
TR-DSRSW-1440  Note:  The use of the term "authenticate" is intended to refer to any method of verification of the correct object.
TR-DSRSW-1441 Boot from FLASH 
TR-DSRSW-1444 Remote Control Reset Sequence 
TR-DSRSW-1446 Maximum Boot Time </t>
  </si>
  <si>
    <r>
      <t xml:space="preserve">TR-DSRSW-1571  </t>
    </r>
    <r>
      <rPr>
        <b/>
        <sz val="11"/>
        <color theme="1"/>
        <rFont val="Calibri"/>
        <family val="2"/>
        <scheme val="minor"/>
      </rPr>
      <t>The remaining requirements in this section only apply for products that support external DVR functionality.</t>
    </r>
    <r>
      <rPr>
        <sz val="11"/>
        <color theme="1"/>
        <rFont val="Calibri"/>
        <family val="2"/>
        <scheme val="minor"/>
      </rPr>
      <t xml:space="preserve">
TR-DSRSW-1572  The product SHALL support up to two active recording sessions total on any combination of HDDs, internal or external, while simultaneously supporting up to one playback session from an HDD, internal or external.
TR-DSRSW-1573  The product SHALL provide an API that allows an application to determine if an external HDD is connected.
TR-DSRSW-1574  The product SHALL provide an API that allows an application to determine if an external HDD is connected that has been formatted and paired for use with the product.
TR-DSRSW-1575  The product SHALL notify a registered application when an eHDD has been disconnected.
TR-DSRSW-1576  The product SHALL notify a registered application when an eHDD has been connected and mounted.
TR-DSRSW-1577  The product SHALL provide the software application with the eHDD connection status (connected/disconnected).
TR-DSRSW-1578  The product SHALL update the eHDD connection status upon boot up.
TR-DSRSW-1579  The product SHALL provide available free space on eHDD when eHDD is connected and requested by application.
TR-DSRSW-1580  The product SHALL provide the application with the ability to select a DVR eHDD for a particular record session. 
TR-DSRSW-1581  The product SHALL provide the application with the ability to select a DVR eHDD for a particular playback session. 
TR-DSRSW-1582 External DVR Formatting 
TR-DSRSW-1583  The product SHALL notify applications that the formatting process is complete, when formatting a DVR eHDD, after the STB has mounted the eHDD. (NOTE: The intent is that application notifies the user that the format and mounting process is complete, thus if the application had displayed an alert to the user not to disconnect the eHDD, then this alert would inform the application to tear down the alert)
TR-DSRSW-1585  The product SHALL provide an API that allows an application to acquire the HDD Unique ID of a discovered DVR eHDD.
TR-DSRSW-1586  The product SHALL provide an API that allows an application to request that an eHDD be formatted as a DVR eHDD. 
TR-DSRSW-1587  The product SHALL notify a registered application when an eHDD format attempt has failed.</t>
    </r>
  </si>
  <si>
    <t>TR-DSRSW-2238 Append 
TR-DSRSW-2362  The product SHALL provide an “append API” that allows the application to append progam streams.
TR-DSRSW-2363  The product SHALL provide an append API that allows one file to be a live foreground (LOD) recording.
TR-DSRSW-2364  The product SHALL provide an append API that allows one file to be a live background recording.
TR-DSRSW-2365  The product SHALL provide an append API that allows the appended files to be any of the supported audio and video formats.
TR-DSRSW-2366  The product SHALL provide an append API that allows the appended files to be different audio formats or video formats.
TR-DSRSW-2464 File Format 
TR-DSRSW-2465  The product SHALL implement a DVR recording file structure/manifest that is compatible with code releases that implement DVR file append and spit capability. (Note: The intent here is to avoid incompatible DVR file formats)</t>
  </si>
  <si>
    <t>TR-DSRSW-2241 Split 
TR-DSRSW-2442  The product SHALL continue to play an active file resulting from a split recording.
TR-DSRSW-2443  The product SHALL provide an split API that allows the target file to be a live background DVR recording.
TR-DSRSW-2450  The product SHALL provide an “split API” that allows the application to split a DVR program file into seperate DVR files.
TR-DSRSW-2451  The product SHALL continue to record an active file resulting from a split recording.
TR-DSRSW-2453  The product SHALL provide an split API that allows the target file to be a live foreground DVR recording.
TR-DSRSW-2454  The product SHALL provide an split API that allows the target file to be a completed DVR recording.</t>
  </si>
  <si>
    <t xml:space="preserve">TR-DSRSW-2561 DVR API </t>
  </si>
  <si>
    <t>14.5.0-1</t>
  </si>
  <si>
    <t>The product SHALL notify the application of success or failure for any tuning related API call.</t>
  </si>
  <si>
    <t>TR-DSRSW-2562  The product SHALL notify the application of success or failure for any recording related API call.</t>
  </si>
  <si>
    <t>14.5.0-2</t>
  </si>
  <si>
    <t>The product SHALL provide a DVR generic metadata interface.</t>
  </si>
  <si>
    <t>TR-DSRSW-2564  The product SHALL allow the application to associate a generic metadata buffer, up to 128 bytes, with a recoding.</t>
  </si>
  <si>
    <t xml:space="preserve">TR-DSRSW-1633  The product SHALL support an IP VOD HLS streaming application.
TR-DSRSW-1634  The product SHALL support variable length chunks in duration.
TR-DSRSW-1635  Note: The typical length of chunks is expected to be of the order of a second or a few seconds
TR-DSRSW-1636  The product SHALL be resilient and support input media streams that are highly jittered or are missing PCRs, have sloppy adherence to MPEG buffer models, have stream discontinuities without the MPEG-defined discontinuity indicators.
TR-DSRSW-1637  The product SHALL support streams with media files that may be encrypted.
TR-DSRSW-1638  Notes:
1. Media files could have the encryption method as NONE (unencrypted media files) or AES-128. Media files with Encryption method NONE denote unencrypted content, in which case, there is no notion of URI and Initialization vector attributes related to the key.
2. In case of media files with Encryption method of AES-128 encryption, the product needs to look at the URI attribute, which specifies how to obtain the key. If the Initialization vector is specified, the product needs to use the Initialization vector along with the key. The Initialization vector must be interpreted as a 128 bit hex number in such cases
3. If there is no initialization vector specified, the product needs to use the sequence number of the media file as the Initialization vector along with the key. This is as per the HLS spec and may not apply in case Secure Media is used with HLS.
4. In case of a stream that fully complies with HLS, the key occurs in EXT-X-KEY tag.
TR-DSRSW-1643  The product SHALL support streaming HLS video content at up to 8 Mbits/sec.
TR-DSRSW-1644  The product SHALL support streaming HLS audio content at up to 200 kbits/sec.
TR-DSRSW-1645 Buffer Related Requirements 
TR-DSRSW-1646  The product SHALL have two VOD input buffers dedicated for VOD service, with each buffer capable of supporting from 2 to 10 seconds of audio/video content for all supported service rates.
TR-DSRSW-1647  The product SHALL dedicate up to 24 MB of memory total for the IP VOD buffers.
TR-DSRSW-1648  (Note: Shaw wants up to 20 seconds of cache in addition to the live  2 second buffer. That's 22 seconds total, plus 2 MB for decryption RAM.
  8 Mbit/sec / 8bits  =  1 MByte per second of VOD.
  22 seconds of VOD requires 22 MB of RAM.
  Add the 2 MB decryption buffer for a total 24 MBytes of RAM.)
TR-DSRSW-1653  The product SHALL transition between various resolutions without visible artifacts. (NOTE: Shaw implements this requirement.  This requirement is for test plan linkage)
TR-DSRSW-1654  The product SHALL scale the received stream to the maximum resolution of the device when rendering content in full screen mode. (NOTE: Shaw implements this requirement.  This requirement is for test plan linkage)
TR-DSRSW-1655  The product SHALL transition between various bitrates without visible artifacts.(NOTE: Shaw implements this requirement.  This requirement is for test plan linkage)
TR-DSRSW-1656 Performance Attributes 
TR-DSRSW-1657  The product SHALL operate for 4 hours while continually playing back highest supported resolution video and audio content without any visual or audio artifacts, hangs, exceptions, or resets.
TR-DSRSW-1658  The product SHALL support applicable satellite background recording requirements during a VOD session. (For example, if the product supports two HD or SD background satellite recordings from signal tuners, the product shall still be able to record two SD or HD services in the background while a VOD service plays in the foreground).
TR-DSRSW-1659  The product SHALL apply the decoded output of internet video on all applicable ports (viz HDMI, Composite, Optical audio, Analog Audio, etc.) consistent with current configuration when the rendering of internet media content is in progress
TR-DSRSW-1660  The product SHALL render the internet video content in accordance with any scaling requested by the Application, provided the requested scaling is feasible under hardware support.
TR-DSRSW-1661  The product SHALL enable CGMS-Analog (Type A) for video copy protection during http based rendering of internet video content. (NOTE: The only analog video output for this product is 480i60 composite video, hence, only CGMS-A Type A is required.  Type B is used for 480p60 and higher analog resolutions)
TR-DSRSW-1662 Closed Captions 
TR-DSRSW-1663  The product SHALL support decoding and rendering closed captions during http based rendering of internet video content, as defined by the closed caption requirements in this PFS.
TR-DSRSW-2183 Variant Playlists 
TR-DSRSW-2184 General </t>
  </si>
  <si>
    <t>TR-DSRSW-2215  The product SHALL protect the Wi-Fi password in secure encrypted memory.
TR-DSRSW-2244 Wi-Fi 
TR-DSRSW-2245 General 
TR-DSRSW-2246  The product shall include an 802.11 wireless interface compliant with [80211ac].
TR-DSRSW-2247  The DSR800 product shall be designated as the "DSR800".
TR-DSRSW-2248  The DSR830 product shall be designated as the "DSR830".
TR-DSRSW-2251  The product shall be capable of supporting at least 5 wireless devices simultaneously connected to the AP.
TR-DSRSW-2252 Operating Mode 
TR-DSRSW-2253  The product shall automatically configure itself as an 802.11ac access point.
TR-DSRSW-2254  The product shall automatically configure itself as an 802.11ac client.  
TR-DSRSW-2255 PHY 
TR-DSRSW-2256  The product shall support operating in the 5 GHz U-NII bands. (Low/Mid/Worldwide/Upper)
TR-DSRSW-2273  The product shall be capable of generating RF transmit power (EIRP) up to 1 watt to each transmit antenna.
(While the hardware must be capable of transmitting up to 1 watt, regulatory requirements may limit the actual transmission power in operation.)
TR-DSRSW-2275  The product shall support the Short Guard Interval as specified in the 802.11 specification.
TR-DSRSW-2278 MAC 
TR-DSRSW-2279  The product shall support power save modes according to IEEE 802.11e [80211e]. (Note: 802.11e support is typically included in 802.11n and 802.11ac products)
TR-DSRSW-2280  The product shall support traffic prioritization based on Wi-Fi WMM to allow prioritization of video signaling &amp; traffic as well as control traffic.
TR-DSRSW-2281  The STB shall classify packets based on the DSCP tag and forward to the WMM queue as specified in the table below:
(Note that client ACKs must also be classified to get priority)
TR-DSRSW-2288  The product shall associate VLAN-ID and SSID to avoid broadcast domain mixing.
TR-DSRSW-2289 Security 
TR-DSRSW-2290  The product shall be capable of supporting WPA and WPA2 encryption.
TR-DSRSW-2291  The product shall support Wi-Fi Protected Setup (WPS) Push Button Configuration (PBC) authentication method.  (Note that the push button is implemented as a virtual push button on a Shaw app user screen).
TR-DSRSW-2292  The product shall support the Wi-Fi Protected Setup (WPS) PIN athentication method.
TR-DSRSW-2294  The product when operating as an AP shall include an internal registrar.
(Note: A registrar is a logical entity that is responsible for authenticating and issuing security credentials to wireless client devices. Support for interfacing with an external registrar is not required.)
TR-DSRSW-2295  The product shall include provisions for a WPS button and bi-color red/green status LED and, if installed, shall operate as follows:
1)	During WPS pairing (which has a 2 minute time out) then both devices' LEDs flash.
2)	If WPS is successful (at any time during the 2 minutes) then the LED immediately turns solid, stays solid for 30 seconds, then turns OFF.
3)	If 2 minutes elapse and no device is found then the LED turns solid and stays solid forever.
4)	If WPS fails (due to any reason, at any time during the process) then the device LED goes solid immediately and stays solid forever.
5)	Upon reboot, if the device is able to pair up automatically (based on previously saved WPS info) then the LED remains off.
6)	If an AP has just finished pairing with an STA and a second WPS session is started with another STA, the AP will start its second blinking after the 30 second time, described in 2) above, has elapsed.
TR-DSRSW-2296 Bridging 
TR-DSRSW-2297  The product shall operate as a layer 2 bridge between the Ethernet and the wireless interface.
TR-DSRSW-2298  The product shall support IGMPv3 snooping to enable the forwarding of multicast packets.
TR-DSRSW-2299  The product shall be capable of bridging Ethernet frames which include a VLAN Tag (802.1Q header).
TR-DSRSW-2302  The product shall store wireless configuration parameters in non-volatile memory.
TR-DSRSW-2305 LEDs 
TR-DSRSW-2306  The Access Point product shall include a red/green or green LED controlled by firmware on the front panel which provides the following wireless link quality status:
·	Amber or Off: SSID ready but no Clients associated.
·	Green: SSID ready and one or more Clients associated.
TR-DSRSW-2307  The Client product shall include a red/green or green LED controlled by firmware on the front panel which provides the following wireless link status and per the product:
·	Amber or Off: SSID ready but not associated to an AP.
·	Green: SSID ready and associated to an AP.
TR-DSRSW-2308 Application Support 
TR-DSRSW-2309  The product SHALL provide an API that allows the application to read the Wi-Fi Wireless Interface MAC address.
TR-DSRSW-2310  The product SHALL provide an API that allows the application to enable/disable the Wi-Fi Radio.
TR-DSRSW-2313  The product shall provide an API so the application can determine Wi-Fi connection status.
TR-DSRSW-2314  The product shall provide an API for the application to initiate pairing with a wireless access point.  
TR-DSRSW-2317 Wireless Network Setup 
TR-DSRSW-2322  The product shall provide feedback to the end user indicating the Wi-Fi networks that are detected.  The feedback should include the signal strength, the SSID, and if the network is open or protected.
TR-DSRSW-2326  The product shall display success/failure feedback to the end user as a result of network entry attempts.
TR-DSRSW-2327  The product shall retain the network pairing information through power cycles.  Reboots, and Initialize messages from the headend.
TR-DSRSW-2329  The product shall be capable of providing at least four (4) SSIDs.
TR-DSRSW-2330  The product shall be capable of broadcasting all four (4) SSIDs simultaneously.
TR-DSRSW-2331  The product shall broadcast the ASCII string "ARRISDSR_[serial_number]" where [serial_number] is the serial number of the unit. 
TR-DSRSW-2333  The product shall support protected management frames via Broadcast/Multicast Integrity Protocol (BIP) per [80211w].
TR-DSRSW-2334  The product shall pass VLAN packets tagged per [8021q].
TR-DSRSW-2335  The product shall support 128 bit AES encryption.
TR-DSRSW-2336  AES shall be the default encryption.
TR-DSRSW-2337  The product shall link SSID Broadcast with WPS active when commanded enabled via TR-069.  
TR-DSRSW-2338  The product shall implement the following truth table:
	SSIDAdvertisementEnabled
WPSSSIDHiddenEnabled	T	F
T	SSID Always On	SSID On when WPS Active
F	SSID Always On	SSID Always Off
TR-DSRSW-2339  The product when operating as an AP or as a WDS extender shall include an internal registrar.  
NOTE: A registrar is a logical entity that is responsible for authenticating and issuing security credentials to wireless client devices. Support for interfacing with an external registrar is not required.
TR-DSRSW-2342 TR-069 Management Application 
TR-DSRSW-2344  The product shall provide a TR-69 management application as defined in [VAP TR69-1].
TR-DSRSW-2345  The product shall provide a TR-181 data model as defined in [TR181] 
TR-DSRSW-2346  The product shall provide a TR-0181 data model-based fault alarm system per [TR181].  
TR-DSRSW-2347  The product shall provide a TR-098 data model as defined in [TR098].  
TR-DSRSW-2348 Wi-Fi Certification Capability 
TR-DSRSW-2355  The product shall be capable of passing the Wi-Fi 802.11ac certification based on Wi-Fi Alliance Certification Standards.
TR-DSRSW-2356  The product shall be capable of passing the Wi-Fi 802.11n certification based on Wi-Fi Alliance Certification Standards.
NOTE: 802.11n certification is needed to be compatible with 802.11n devices
TR-DSRSW-2358  The product shall be capable of passing the Wi-FI Multimedia (WMM) certification based on Wi-Fi Alliance Certification Standards.
TR-DSRSW-2359  The product shall be capable of passing the Wi-Fi WPA and WPA2 network security certification based on Wi-Fi Alliance Certification Standards.
TR-DSRSW-2375  The product shall support operating in the 2.4 GHz ISM bands.
TR-DSRSW-2376  NOTE on Band Types:
https://en.wikipedia.org/wiki/U-NII:
Band				Freq.Range	Bandwidth	MaxPower	Max EIRP
U-NII Low / U-NII-1 / U-NII Indoo	5.150-5.250 G	100 MHz	50 mW		200 W
U-NII Mid / U-NII-2 / Power	5.250–5.350 G	100 MHz	250 mW	1 W
U-NII WorldWide / U-NII-2e	5.470-5.725 G	255 MHz	.		.
U-NII Upper / U-NII-3		5.725-5.825 G	100 MHz	1 W		200 W
TR-DSRSW-2395  The product shall support WPA-Personal PSK (Pre-Shared Key) authentication method.
TR-DSRSW-2396  The product SHALL operated in dual band selectable mode.
TR-DSRSW-2522  The DSR830 product shall be designated as the "DSR600".
TR-DSRSW-2523  The DSR830 product shall be designated as the "DSR605".
TR-DSRSW-2524  The DSR830 product shall be designated as the "DSR630".</t>
  </si>
  <si>
    <t>TR-DSRSW-1691 LNB CSS (Channel Stacking Switch) 
TR-DSRSW-1692 CSS General 
TR-DSRSW-1693  The product SHALL comply with the CSS command definitions in CENELEC [EN50494 - 1]. Note, this requirement does not imply compliance with the examples or command sequences described in the above standards.
TR-DSRSW-1694  The product SHALL, IF the Factory Reset user interface indicates that CSS settings are not retained, set the satellite installation mode to legacy mode AFTER a factory reset.
TR-DSRSW-1695  The product SHALL, IF the Factory Reset user interface indicates that CSS settings are retained, restore the UB slot number setting(s) upon power-up.
TR-DSRSW-1696  The product SHALL, IF the Factory Reset user interface indicates that CSS settings are retained, restore the UB frequency (automatic or manual) setting(s) upon power-up.
TR-DSRSW-1697 Power ON - Satellite Installation Mode 
TR-DSRSW-1698  The product SHALL, AFTER an AC power-on, set the satellite installation mode (CSS or Legacy) to the last satellite installation mode set by the application. (Note: satellite installation mode is typically stored in flash memory).
TR-DSRSW-1699 CSS Reclaim UB Slot 
TR-DSRSW-1700  The product SHALL, AFTER an AC power-on, WHEN CSS mode is enabled, AND CSS manual installation is not enabled, use the stored UB (user band) slot parameters for a satellite tuner IF that UB slot has not been claimed by another receiver.
TR-DSRSW-1701  The product SHALL, AFTER an AC power-on, WHEN CSS mode is enabled, AND CSS manual installation is not enabled, enter CSS auto installation for a satellite tuner IF that UB slot has been claimed by another receiver.
TR-DSRSW-1702  The product SHALL, AFTER an AC power-on, WHEN CSS mode is enabled, AND CSS manual installation is enabled, use the stored UB (user band) slot parameters.
TR-DSRSW-1703  The product SHALL, AFTER an AC power-on, WHEN CSS mode is enabled, AND CSS manual installation is enabled, notify the application that the manual CSS acquisition has failed IF that UB is claimed by another receiver.
TR-DSRSW-1704  The product SHALL avoid CSS signal collisions during an AC power on sequence. (Note: this can be tested by simultaneously powering up all the set-tops that are on the same satellite feed.)
TR-DSRSW-1705 CSS Reclaim UB Slot - Front Panel Reset 
TR-DSRSW-1706  The product SHALL, AFTER a Front panel reset, WHEN CSS mode is enabled, AND CSS manual installation is not enabled, use the stored UB (user band) slot parameters for a satellite tuner IF that UB slot has not been claimed by another receiver.
TR-DSRSW-1707  The product SHALL, AFTER a Front panel reset, WHEN CSS mode is enabled, AND CSS manual installation is not enabled, enter CSS auto installation for a satellite tuner IF that UB slot has been claimed by another receiver.
TR-DSRSW-1708  The product SHALL, AFTER a Front panel reset, WHEN CSS mode is enabled, AND CSS manual installation is enabled, use the stored UB (user band) slot parameters.
TR-DSRSW-1709  The product SHALL, AFTER a Front panel reset, WHEN CSS mode is enabled, AND CSS manual installation is enabled, notify the application that the manual CSS acquisition has failed IF the UB slot is in use by another receiver.
TR-DSRSW-1710 CSS Manual Installation 
TR-DSRSW-1711  The product SHALL, during CSS manual installation, use the UB slot number entered by the user for the each selected satellite tuner (regardless of if the UB slot is in use by another receiver).
TR-DSRSW-1712 CSS Auto Installation 
TR-DSRSW-1713  The product SHALL allow the application to initiate CSS auto installation.
TR-DSRSW-1714  The product shall power off and make available the tuner's current UB slot, if any, prior to attempting to acquire a UB slot during CSS auto installation.
TR-DSRSW-1715  The product SHALL, during single cable CSS auto installation, make a first attempt to acquire the lowest available UB slot number.
TR-DSRSW-1716  The product SHALL, IF no UB slots are available after the first UB acquisition attempt, power OFF each accessible UB slot, then make a second attempt to claim to lowest available UB slot. (Note: In this context, "accessible UB slot" refers to all the possible UB slots that are available to the satellite tuner. This will vary depending on the configuration of the SCIF since not all UB slots are necessarily available on each SCIF output).
TR-DSRSW-1717  The product SHALL, IF CSS auto installation UB slot acquisition IS successful, save the allocated UB number to nonvolatile memory.
TR-DSRSW-1718  The product SHALL, IF CSS auto installation UB slot acquisition IS successful, save the allocated UB frequency to nonvolatile memory.
TR-DSRSW-1719  The product SHALL, IF CSS auto installation IS NOT successful, notify the application of the failure.
TR-DSRSW-1720  The product SHALL, at the conclusion of the auto installation process, power OFF all UB tones that were enabled during the auto installation process.
TR-DSRSW-1721 Channel Change 
TR-DSRSW-1722  The product SHALL, for a channel change while CSS is enabled, acquire the target channel at the assigned UB frequency, accounting for any rounding error in the CSS channel change command tuning word.
TR-DSRSW-1723  The product SHALL, after a channel change, notify the application IF the PAT TSID does not match the TSID given in the Network Information Tables (NITs). (Note: the application should attempt to retune if the TSID does not match, but eventually give up allowing NITs to update if necessary.)
TR-DSRSW-1724  The product SHALL, after detection of a DISEqC CSS message collision, wait for a random duration period before generating a new DISEqC CSS message to minimize subsequent traffic collisions. (note: [EN50494-1] section 8 demonstates one possible method.)
TR-DSRSW-1725 CSS Signal Loss 
TR-DSRSW-1726  The product SHALL, after UB carrier loss while CSS is active, reclaim the associated UB slot within 1 second.</t>
  </si>
  <si>
    <t>FR-DSRSW-1537</t>
  </si>
  <si>
    <t>The product SHALL support six
 CSS user bands.</t>
  </si>
  <si>
    <t>TR-DSRSW-2557  The product SHALL support six CSS user bands.
TR-DSRSW-2558  The product SHALL support the following user band frequencies:
    1. 1210 MHz 
    2. 1420 MHz
    3. 1550 MHz
    4. 1680 MHz
    5. 1892 MHz
    6. 2040 MHz</t>
  </si>
  <si>
    <t>20.0-3</t>
  </si>
  <si>
    <t>The product SHALL support eight
 CSS user bands.</t>
  </si>
  <si>
    <t>Jenner
Adara 1.1
Deneb</t>
  </si>
  <si>
    <t>TR-DSRSW-2559  The product SHALL support eight CSS user bands.
TR-DSRSW-2560  The product SHALL support the following user band frequencies:
    1. 1210 MHz 
    2. 1420 MHz
    3. 1550 MHz
    4. 1680 MHz
    5. 1892 MHz
    6. 2040 MHz
    7. 1270 MHz
    8. 1330 MHz</t>
  </si>
  <si>
    <t>20.0-4</t>
  </si>
  <si>
    <t>TR-DSRSW-1727 LNB Type API 
TR-DSRSW-1728  The product SHALL provide an API to allow application software to determine the LNB type.  Supported LNB types are:
 1. Quad band 
 2. xKu band
 3. CSS with Quad band
 4. CSS with xKu band</t>
  </si>
  <si>
    <t>TR-DSRSW-1735  The product SHALL be capable of the following 8-PSK symbol and code rate combination: 20.50 Msps symbol rate, 2/3 code rate, 1.92 bps payload
TR-DSRSW-1736  The product SHALL be capable of the following 8-PSK symbol and code rate combination: 20.50 Msps symbol rate, 3/4 code rate, 2.05 bps payload
TR-DSRSW-1737  The product SHALL be capable of the following 8-PSK symbol and code rate combination: 20.50 Msps symbol rate, 3/4 code rate, 2.11 bps payload
TR-DSRSW-1738  The product SHALL be capable of the following 8-PSK symbol and code rate combination: 21.00 Msps symbol rate, 2/3 code rate, 1.92 bps payload
TR-DSRSW-1739  The product SHALL be capable of the following 8-PSK symbol and code rate combination: 21.00 Msps symbol rate, 3/4 code rate, 2.05 bps payload
TR-DSRSW-1740  The product SHALL be capable of the following 8-PSK symbol and code rate combination: 21.00 Msps symbol rate, 3/4 code rate, 2.11 bps payload
TR-DSRSW-1741  The product SHALL be capable of the following 8-PSK symbol and code rate combination: 21.50 Msps symbol rate, 2/3 code rate, 1.92 bps payload
TR-DSRSW-1742  The product SHALL be capable of the following 8-PSK symbol and code rate combination: 21.50 Msps symbol rate, 3/4 code rate, 2.05 bps payload
TR-DSRSW-1743  The product SHALL be capable of the following 8-PSK symbol and code rate combination: 21.50 Msps symbol rate, 3/4 code rate, 2.11 bps payload
TR-DSRSW-1744  The product SHALL be capable of the following 8-PSK symbol and code rate combination: 22.00 Msps symbol rate, 2/3 code rate, 1.92 bps payload
TR-DSRSW-1745  The product SHALL be capable of the following 8-PSK symbol and code rate combination: 22.00 Msps symbol rate, 3/4 code rate, 2.05 bps payload
TR-DSRSW-1746  The product SHALL be capable of the following 8-PSK symbol and code rate combination: 22.00 Msps symbol rate, 3/4 code rate, 2.11 bps payload
TR-DSRSW-2193 8-PSK Demodulation 
TR-DSRSW-2456  The product SHALL be capable of the following 8-PSK symbol and code rate combination: 22.00 Msps symbol rate, 5/6 code rate, 2.30 bps payload
TR-DSRSW-2457  The product SHALL be capable of the following 8-PSK symbol and code rate combination: 22.00 Msps symbol rate, 8/9 code rate, 2.40 bps payload</t>
  </si>
  <si>
    <r>
      <t>TR-DSRSW-1749 Service Acquisition 
TR-DSRSW-1750  The product SHALL return an error and take no further action (i.e. any existing services that would have been replaced are not affected by the failed acquisition attempt) if any parameter provided by a client to acquire a service is invalid.  
TR-DSRSW-1751  The product SHALL allow the user to select normal, non-hidden services with virtual channel numbers in the range of 1 to 999 decimal. 
TR-DSRSW-1752  The product SHALL acquire services with virtual channel numbers in the range of 1 to 4095 decimal. 
TR-DSRSW-1753  The product SHALL support audio services regardless of whether a video component is present. (tags: audio only, music channel )
TR-DSRSW-1766 A/V Component Selection 
TR-DSRSW-1767  When an A/V service is acquired, and the client indicates that default components should be selected, the product SHALL select the audio component that corresponds to the preferred language if the preferred language has been configured and there is an audio component that matches the preferred language. 
TR-DSRSW-1768  The product SHALL select the first audio component listed in the PMT if there is no audio component that matches the preferred language.
TR-DSRSW-1769  The product SHALL automatically update selection of A/V component streams when the settop's language configuration changes. 
TR-DSRSW-1770 Virtual Channel (VCT) 
TR-DSRSW-1771  The product SHALL only accept Virtual Channel Table (VCT)  Messages where the enumerated type transmission_medium indicates a "reseved10" transmission medium.
TR-DSRSW-1772  The product SHALL maintain the Virtual Channel Table (VCT) in non-volatile memory. 
TR-DSRSW-1773 ROM Resident VCT 
TR-DSRSW-1774  The product SHALL use the ROM resident VCT containing the Satellite Virtual Channels until updated by valid VCT messages.
TR-DSRSW-1775  The product SHALL contain a ROM based default virtual channel map with VCT ID 0x1100 (decimal 4352). 
TR-DSRSW-1776  The product SHALL default to the ROM based virtual channel map after a Factory Reset. 
TR-DSRSW-1777  The product SHALL contain a default ROM resident VCT as defined in the table below.
Chn  Xpdr  Sat  Po  Frequency  SymRate  CR  Mod  Ton  SvcN  SourceID
200  49  1  VR  1147750000  19510470  3/4  QPSK  0  010  0x0002
201  40  1  HL  0970000000  19510470  3/4  QPSK  0  255  0x0003
202  41  1  VR  1010000000  29265700  7/8  QPSK  0  005  0x0009
203  42  1  HL  1010000000  19510470  3/4  QPSK  0  255  0x000C
204  08  1  VR  0964750000  19510470  3/4  QPSK  0  255  0x000D
205  44  1  HL  1050000000  19510470  3/4  QPSK  0  255  0x000E
206  03  1  VR  1070000000  19510470  3/4  QPSK  0  255  0x000F
207  46  1  HL  1090000000  19510470  3/4  QPSK  0  255  0x0013
208  03  1  VR  1070000000  19510470  3/4  QPSK  0  255  0x03B5
209  48  1  HL  1130000000  19510470  3/4  QPSK  0  255  0x03B6
210  29  1  HL  1147750000  19510470  3/4  QPSK  0  255  0x002A
211  29  1  HL  1147750000  19510470  3/4  QPSK  0  255  0x002F
212  51  1  VR  1190000000  19510470  3/4  QPSK  0  255  0x0030
213  52  1  HL  1210000000  19510470  3/4  QPSK  0  255  0x0031
214  53  1  VR  1230000000  19510470  3/4  QPSK  0  255  0x0050
215  54  1  HL  1250000000  19510470  3/4  QPSK  0  255  0x0051
216  55  1  VR  1270000000  19510470  3/4  QPSK  0  255  0x0057
217  56  1  HL  1290000000  19510470  3/4  QPSK  0  255  0x0058
218  57  1  VR  1310000000  19510470  3/4  QPSK  0  255  0x005B
222  61  1  VR  1390000000  19510470  3/4  QPSK  0  255  0x005C
223  62  1  HL  1410000000  19510470  3/4  QPSK  0  255  0x005D
224  63  1  VR  1430000000  19510470  3/4  QPSK  0  255  0x005F
231  14  1  VR  1230000000  19510470  3/4  QPSK  0  255  0x0064
232  15  1  HL  1250000000  19510470  3/4  QPSK  0  255  0x006D
233  16  1  VR  1270000000  19510470  3/4  QPSK  0  255  0x0074
234  17  1  HL  1290000000  19510470  3/4  QPSK  0  255  0x0075
250  24  1  VR  1825000000  19510470  3/4  QPSK  0  255  0x0076
251  23  1  VR  1370000000  14632850  7/8  OQPSK  0  255  0x0077
252  24  1  VR  1825000000  19510470  3/4  QPSK  0  255  0x0078
253  25  1  VR  1130000000  04877617  3/4  OQPSK  0  255  0x0079
254  26  1  VR  1170000000  19510470  3/4  QPSK  0  255  0x007A
256  28  1  HL  1123500000  19510470  3/4  QPSK  0  255  0x00A3
257  29  1  HL  1147750000  19510470  3/4  QPSK  0  255  0x00A4
258  30  1  VR  1310000000  19510470  3/4  QPSK  0  255  0x00A5
259  31  1  HL  1278500000  19510470  3/4  QPSK  0  255  0x00A6
260  32  1  VR  1427000000  19510470  3/4  QPSK  0  255  0x00BF
265  02  1  VR  1641750000  21000000  2.11  PSK_8  0  101  0xFB6F
266  45  1  VR  1147750000  20500000  1.92  PSK_8  1  001  0xFAA3
267  43  1  VR  1018500000  22000000  8/9  PSK_8  0  102  0xFC7E
268  27  1  VR  1824750000  20500000  1.92  PSK_8  0  285  0x010A
281  01  1  VR  1422250000  19510470  3/4  QPSK  0  255  0x010B
283  03  1  VR  1070000000  19510470  3/4  QPSK  0  255  0x010D
284  04  1  VR  1054000000  19510470  3/4  QPSK  0  255  0x010E
285  05  1  VR  1089000000  19510470  3/4  QPSK  0  255  0x010F
286  06  1  VR  0995250000  19510470  3/4  QPSK  0  255  0x0110
287  07  1  VR  1150000000  19510470  3/4  QPSK  0  255  0x0111
288  08  1  VR  0964750000  19510470  3/4  QPSK  0  255  0x0112
289  09  1  VR  1391750000  19510470  3/4  QPSK  0  255  0x0113
290  10  1  VR  1237000000  19510470  3/4  QPSK  0  255  0x0114
291  11  1  HL  1374250000  19510470  3/4  QPSK  0  255  0x0115
292  12  1  HL  1311000000  19510470  3/4  QPSK  0  255  0x0116
293  13  1  VR  1117250000  19510470  3/4  QPSK  0  255  0x0117
299  06  1  VR  0995250000  19510470  3/4  QPSK  0  255  0x1010
350  01  1  VR  1422250000  19510470  3/4  QPSK  1  255  0x0071
402  06  1  VR  0995250000  19510470  3/4  QPSK  0  255  0x011A
501  26  1  VR  1170000000  19510470  3/4  QPSK  0  255  0x011B
503  26  1  VR  1170000000  19510470  3/4  QPSK  0  255  0x011C
509  26  1  VR  1170000000  19510470  3/4  QPSK  0  255  0x011E
666  42  1  HL  1010000000  19510470  3/4  QPSK  0  255  0x0118
668  42  1  HL  1010000000  19510470  3/4  QPSK  0  255  0x0119
700  00  1  HL  1313250000  19510470  3/4  QPSK  1  255  0x007D
703  30  1  VR  1310000000  19510470  3/4  QPSK  0  255  0x0120
705  30  1  VR  1310000000  19510470  3/4  QPSK  0  255  0x0121
899  47  1  VR  1210000000  21000000  8/9  PSK_8  0  255  0x011F
900  23  1  VR  1370000000  14632850  7/8  OQPSK  0  040  0x0399
901  50  1  HL  1620000000  22000000  5/6  PSK_8  0  255  0x0128
902  47  1  VR  1210000000  21000000  8/9  PSK_8  0  255  0x0129
904  58  1  VR  1430000000  20000000  1.92  PSK_8  0  010  0x0123
905  58  1  VR  1430000000  20000000  1.92  PSK_8  1  003  0x0124
906  59  1  HL  1430000000  21500000  2.11  PSK_8  0  020  0x0125
907  59  1  HL  1430000000  21500000  2.11  PSK_8  1  023  0x0126
908  60  1  HL  0970000000  20000000  1.92  PSK_8  0  000  0x0127
921  34  1  HL  0990000000  29265700  1/2  QPSK  0  021  0x0399
922  34  1  HL  0990000000  29265700  1/2  QPSK  0  022  0x039A
926  34  1  HL  0990000000  29265700  1/2  QPSK  0  026  0x039E
927  34  1  HL  0990000000  29265700  1/2  QPSK  0  027  0x039F
928  34  1  HL  0990000000  29265700  1/2  QPSK  0  028  0x03A0
929  37  1  HL  1470000000  19510470  3/4  QPSK  0  030  0x03A1
930  38  1  VR  2130000000  19510470  3/4  QPSK  0  013  0x03A2
931  39  1  HL  0970000000  29265700  1/2  QPSK  0  020  0x03A3
932  18  1  HL  1540000000  19510470  3/4  QPSK  0  013  0x03A4
933  19  1  VR  1540000000  29265700  1/2  QPSK  0  020  0x03A5
934  20  1  VR  2140000000  19510470  3/4  QPSK  0  016  0x03A6
935  21  1  HL  2140000000  29265700  1/2  QPSK  0  023  0x03A7
943  36  1  HL  0990000000  19510470  3/4  QPSK  0  010  0x03AF
944  36  1  HL  0990000000  19510470  3/4  QPSK  0  011  0x03B0
945  36  1  HL  0990000000  19510470  3/4  QPSK  0  012  0x03B1
946  36  1  HL  0990000000  19510470  3/4  QPSK  0  013  0x03B2
947  36  1  HL  0990000000  19510470  3/4  QPSK  0  014  0x03B3
948  36  1  HL  0990000000  19510470  3/4  QPSK  0  015  0x03B4
954  57  1  VR  1310000000  19510470  3/4  QPSK  0  001  0x0015
955  57  1  VR  1310000000  19510470  3/4  QPSK  0  002  0x0015
956  57  1  VR  1310000000  19510470  3/4  QPSK  0  003  0x0015
957  57  1  VR  1310000000  19510470  3/4  QPSK  0  004  0x0015
958  57  1  VR  1310000000  19510470  3/4  QPSK  0  005  0x0016
962  57  1  VR  1310000000  19510470  3/4  QPSK  0  009  0x03C2
963  57  1  VR  1310000000  19510470  3/4  QPSK  0  010  0x03C3
964  57  1  VR  1310000000  19510470  3/4  QPSK  0  011  0x03C4
965  57  1  VR  1310000000  19510470  3/4  QPSK  0  012  0x03C5
966  57  1  VR  1310000000  19510470  3/4  QPSK  0  013  0x03C6
967  57  1  VR  1310000000  19510470  3/4  QPSK  0  014  0x03C7
968  38  1  VR  2130000000  19510470  3/4  QPSK  0  015  0x03C8
969  35  1  HL  1430000000  29265700  1/2  QPSK  0  020  0x03C9
970  35  1  HL  1430000000  29265700  1/2  QPSK  0  021  0x03CA
971  35  1  HL  1430000000  29265700  1/2  QPSK  0  022  0x03CB
972  35  1  HL  1430000000  29265700  1/2  QPSK  0  001  0x0016
976  35  1  HL  1430000000  29265700  1/2  QPSK  0  023  0x03D0
977  35  1  HL  1430000000  29265700  1/2  QPSK  0  024  0x03D1
978  35  1  HL  1430000000  29265700  1/2  QPSK  0  025  0x03D2
979  35  1  HL  1430000000  29265700  1/2  QPSK  0  001  0x0017
980  39  1  HL  0970000000  29265700  1/2  QPSK  0  026  0x03D4
981  35  1  HL  1430000000  29265700  1/2  QPSK  0  027  0x03D5
982  35  1  HL  1430000000  29265700  1/2  QPSK  0  028  0x03D6
985  57  1  VR  1310000000  19510470  3/4  QPSK  0  016  0x03D9
986  57  1  VR  1310000000  19510470  3/4  QPSK  0  017  0x03DA
987  57  1  VR  1310000000  19510470  3/4  QPSK  0  018  0x03DB
988  57  1  VR  1310000000  19510470  3/4  QPSK  0  019  0x03DC
989  33  1  VR  1175000000  20000000  1.92  PSK_8  0  004  0x012A
990  33  1  VR  1175000000  20000000  1.92  PSK_8  0  002  0x012B
TR-DSRSW-1778 Network Information (NIT) 
TR-DSRSW-1779  The product SHALL only accept Network Information (NIT) Messages where the enumerated type transmission_medium indicates a "reseved10" transmission medium.
TR-DSRSW-1780  The product SHALL process the Satellite Information Table (SIT) associated with the current Virtual Channel Table's (VCT) lowest channel number.
TR-DSRSW-1781  The product SHALL maintain the Satellite Information Table (SIT) tuning data in non-volatile memory. 
TR-DSRSW-1782  The product SHALL maintain the Transponder Data Table (TDT) tuning data in non-volatile memory. 
TR-DSRSW-1783  The product SHALL maintain the Modulation Mode Table (MMT) tuning data in non-volatile memory. 
TR-DSRSW-1784  The product SHALL maintain the Carrier Definition Table (CDT) tuning data in non-volatile memory. 
TR-DSRSW-1785 Program Association (PAT) 
TR-DSRSW-1786  If an active A/V service is modified in the PAT, the product SHALL reacquire the service and notify the application client. 
TR-DSRSW-1787 Program Map (PMT) 
TR-DSRSW-1788  If the PCR PID in the PMT changes for an A/V service, the product SHALL reacquire the A/V service. 
TR-DSRSW-1789 Program Information Message 
TR-DSRSW-1791  The product SHALL notify the application of any ratings contained in the Program Information messages of associated services.
TR-DSRSW-1792 Flexible Services 
TR-DSRSW-1793  Flexible services are multiple services constructed from various combinations of service components {e.g. video, audio, data, etc.} originating from the same television service processor within the DCII encoder.
Within the confines of the MPEG-2 definition, it is permissible to define services that share streams with other services.  For example, services 0x0012 and 0x0013 may be defined with a video component in common:
  [Service 0x0012:    Video PID =     0x1012 
            Audio PID 1 = 0x0212 
            Audio PID 2 = 0x0213 ]
  [Service 0x0013:    Video PID = 0x1012 
            Audio PID 1 = 0x0214 ]
The PMT PID contains one PMT for each flexible service, but only one (Program Information Message) PIM and one (Program Name Message) PNM for all of the services.  Thus, to conserve bandwidth, the PIM and PNM use a wildcard service number.
TR-DSRSW-1801  The product SHALL process Program Information messages if the service number is 0x0000 ("wildcard service number"). 
TR-DSRSW-1811 Service Acquisition Performance 
TR-DSRSW-1815</t>
    </r>
    <r>
      <rPr>
        <b/>
        <sz val="11"/>
        <color theme="1"/>
        <rFont val="Calibri"/>
        <family val="2"/>
        <scheme val="minor"/>
      </rPr>
      <t xml:space="preserve"> Services on Different Transponder</t>
    </r>
    <r>
      <rPr>
        <sz val="11"/>
        <color theme="1"/>
        <rFont val="Calibri"/>
        <family val="2"/>
        <scheme val="minor"/>
      </rPr>
      <t>s 
TR-DSRSW-2194 Channel Selection 
TR-DSRSW-2476  The product SHALL, while in standby mode, continue to support DCII Network Message processing.
TR-DSRSW-2477  The product SHALL, while in standby mode, continue to support DCII Service Control Channel message processing.
TR-DSRSW-2520  The product SHALL be capable of storing a minimum of 905 channel definitions.
TR-DSRSW-2563  The product SHALL send valid PMT PID-to-elementary-stream association data to the application in response to tune request APIs.  (Note, in previous SW versions, unvisited channels in the VCT did not have cached PID values, thus, incorrect PMT PID values were sent).</t>
    </r>
  </si>
  <si>
    <t>TR-DSRSW-1754 Channel Overrides 
TR-DSRSW-1755  If the platform is in control of tuning, the product SHALL retain the permanent definition of the virtual channel (base channel) that is being overidden for a particular inband service path in order to go back to the correct channel on that inband service path when the override action is concluded. 
TR-DSRSW-1756  The product SHALL support the dynamic changes to override definitions, so that an override may itself be overridden by a new channel definition for a particular inband service path. 
TR-DSRSW-1757  The product SHALL support pending channel overrides with queue overrides that will occur at a given future time for all inband service paths. 
TR-DSRSW-1758  The product SHALL maintain an activation time queue for each individual inband service path and use this queue for channel overrides that must be activated in the future.  
TR-DSRSW-1759  A channel override for a particular inband service path must have the same VCT_ID as the system's VCT_ID.  
TR-DSRSW-1760  The product SHALL filter out channel override for a particular inband service path if the VCT_ID is different from the system's VCT_ID, and the VCT_ID of the channel override isn't zero (wildcard). 
TR-DSRSW-1761  The product SHALL accept a Channel Override Message only if the IRD is subject to the specified message preamble condition(s) for the start time in question. (Note, preamble conditions are typically one or two geographic circles).
TR-DSRSW-1762  The product SHALL support the Channel Override Message with one or more of the following preamble conditions:
	Tier Match
	Circle Test
	Region
TR-DSRSW-1763  The product SHALL only accept Channel Override Messages where the enumerated type transmission_medium indicates a "reseved10" transmission medium.
TR-DSRSW-1764  The product SHALL, in the case of contending active channel overrides with different activation times, accept Channel Override Messages with the later activation time.
TR-DSRSW-1765  The product SHALL, in the case of contending active channel overrides with the same activation time, accept the last received Channel Override Messages.
TR-DSRSW-2474 Standby Message Processing 
TR-DSRSW-2478  The product SHALL cancel the channel override if the applicable Channel Override Message contains a override_duration of zero, tuning to the definition given in the channel map. 
TR-DSRSW-2484  The product SHALL support appending DVR AV program files that occur due to a channel override.
TR-DSRSW-2485  The product SHALL support appending DVR AV program files that occur due to a power loss.</t>
  </si>
  <si>
    <t xml:space="preserve">TR-DSRSW-1824  The product SHALL support MPEG-2 (MP@HL) video decode.
TR-DSRSW-2200  The product SHALL have a flexible video decoder that is capable of decoding compliant MPEG-2 digital video streams encoded using Main Profile and up to High Level (MP@HL) as per [ISO 13818-2].  (MP@HL = 1080i)
TR-DSRSW-2201 MPEG-2 Video Decode </t>
  </si>
  <si>
    <t>TR-DSRSW-1853 Closed Captions for Live Content The product SHALL comply with all FCC Closed Caption requirements as specified in 47cfr15 for CEA-608 and FCC 00-259 for CEA-708 caption information embedded in a digital TV service.
TR-DSRSW-1854  Analog (NTSC) outputs of the Set-Top are the baseband NTSC video output, the S-Video output, the RF Remod output, and the component output when configured to 480i.  Any given Set-Top model may have one or more of these outputs present.
TR-DSRSW-1855  The product SHALL reconstruct Line 21, Field 1 and Field 2, of the VBI on its NTSC Outputs if it is tuned to a Digital service where CEA-608 caption data is present in the MPEG-2 Picture User Data of the same MPEG video frame and carried in SCTE-21 syntax. 
TR-DSRSW-1856  The product SHALL reconstruct Line 21, Field 1 and Field 2, of the VBI on its NTSC Outputs if it is tuned to a Digital service where CEA-608 caption data is present in the MPEG-2 Picture User Data of the same MPEG video frame and carried in SCTE-21 syntax with cc_type equal to '01'. 
TR-DSRSW-1857  The product SHALL reconstruct Line 21, Field 1 and Field 2, of the VBI on its NTSC Outputs if it is tuned to a Digital service where CEA-608 caption data is present in the MPEG-2 Picture User Data of the same MPEG video frame and carried in SCTE-20 syntax. 
TR-DSRSW-1858  The product SHALL reconstruct Line 21, Field 1 and Field 2, of the VBI on its NTSC Outputs using the CEA-608 caption data that was received in SCTE-20 syntax if it is tuned to a Digital service where CEA-608 caption data is present in the MPEG-2 Picture User Data of the same MPEG video frame and carried in both the SCTE-20 syntax and SCTE-21 syntax.
TR-DSRSW-1859  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TR-DSRSW-1860  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with cc_type equal to '01' for the CEA-608 captions.
TR-DSRSW-1861  The product SHALL reconstruct Line 21, Field 1 and Field 2, of the VBI on its Component Outputs using the CEA-608 caption data that was received in SCTE-20 syntax if it is tuned to a Digital service where CEA-608 caption data is present in the MPEG-2 Picture User Data of the same MPEG video frame and carried in both the SCTE-20 syntax and SCTE-21 syntax AND it is configured for 480i.
TR-DSRSW-1862  The product SHALL reconstruct Line 21, Field 1 and Field 2, of the VBI on its Component Outputs if it is tuned to a Digital service where both CEA-608 caption data AND CEA-708 caption data are present in the MPEG-2 Picture User Data of the same MPEG video frame and carried in the SCTE-21 syntax with cc_type equal to '00' for the CEA-608 captions AND it is configured for 480i.
TR-DSRSW-1863  The product SHALL reconstruct Line 21, Field 1 and Field 2, of the VBI on its Component Outputs if it is tuned to a Digital service where both CEA-608 caption data AND CEA-708 caption data are present in the MPEG-2 Picture User Data of the same MPEG video frame and carried in the SCTE-21 syntax with cc_type equal to '01' for the CEA-608 captions AND it is configured for 480i.
TR-DSRSW-1864  The product SHALL begin rendering CEA-608 captions within three (3) seconds of a transition to a Digital service where CEA-608 caption data is present.
TR-DSRSW-1865  The product SHALL begin reconstructing Line 21, Field 1 and Field 2, of the VBI within three (3) seconds if the closed caption transport syntax transitions from SCTE-21 to SCTE-20 while tuned to a Digital service where CEA-608 caption data is present in the MPEG-2 Picture User Data of the same MPEG video frame.
TR-DSRSW-1866  The product SHALL begin rendering CEA-608 captions within three (3) seconds if the closed caption transport syntax transitions from SCTE-21 to SCTE-20 while tuned to a Digital service where CEA-608 caption data is present in the MPEG-2 Picture User Data of the same MPEG video frame.
TR-DSRSW-1867  The product SHALL begin reconstructing Line 21, Field 1 and Field 2, of the VBI within three (3) seconds if the closed caption transport syntax transitions from SCTE-20 to SCTE-21 while tuned to a Digital service where CEA-608 caption data is present in the MPEG-2 Picture User Data of the same MPEG video frame.
TR-DSRSW-1868  The product SHALL begin rendering CEA-608 captions within three (3) seconds if the closed caption transport syntax transitions from SCTE-20 to SCTE-21 while tuned to a Digital service where CEA-608 caption data is present in the MPEG-2 Picture User Data of the same MPEG video frame.
TR-DSRSW-1869  The product SHALL begin reconstructing Line 21, Field 1 and Field 2, of the VBI within (3) seconds if a Digital service is tuned where CEA-608 caption data is present in the MPEG-2 Picture User Data of the same MPEG video frame.
TR-DSRSW-1870  The product SHALL begin rendering CEA-608 captions within (3) seconds if a Digital service is tuned where CEA-608 caption data is present in the MPEG-2 Picture User Data of the same MPEG video frame.
TR-DSRSW-1871  The product SHALL begin rendering CEA-708 captions within (3) seconds if a Digital service is tuned where CEA-708 caption data is present in the MPEG-2 Picture User Data of the same MPEG video frame.
TR-DSRSW-1872  The product SHALL begin rendering CEA-708 captions within (3) seconds if the closed caption data format transitions from CEA-608 to CEA-708 while tuned to a Digital service.
TR-DSRSW-1873  The product SHALL begin reconstructing Line 21, Field 1 and Field 2, of the VBI within three (3) seconds if the closed caption data format transitions from CEA-708 to CEA-608 while tuned to a Digital service.
TR-DSRSW-1874  The product SHALL begin rendering CEA-608 captions within (3) seconds if the closed caption data format transitions from CEA-708 to CEA-608 while tuned to a Digital service.
TR-DSRSW-1875  The product SHALL disregard the '1000 000' seven-bit field of the SCTE-20 protocol when processing Closed Caption data carried in the SCTE-20 syntax.
TR-DSRSW-1876  The product SHALL render Closed Captions using the caption Font Style MONOSPACED WITH SERIFS, as defined in [CEA-708B - 1], if this font style is selected by the user.
TR-DSRSW-1877  The product SHALL render Closed Captions using the caption Font Style PROPORTIONALLY SPACED WITH SERIFS, as defined in [CEA-708B - 1], if this font style is selected by the user.
TR-DSRSW-1878  The product SHALL render Closed Captions using the caption Font Style MONOSPACED WITHOUT SERIFS, as defined in [CEA-708B - 1], if this font style is selected by the user.
TR-DSRSW-1879  The product SHALL render Closed Captions using the caption Font Style PROPORTIONALLY SPACED WITHOUT SERIFS, as defined in [CEA-708B - 1], if this font style is selected by the user.
TR-DSRSW-1880  The product SHALL render Closed Captions using the caption Font Style CASUAL, as defined in [CEA-708B - 1], if this font style is selected by the user.
TR-DSRSW-1881  The product SHALL render Closed Captions using the caption Font Style CURSIVE, as defined in [CEA-708B - 1], if this font style is selected by the user.
TR-DSRSW-1882  The product SHALL render Closed Captions using the caption Font Style SMALL CAPITALS, as defined in [CEA-708B - 1], if this font style is selected by the user.
TR-DSRSW-1883  The product SHALL render Closed Captions using the caption Font Style selected by the caption provider if the user setting for the caption Font Style is AUTO.
TR-DSRSW-1884  The product SHALL render Closed Captions using the caption Font Size STANDARD, as defined in [CEA-708B - 1], if this font size is selected by the user.
TR-DSRSW-1885  The product SHALL render Closed Captions using the caption Font Size SMALL, as defined in [CEA-708B - 1], if this font size is selected by the user.
TR-DSRSW-1886  The product SHALL render Closed Captions using the caption Font Size LARGE, as defined in [CEA-708B - 1], if this font size is selected by the user.
TR-DSRSW-1887  The product SHALL set the caption Font Size to AUTO by default.
TR-DSRSW-1888  The product SHALL render Closed Captions using the caption Font Size selected by the caption provider if the user setting for the caption Font Size is AUTO.
TR-DSRSW-1889  The product SHALL render Closed Captions using the caption Font Color WHITE, as defined in [CEA-708B - 1], if this font color is selected by the user.
TR-DSRSW-1890  The product SHALL render Closed Captions using the caption Font Color BLACK, as defined in [CEA-708B - 1], if this font color is selected by the user.
TR-DSRSW-1891  The product SHALL render Closed Captions using the caption Font Color RED, as defined in [CEA-708B - 1], if this font color is selected by the user.
TR-DSRSW-1892  The product SHALL render Closed Captions using the caption Font Color GREEN, as defined in [CEA-708B - 1], if this font color is selected by the user.
TR-DSRSW-1893  The product SHALL render Closed Captions using the caption Font Color BLUE, as defined in [CEA-708B - 1], if this font color is selected by the user.
TR-DSRSW-1894  The product SHALL render Closed Captions using the caption Font Color YELLOW, as defined in [CEA-708B - 1], if this font color is selected by the user.
TR-DSRSW-1895  The product SHALL render Closed Captions using the caption Font Color MAGENTA, as defined in [CEA-708B - 1], if this font color is selected by the user.
TR-DSRSW-1896  The product SHALL render Closed Captions using the caption Font Color CYAN, as defined in [CEA-708B - 1], if this font color is selected by the user.
TR-DSRSW-1897  The product SHALL set the caption Font Color to AUTO by default.
TR-DSRSW-1898  The product SHALL render Closed Captions using the caption Font Color selected by the caption provider if the user setting for the caption Font Color is AUTO.
TR-DSRSW-1899  The product SHALL render Closed Captions using the caption Character Opacity TRANSPARENT, as defined in [CEA-708B - 1], if this character opacity is selected by the user.
TR-DSRSW-1900  The product SHALL render Closed Captions using the caption Character Opacity TRANSLUCENT, as defined in [CEA-708B - 1], if this character opacity is selected by the user.
TR-DSRSW-1901  The product SHALL render Closed Captions using the caption Character Opacity SOLID, as defined in [CEA-708B - 1], if this character opacity is selected by the user.
TR-DSRSW-1902  The product SHALL render Closed Captions using the caption Character Opacity FLASHING, as defined in [CEA-708B - 1], if this character opacity is selected by the user.
TR-DSRSW-1903  The product SHALL set the caption Character Opacity to AUTO by default.
TR-DSRSW-1904  The product SHALL render Closed Captions using the caption Character Opacity selected by the caption provider if the user setting for the caption Character Opacity is AUTO.
TR-DSRSW-1905  The product SHALL render Closed Captions using the caption Background Color WHITE, as defined in [CEA-708B - 1], if this background color is selected by the user.
TR-DSRSW-1906  The product SHALL render Closed Captions using the caption Background Color BLACK, as defined in [CEA-708B - 1], if this background color is selected by the user.
TR-DSRSW-1907  The product SHALL render Closed Captions using the caption Background Color RED, as defined in [CEA-708B - 1], if this background color is selected by the user.
TR-DSRSW-1908  The product SHALL render Closed Captions using the caption Background Color GREEN, as defined in [CEA-708B - 1], if this background color is selected by the user.
TR-DSRSW-1909  The product SHALL render Closed Captions using the caption Background Color BLUE, as defined in [CEA-708B - 1], if this background color is selected by the user.
TR-DSRSW-1910  The product SHALL render Closed Captions using the caption Background Color YELLOW, as defined in [CEA-708B - 1], if this background color is selected by the user.
TR-DSRSW-1911  The product SHALL render Closed Captions using the caption Background Color MAGENTA, as defined in [CEA-708B - 1], if this background color is selected by the user.
TR-DSRSW-1912  The product SHALL render Closed Captions using the caption Background Color CYAN, as defined in [CEA-708B - 1], if this background color is selected by the user.
TR-DSRSW-1913  The product SHALL set the caption Background Color to AUTO by default.
TR-DSRSW-1914  The product SHALL render Closed Captions using the caption Background Color selected by the caption provider if the user setting for the caption Background Color is AUTO.
TR-DSRSW-1915  The product SHALL render Closed Captions using the caption Background Opacity TRANSPARENT, as defined in [CEA-708B - 1], if this background opacity is selected by the user.
TR-DSRSW-1916  The product SHALL render Closed Captions using the caption Background Opacity TRANSLUCENT, as defined in [CEA-708B - 1], if this background opacity is selected by the user.
TR-DSRSW-1917  The product SHALL render Closed Captions using the caption Background Opacity SOLID, as defined in [CEA-708B - 1], if this background opacity is selected by the user.
TR-DSRSW-1918  The product SHALL render Closed Captions using the caption Background Opacity FLASHING, as defined in [CEA-708B - 1], if this background opacity is selected by the user.
TR-DSRSW-1919  The product SHALL set the caption Background Opacity to AUTO by default.
TR-DSRSW-1920  The product SHALL render Closed Captions using the caption Background Opacity selected by the caption provider if the user setting for the caption Background Opacity is AUTO.
TR-DSRSW-1921  The product SHALL disable the rendering of closed captions if the user has selected to disable captions.
TR-DSRSW-1922  The product SHALL, when closed captioning is enabled, render CEA-608 closed captions on its NTSC output if only CEA-608 caption data is present (CEA-708 data is not present) and carried in SCTE-21 syntax only (not in the SCTE-20 syntax).
TR-DSRSW-1923  The product SHALL, when closed captioning is enabled, render CEA-608 closed captions on its component output if only CEA-608 caption data is present (CEA-708 data is not present) and carried in SCTE-21 syntax only (not in the SCTE-20 syntax).
TR-DSRSW-1924  The product SHALL, when closed captioning is enabled, render CEA-608 closed captions on its HDMI output if only CEA-608 caption data is present (CEA-708 data is not present) and carried in SCTE-21 syntax only (not in the SCTE-20 syntax).
TR-DSRSW-1925  The product SHALL render CEA-608 closed captions on its NTSC outputs if it is tuned to a digital service where only CEA-608 caption data is present (CEA-708 data is not present) in the MPEG-2 Picture User Data of the same MPEG video frame and carried in SCTE-21 syntax with cc_type equal to '01' AND the user has selected to enable captions.
TR-DSRSW-1926  The product SHALL render CEA-608 closed captions on its Component outputs if it is tuned to a digital service where only CEA-608 caption data is present (CEA-708 data is not present) in the MPEG-2 Picture User Data of the same MPEG video frame and carried in SCTE-21 syntax with cc_type equal to '01' AND the user has selected to enable captions.
TR-DSRSW-1927  The product SHALL render CEA-608 closed captions onthe HDMI output if it is tuned to a digital service where only CEA-608 caption data is present (CEA-708 data is not present) in the MPEG-2 Picture User Data of the same MPEG video frame and carried in SCTE-21 syntax with cc_type equal to '01' AND the user has selected to enable captions.
TR-DSRSW-1928  The product SHALL, when closed captioning is enabled, render CEA-608 closed captions received in SCTE-20 syntax on its NTSC output if only CEA-608 caption data is present (CEA-708 data is not present) and carried in SCTE-20 syntax.
TR-DSRSW-1929  The product SHALL, when closed captioning is enabled, render CEA-608 closed captions received in SCTE-20 syntax on its component output if only CEA-608 caption data is present (CEA-708 data is not present) and carried in SCTE-20 syntax.
TR-DSRSW-1930  The product SHALL, when closed captioning is enabled, render CEA-608 closed captions received in SCTE-20 syntax on its HDMI output if only CEA-608 caption data is present (CEA-708 data is not present) and carried in SCTE-20 syntax.
TR-DSRSW-1931  The product SHALL, when closed captioning is enabled, render CEA-608 closed captions received in SCTE-20 syntax on its NTSC output if only CEA-608 caption data is present (CEA-708 data is not present) and carried in SCTE-20 syntax and SCTE-21 syntax.
TR-DSRSW-1932  The product SHALL, when closed captioning is enabled, render CEA-608 closed captions received in SCTE-20 syntax on its componet output if only CEA-608 caption data is present (CEA-708 data is not present) and carried in SCTE-20 syntax and SCTE-21 syntax.
TR-DSRSW-1933  The product SHALL, when closed captioning is enabled, render CEA-608 closed captions received in SCTE-20 syntax on its HDMI output if only CEA-608 caption data is present (CEA-708 data is not present) and carried in SCTE-20 syntax and SCTE-21 syntax.
TR-DSRSW-1934  The product SHALL, when closed caption rendering is enabled, render CEA-708 captions on its NTSC output if CEA-708 caption data is present.
TR-DSRSW-1935  The product SHALL, when closed caption rendering is enabled, render CEA-708 captions on its Component output if CEA-708 caption data is present.
TR-DSRSW-1936  The product SHALL, when closed caption rendering is enabled, render CEA-708 captions on its HDMI output if CEA-708 caption data is present.
TR-DSRSW-1937  The product SHALL render CEA-708 captions on its NTSC outputs if it is tuned to a digital service where CEA-708 caption data is present in the MPEG-2 Picture User Data of the same MPEG video frame and carried in SCTE-21 syntax with cc_type equal to '11' AND the user has selected to enable captions.
TR-DSRSW-1938  The product SHALL render CEA-708 captions on its Component outputs if it is tuned to a digital service where CEA-708 caption data is present in the MPEG-2 Picture User Data of the same MPEG video frame and carried in SCTE-21 syntax with cc_type equal to '11' AND the user has selected to enable captions.
TR-DSRSW-1939  The product SHALL render CEA-708 captions on the HDMI output if it is tuned to a digital service where CEA-708 caption data is present in the MPEG-2 Picture User Data of the same MPEG video frame and carried in SCTE-21 syntax with cc_type equal to '11' AND the user has selected to enable captions.
TR-DSRSW-1940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TR-DSRSW-1941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TR-DSRSW-1942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TR-DSRSW-1943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TR-DSRSW-1944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TR-DSRSW-1945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TR-DSRSW-1946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TR-DSRSW-1947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TR-DSRSW-1948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TR-DSRSW-1949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TR-DSRSW-1950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TR-DSRSW-1951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TR-DSRSW-1952 Closed Captions for Stored Content The product SHALL comply with all FCC Closed Caption requirements as specified in 47cfr15 for CEA-608 and FCC 00-259 for CEA-708 caption information embedded in stored content.</t>
  </si>
  <si>
    <r>
      <t xml:space="preserve">TR-DSRSW-2019 Stretch and Zoom Control 
TR-DSRSW-2021  The 4:3 Stretch feature is associated with 4:3 source content.   
The 16:9 Zoom feature is associated with 16:9 source content.  
Likewise:
"Stretch Mode" refers to manipulation of 4:3 source video.
"Zoom Mode" refers to manipulation of 16:9 source video.
TR-DSRSW-2023 4:3 Source Stretch UI 
TR-DSRSW-2024  The product SHALL provide a mechanism for an IR remote control unit to cycle through the available stretch/zoom modes, using a dedicated button with a unique IR keycode that is identical for 4:3 stretch and 16:9 Zoom.
TR-DSRSW-2025 4:3 Source Stretch Presentation 
TR-DSRSW-2026  The product SHALL retain any graphics overlaid upon the stretched video in an as-is condition, without stretching the graphics. Note: The said graphics includes flip bars, program listings, closed captions, or other rendered graphical attributes.
TR-DSRSW-2029 4:3 Source Stretch Modes 
TR-DSRSW-2030  The product SHALL provide Stretch Mode #1: No Stretch. This mode produces a 16:9 output by creating a pillarbox display using the tuned (or otherwise presented) 4:3 video. The default screen-friendly name for this mode shall be "Normal." 
TR-DSRSW-2031  NOTE: This product does not provide Stretch Mode #2
TR-DSRSW-2032  The product SHALL provide Stretch Mode #3: Linear Stretch. This mode produces a 16:9 output by linearly stretching the 4:3 video in the horizontal direction only until it has an aspect ratio of 16:9.  Linear stretching introduces and equal amount of distortion across the entire width of the video.  The default screen-friendly name for this mode shall be "Stretch." 
TR-DSRSW-2033  The product SHALL provide Stretch Mode #4: Linear Zoom. This mode creates a 16:9 output by first linearly stretching the 4:3 video in the horizontal direction until the video has an aspect ratio of 16:9 and then linearly stretches the video in the vertical direction by the same amount.  The two-dimensional stretching of the original 4:3 video creates a "zoom effect" that creates no distortion in the processed video but does introduce cropping of the top and bottom of the original video.  The default screen-friendly name for this mode shall be "Zoom."
TR-DSRSW-2034  The product SHALL increment the Stretch Mode in the following order, wrapping back to Stretch Mode 1 at the end of the list:
</t>
    </r>
    <r>
      <rPr>
        <i/>
        <sz val="11"/>
        <color theme="1"/>
        <rFont val="Calibri"/>
        <family val="2"/>
        <scheme val="minor"/>
      </rPr>
      <t xml:space="preserve">
Stretch Mode #</t>
    </r>
    <r>
      <rPr>
        <sz val="11"/>
        <color theme="1"/>
        <rFont val="Calibri"/>
        <family val="2"/>
        <scheme val="minor"/>
      </rPr>
      <t>1</t>
    </r>
    <r>
      <rPr>
        <i/>
        <sz val="11"/>
        <color theme="1"/>
        <rFont val="Calibri"/>
        <family val="2"/>
        <scheme val="minor"/>
      </rPr>
      <t xml:space="preserve">
Stretch Mode #</t>
    </r>
    <r>
      <rPr>
        <sz val="11"/>
        <color theme="1"/>
        <rFont val="Calibri"/>
        <family val="2"/>
        <scheme val="minor"/>
      </rPr>
      <t>3</t>
    </r>
    <r>
      <rPr>
        <i/>
        <sz val="11"/>
        <color theme="1"/>
        <rFont val="Calibri"/>
        <family val="2"/>
        <scheme val="minor"/>
      </rPr>
      <t xml:space="preserve">
Stretch Mode #</t>
    </r>
    <r>
      <rPr>
        <sz val="11"/>
        <color theme="1"/>
        <rFont val="Calibri"/>
        <family val="2"/>
        <scheme val="minor"/>
      </rPr>
      <t>4</t>
    </r>
    <r>
      <rPr>
        <i/>
        <sz val="11"/>
        <color theme="1"/>
        <rFont val="Calibri"/>
        <family val="2"/>
        <scheme val="minor"/>
      </rPr>
      <t xml:space="preserve">
(wrap</t>
    </r>
    <r>
      <rPr>
        <sz val="11"/>
        <color theme="1"/>
        <rFont val="Calibri"/>
        <family val="2"/>
        <scheme val="minor"/>
      </rPr>
      <t>)
TR-DSRSW-2039  The product SHALL maintain the Stretch Mode between channel changes.
TR-DSRSW-2040</t>
    </r>
    <r>
      <rPr>
        <b/>
        <sz val="11"/>
        <color theme="1"/>
        <rFont val="Calibri"/>
        <family val="2"/>
        <scheme val="minor"/>
      </rPr>
      <t xml:space="preserve"> 16:9 Source Zoom Mode</t>
    </r>
    <r>
      <rPr>
        <sz val="11"/>
        <color theme="1"/>
        <rFont val="Calibri"/>
        <family val="2"/>
        <scheme val="minor"/>
      </rPr>
      <t xml:space="preserve">s 
TR-DSRSW-2041  The product SHALL provide Zoom Mode #1: No Zoom. This mode is equivalent to no video processing of any kind being applied to the 16:9 video.  The default screen-friendly name for this mode shall be "Normal."
TR-DSRSW-2042  This product does not provide Zoom Mode #2
TR-DSRSW-2043  The product SHALL provide Zoom Mode #3: Hybrid 4:3 Expand. This mode starts with a horizontally-centered 4:3 crop of the 16:9 video and then linearly stretches the 4:3 video crop in the horizontal direction only to an aspect ratio of 16:9.  The default screen-friendly name for this mode shall be "Stretch."
TR-DSRSW-2044  The product SHALL provide Zoom Mode #4: Widescreen TV Zoom. This mode starts with a horizontally-centered 4:3 crop of the 16:9 video and then takes a vertically-centered 16:9 crop of the 4:3 video.  This is visually equivalent to stretching the 4:3 crop linearly by the same amount both horizontally and vertically and then cropping the image to fit a 16:9 display screen.  The default screen-friendly name for this mode shall be "Zoom."
TR-DSRSW-2045  The product SHALL maintain the ordered list of applicable zoom modes comprising of (in order): </t>
    </r>
    <r>
      <rPr>
        <i/>
        <sz val="11"/>
        <color theme="1"/>
        <rFont val="Calibri"/>
        <family val="2"/>
        <scheme val="minor"/>
      </rPr>
      <t xml:space="preserve">
Zoom Mode </t>
    </r>
    <r>
      <rPr>
        <sz val="11"/>
        <color theme="1"/>
        <rFont val="Calibri"/>
        <family val="2"/>
        <scheme val="minor"/>
      </rPr>
      <t>#</t>
    </r>
    <r>
      <rPr>
        <i/>
        <sz val="11"/>
        <color theme="1"/>
        <rFont val="Calibri"/>
        <family val="2"/>
        <scheme val="minor"/>
      </rPr>
      <t>1
Zoom Mode #</t>
    </r>
    <r>
      <rPr>
        <sz val="11"/>
        <color theme="1"/>
        <rFont val="Calibri"/>
        <family val="2"/>
        <scheme val="minor"/>
      </rPr>
      <t>3</t>
    </r>
    <r>
      <rPr>
        <i/>
        <sz val="11"/>
        <color theme="1"/>
        <rFont val="Calibri"/>
        <family val="2"/>
        <scheme val="minor"/>
      </rPr>
      <t xml:space="preserve"> 
Zoom Mode #</t>
    </r>
    <r>
      <rPr>
        <sz val="11"/>
        <color theme="1"/>
        <rFont val="Calibri"/>
        <family val="2"/>
        <scheme val="minor"/>
      </rPr>
      <t>4</t>
    </r>
    <r>
      <rPr>
        <i/>
        <sz val="11"/>
        <color theme="1"/>
        <rFont val="Calibri"/>
        <family val="2"/>
        <scheme val="minor"/>
      </rPr>
      <t xml:space="preserve"> 
	(wra</t>
    </r>
    <r>
      <rPr>
        <sz val="11"/>
        <color theme="1"/>
        <rFont val="Calibri"/>
        <family val="2"/>
        <scheme val="minor"/>
      </rPr>
      <t xml:space="preserve">p)
TR-DSRSW-2049  The product SHALL present any graphics overlaid upon the processed video as is, without zooming or otherwise distorting the said graphics. The said graphics includes flip bars, program listings, closed captions, or other rendered graphical attributes.  The "pre-zoom" locations and dimensions of these graphics shall be used as the "post-zoom" locations and dimensions of these graphics.
TR-DSRSW-2196 16:9 Source Zoom Presentation </t>
    </r>
  </si>
  <si>
    <t>TR-DSRSW-2089 Dolby Digital Plus Selection 
TR-DSRSW-2090  The product SHALL acquire the service component carrying Dolby Digital Plus (DD+), service component with stream type 0x87, IF the product can decode DD+, AND the service component has a language descriptor that matches the preferred language. 
TR-DSRSW-2091  The product SHALL acquire the first Dolby Digital audio component detected in the PMT IF a service component with stream type 0x81 with a language descriptor that matches the preferred language is present in the digital service. (i.e. the platform will not toggle between acquiring different audio components with the same component type and language descriptor.)   
TR-DSRSW-2092  The product SHALL acquire the first Dolby Digital audio component detected in the PMT IF a service component with stream type 0x81 is present in the digital service AND there are no audio components in the stream that have language descriptors that match the preferred language. 
TR-DSRSW-2093  The product SHALL provide an API that returns a) the audio format and b) the number of channels of the acquired audio component.
TR-DSRSW-2094  The product SHALL, when the user changes the audio language, acquire the appropriate audio component as defined by the Audio Selection requirements.</t>
  </si>
  <si>
    <t>TR-DSRSW-2100 DVS (Descriptive Video Service) 
TR-DSRSW-2101  The product SHALL allow the user to enable and disable Descriptive Video Service (a.k.a., "Visually Impaired service").
TR-DSRSW-2102  The product SHALL disable Descriptive Video Service when a factory reset is invoked.
TR-DSRSW-2103  The product SHALL play the content of the first audio component listed in the Service Map Message that matches the "enm" ISO639 language code IF Descriptive Video Service is enabled AND "English" is the language preference.
TR-DSRSW-2104  The product SHALL play the content of the first audio component listed in the Service Map Message that matches the "frm" ISO639 language code IF  Descriptive Video Service is enabled AND "French" is the language preference.
TR-DSRSW-2105  The product SHALL follow the normal audio language selection requirements IF Descriptive Video Service is enabled AND no DVS audio stream is found to match the viewer's preferences.
TR-DSRSW-2106  The product SHALL follow the normal audio language selection requirements IF Descriptive Video Service is disabled.</t>
  </si>
  <si>
    <t>FR-DSRSW-1503</t>
  </si>
  <si>
    <t>33.0-1</t>
  </si>
  <si>
    <t>The product SHALL be validated against an API-level test suite for Neptune, to allow verification without the application.</t>
  </si>
  <si>
    <t>TR-DSRSW-2230  The product SHALL be validated against an API-level test suite for Neptune, to allow verification without the application.</t>
  </si>
  <si>
    <t>FR-DSRSW-1506</t>
  </si>
  <si>
    <t>33.0-2</t>
  </si>
  <si>
    <t>Arris shall provide a sample application (e.g., simple zapper application) with source code to demonstrate end-to-end functionality of the DSR (e.g., tuning, playback, OSD rendering).</t>
  </si>
  <si>
    <t>TR-DSRSW-2231  Arris shall provide a sample application (e.g., simple zapper application) with source code to demonstrate end-to-end functionality of the DSR (e.g., tuning, playback, OSD rendering).</t>
  </si>
  <si>
    <t>33.0-3</t>
  </si>
  <si>
    <t>The product SHALL be able to channel surf without failure.</t>
  </si>
  <si>
    <t>TR-DSRSW-2573 Channel Surfing 
TR-DSRSW-2574  The product SHALL be capable of performing a successful channel change on the live feed every 6 seconds over 12 hours.
TR-DSRSW-2578  The product SHALL be capable of performing a successful channel change on the live feed every 6 seconds over 12 hours, WHILE LOD is enabled AND a recording is active in the background.
TR-DSRSW-2579  The product SHALL be capable of performing a successful channel change on the live feed every 6 seconds over 12 hours, WHILE LOD is enabled AND a recording is active in the background AND VCOs are active.
TR-DSRSW-2580  The product SHALL be capable of performing a successful channel change on the live feed every 6 seconds over 12 hours, WHILE LOD is enabled.</t>
  </si>
  <si>
    <t>33.0-4</t>
  </si>
  <si>
    <t>The product SHALL, if signal loss occurs during a recording, allow the user to view the recording and perform trick play operations.</t>
  </si>
  <si>
    <t xml:space="preserve">TR-DSRSW-2581  The product SHALL, if signal loss occurs during an active recording, allow the user to play and perform trick-play across the gaps caused by signal loss while the recording event is still active. 
TR-DSRSW-2582  The product SHALL, if signal loss occurs during an active recording, allow the user to play and perform trick-play across the gaps caused by signal loss after the recording event is complete. </t>
  </si>
  <si>
    <t>33.0-5</t>
  </si>
  <si>
    <t>The product SHALL provide and LOD trick-play experience that is robust (that is, responsive, without lags, or resets).</t>
  </si>
  <si>
    <t>TR-DSRSW-2583  The product SHALL allow perform random trick-play operations on an active LOD program without failure.
TR-DSRSW-2584  The product SHALL support at least 6 VCO transitions during a recording.
TR-DSRSW-2585  The product SHALL support signal loss and recovery transitions during a recording.</t>
  </si>
  <si>
    <t>33.0-6</t>
  </si>
  <si>
    <t>The product SHALL provide a robust VOD experience.</t>
  </si>
  <si>
    <t>TR-DSRSW-2576 IP VOD Streaming 
TR-DSRSW-2586  The product SHALL be capable of switching between IP VOD and satellite programs (live or recorded [if supported]).</t>
  </si>
  <si>
    <t>33.0-7</t>
  </si>
  <si>
    <t>The product SHALL minimize the number of resets.</t>
  </si>
  <si>
    <t>TR-DSRSW-2587  The product SHALL achieve a reset rate of one reset or less per month (30 days) during normal operation.</t>
  </si>
  <si>
    <t>33.0-8</t>
  </si>
  <si>
    <t>The product SHALL user experience shall not be impacted by a large number of recordings.</t>
  </si>
  <si>
    <t>TR-DSRSW-2588  The product SHALL maintain a consistent and quality user experience regardless of the number of recordings and hard drive percentage full (internal and external).  Consistent” means that the normal operations, such as channel changes, are the same speed.   “Quality” means that user interfaces, response times, etc., are not impacted.</t>
  </si>
  <si>
    <t xml:space="preserve">Deneb </t>
  </si>
  <si>
    <t xml:space="preserve">Adara Copernicus Deneb </t>
  </si>
  <si>
    <t>14.4.5 DVR API</t>
  </si>
  <si>
    <t>31.2 Test Suite</t>
  </si>
  <si>
    <t>31.3 Performance Tests</t>
  </si>
  <si>
    <t>31.3.1 Channel Surfing</t>
  </si>
  <si>
    <t>31.3.2 DVR</t>
  </si>
  <si>
    <t>31.3.3 IP VOD Streaming</t>
  </si>
  <si>
    <t>31.3.4 Live Feed and Long Turn</t>
  </si>
  <si>
    <t>TR-DSRSW-1341 Guide Stream Support 
TR-DSRSW-1343  The product SHALL be capable of receiving Third Party Messages, Message Type = 0xA5, and forwarding those messages to the guide application.
TR-DSRSW-1344  The product SHALL be capable of receiving Third Party Messages, Message Type = 0xE6, and forwarding those messages to the guide application.</t>
  </si>
  <si>
    <t xml:space="preserve">TR-DSRSW-1349 EAS 
TR-DSRSW-1350  The product SHALL provide an API that allows software applications to ascertain the three-coordinate geosynchronous location of the product, as given in the category rekey message [DCII ACP-1]. </t>
  </si>
  <si>
    <t>TR-DSRSW-1571  The remaining requirements in this section only apply for products that support external DVR functionality.
TR-DSRSW-1572  The product SHALL support up to two active recording sessions total on any combination of HDDs, internal or external, while simultaneously supporting up to one playback session from an HDD, internal or external.
TR-DSRSW-1573  The product SHALL provide an API that allows an application to determine if an external HDD is connected.
TR-DSRSW-1574  The product SHALL provide an API that allows an application to determine if an external HDD is connected that has been formatted and paired for use with the product.
TR-DSRSW-1575  The product SHALL notify a registered application when an eHDD has been disconnected.
TR-DSRSW-1576  The product SHALL notify a registered application when an eHDD has been connected and mounted.
TR-DSRSW-1577  The product SHALL provide the software application with the eHDD connection status (connected/disconnected).
TR-DSRSW-1578  The product SHALL update the eHDD connection status upon boot up.
TR-DSRSW-1579  The product SHALL provide available free space on eHDD when eHDD is connected and requested by application.
TR-DSRSW-1580  The product SHALL provide the application with the ability to select a DVR eHDD for a particular record session. 
TR-DSRSW-1581  The product SHALL provide the application with the ability to select a DVR eHDD for a particular playback session. 
TR-DSRSW-1582 External DVR Formatting 
TR-DSRSW-1583  The product SHALL notify applications that the formatting process is complete, when formatting a DVR eHDD, after the STB has mounted the eHDD. (NOTE: The intent is that application notifies the user that the format and mounting process is complete, thus if the application had displayed an alert to the user not to disconnect the eHDD, then this alert would inform the application to tear down the alert)
TR-DSRSW-1585  The product SHALL provide an API that allows an application to acquire the HDD Unique ID of a discovered DVR eHDD.
TR-DSRSW-1586  The product SHALL provide an API that allows an application to request that an eHDD be formatted as a DVR eHDD. 
TR-DSRSW-1587  The product SHALL notify a registered application when an eHDD format attempt has failed.</t>
  </si>
  <si>
    <t>14.5 DVR API</t>
  </si>
  <si>
    <t>TR-DSRSW-1749 Service Acquisition 
TR-DSRSW-1750  The product SHALL return an error and take no further action (i.e. any existing services that would have been replaced are not affected by the failed acquisition attempt) if any parameter provided by a client to acquire a service is invalid.  
TR-DSRSW-1751  The product SHALL allow the user to select normal, non-hidden services with virtual channel numbers in the range of 1 to 999 decimal. 
TR-DSRSW-1752  The product SHALL acquire services with virtual channel numbers in the range of 1 to 4095 decimal. 
TR-DSRSW-1753  The product SHALL support audio services regardless of whether a video component is present. (tags: audio only, music channel )
TR-DSRSW-1766 A/V Component Selection 
TR-DSRSW-1767  When an A/V service is acquired, and the client indicates that default components should be selected, the product SHALL select the audio component that corresponds to the preferred language if the preferred language has been configured and there is an audio component that matches the preferred language. 
TR-DSRSW-1768  The product SHALL select the first audio component listed in the PMT if there is no audio component that matches the preferred language.
TR-DSRSW-1769  The product SHALL automatically update selection of A/V component streams when the settop's language configuration changes. 
TR-DSRSW-1770 Virtual Channel (VCT) 
TR-DSRSW-1771  The product SHALL only accept Virtual Channel Table (VCT)  Messages where the enumerated type transmission_medium indicates a "reseved10" transmission medium.
TR-DSRSW-1772  The product SHALL maintain the Virtual Channel Table (VCT) in non-volatile memory. 
TR-DSRSW-1773 ROM Resident VCT 
TR-DSRSW-1774  The product SHALL use the ROM resident VCT containing the Satellite Virtual Channels until updated by valid VCT messages.
TR-DSRSW-1775  The product SHALL contain a ROM based default virtual channel map with VCT ID 0x1100 (decimal 4352). 
TR-DSRSW-1776  The product SHALL default to the ROM based virtual channel map after a Factory Reset. 
TR-DSRSW-1777  The product SHALL contain a default ROM resident VCT as defined in the table below.
Chn  Xpdr  Sat  Po  Frequency  SymRate  CR  Mod  Ton  SvcN  SourceID
200  49  1  VR  1147750000  19510470  3/4  QPSK  0  010  0x0002
201  40  1  HL  0970000000  19510470  3/4  QPSK  0  255  0x0003
202  41  1  VR  1010000000  29265700  7/8  QPSK  0  005  0x0009
203  42  1  HL  1010000000  19510470  3/4  QPSK  0  255  0x000C
204  08  1  VR  0964750000  19510470  3/4  QPSK  0  255  0x000D
205  44  1  HL  1050000000  19510470  3/4  QPSK  0  255  0x000E
206  03  1  VR  1070000000  19510470  3/4  QPSK  0  255  0x000F
207  46  1  HL  1090000000  19510470  3/4  QPSK  0  255  0x0013
208  03  1  VR  1070000000  19510470  3/4  QPSK  0  255  0x03B5
209  48  1  HL  1130000000  19510470  3/4  QPSK  0  255  0x03B6
210  29  1  HL  1147750000  19510470  3/4  QPSK  0  255  0x002A
211  29  1  HL  1147750000  19510470  3/4  QPSK  0  255  0x002F
212  51  1  VR  1190000000  19510470  3/4  QPSK  0  255  0x0030
213  52  1  HL  1210000000  19510470  3/4  QPSK  0  255  0x0031
214  53  1  VR  1230000000  19510470  3/4  QPSK  0  255  0x0050
215  54  1  HL  1250000000  19510470  3/4  QPSK  0  255  0x0051
216  55  1  VR  1270000000  19510470  3/4  QPSK  0  255  0x0057
217  56  1  HL  1290000000  19510470  3/4  QPSK  0  255  0x0058
218  57  1  VR  1310000000  19510470  3/4  QPSK  0  255  0x005B
222  61  1  VR  1390000000  19510470  3/4  QPSK  0  255  0x005C
223  62  1  HL  1410000000  19510470  3/4  QPSK  0  255  0x005D
224  63  1  VR  1430000000  19510470  3/4  QPSK  0  255  0x005F
231  14  1  VR  1230000000  19510470  3/4  QPSK  0  255  0x0064
232  15  1  HL  1250000000  19510470  3/4  QPSK  0  255  0x006D
233  16  1  VR  1270000000  19510470  3/4  QPSK  0  255  0x0074
234  17  1  HL  1290000000  19510470  3/4  QPSK  0  255  0x0075
250  24  1  VR  1825000000  19510470  3/4  QPSK  0  255  0x0076
251  23  1  VR  1370000000  14632850  7/8  OQPSK  0  255  0x0077
252  24  1  VR  1825000000  19510470  3/4  QPSK  0  255  0x0078
253  25  1  VR  1130000000  04877617  3/4  OQPSK  0  255  0x0079
254  26  1  VR  1170000000  19510470  3/4  QPSK  0  255  0x007A
256  28  1  HL  1123500000  19510470  3/4  QPSK  0  255  0x00A3
257  29  1  HL  1147750000  19510470  3/4  QPSK  0  255  0x00A4
258  30  1  VR  1310000000  19510470  3/4  QPSK  0  255  0x00A5
259  31  1  HL  1278500000  19510470  3/4  QPSK  0  255  0x00A6
260  32  1  VR  1427000000  19510470  3/4  QPSK  0  255  0x00BF
265  02  1  VR  1641750000  21000000  2.11  PSK_8  0  101  0xFB6F
266  45  1  VR  1147750000  20500000  1.92  PSK_8  1  001  0xFAA3
267  43  1  VR  1018500000  22000000  8/9  PSK_8  0  102  0xFC7E
268  27  1  VR  1824750000  20500000  1.92  PSK_8  0  285  0x010A
281  01  1  VR  1422250000  19510470  3/4  QPSK  0  255  0x010B
283  03  1  VR  1070000000  19510470  3/4  QPSK  0  255  0x010D
284  04  1  VR  1054000000  19510470  3/4  QPSK  0  255  0x010E
285  05  1  VR  1089000000  19510470  3/4  QPSK  0  255  0x010F
286  06  1  VR  0995250000  19510470  3/4  QPSK  0  255  0x0110
287  07  1  VR  1150000000  19510470  3/4  QPSK  0  255  0x0111
288  08  1  VR  0964750000  19510470  3/4  QPSK  0  255  0x0112
289  09  1  VR  1391750000  19510470  3/4  QPSK  0  255  0x0113
290  10  1  VR  1237000000  19510470  3/4  QPSK  0  255  0x0114
291  11  1  HL  1374250000  19510470  3/4  QPSK  0  255  0x0115
292  12  1  HL  1311000000  19510470  3/4  QPSK  0  255  0x0116
293  13  1  VR  1117250000  19510470  3/4  QPSK  0  255  0x0117
299  06  1  VR  0995250000  19510470  3/4  QPSK  0  255  0x1010
350  01  1  VR  1422250000  19510470  3/4  QPSK  1  255  0x0071
402  06  1  VR  0995250000  19510470  3/4  QPSK  0  255  0x011A
501  26  1  VR  1170000000  19510470  3/4  QPSK  0  255  0x011B
503  26  1  VR  1170000000  19510470  3/4  QPSK  0  255  0x011C
509  26  1  VR  1170000000  19510470  3/4  QPSK  0  255  0x011E
666  42  1  HL  1010000000  19510470  3/4  QPSK  0  255  0x0118
668  42  1  HL  1010000000  19510470  3/4  QPSK  0  255  0x0119
700  00  1  HL  1313250000  19510470  3/4  QPSK  1  255  0x007D
703  30  1  VR  1310000000  19510470  3/4  QPSK  0  255  0x0120
705  30  1  VR  1310000000  19510470  3/4  QPSK  0  255  0x0121
899  47  1  VR  1210000000  21000000  8/9  PSK_8  0  255  0x011F
900  23  1  VR  1370000000  14632850  7/8  OQPSK  0  040  0x0399
901  50  1  HL  1620000000  22000000  5/6  PSK_8  0  255  0x0128
902  47  1  VR  1210000000  21000000  8/9  PSK_8  0  255  0x0129
904  58  1  VR  1430000000  20000000  1.92  PSK_8  0  010  0x0123
905  58  1  VR  1430000000  20000000  1.92  PSK_8  1  003  0x0124
906  59  1  HL  1430000000  21500000  2.11  PSK_8  0  020  0x0125
907  59  1  HL  1430000000  21500000  2.11  PSK_8  1  023  0x0126
908  60  1  HL  0970000000  20000000  1.92  PSK_8  0  000  0x0127
921  34  1  HL  0990000000  29265700  1/2  QPSK  0  021  0x0399
922  34  1  HL  0990000000  29265700  1/2  QPSK  0  022  0x039A
926  34  1  HL  0990000000  29265700  1/2  QPSK  0  026  0x039E
927  34  1  HL  0990000000  29265700  1/2  QPSK  0  027  0x039F
928  34  1  HL  0990000000  29265700  1/2  QPSK  0  028  0x03A0
929  37  1  HL  1470000000  19510470  3/4  QPSK  0  030  0x03A1
930  38  1  VR  2130000000  19510470  3/4  QPSK  0  013  0x03A2
931  39  1  HL  0970000000  29265700  1/2  QPSK  0  020  0x03A3
932  18  1  HL  1540000000  19510470  3/4  QPSK  0  013  0x03A4
933  19  1  VR  1540000000  29265700  1/2  QPSK  0  020  0x03A5
934  20  1  VR  2140000000  19510470  3/4  QPSK  0  016  0x03A6
935  21  1  HL  2140000000  29265700  1/2  QPSK  0  023  0x03A7
943  36  1  HL  0990000000  19510470  3/4  QPSK  0  010  0x03AF
944  36  1  HL  0990000000  19510470  3/4  QPSK  0  011  0x03B0
945  36  1  HL  0990000000  19510470  3/4  QPSK  0  012  0x03B1
946  36  1  HL  0990000000  19510470  3/4  QPSK  0  013  0x03B2
947  36  1  HL  0990000000  19510470  3/4  QPSK  0  014  0x03B3
948  36  1  HL  0990000000  19510470  3/4  QPSK  0  015  0x03B4
954  57  1  VR  1310000000  19510470  3/4  QPSK  0  001  0x0015
955  57  1  VR  1310000000  19510470  3/4  QPSK  0  002  0x0015
956  57  1  VR  1310000000  19510470  3/4  QPSK  0  003  0x0015
957  57  1  VR  1310000000  19510470  3/4  QPSK  0  004  0x0015
958  57  1  VR  1310000000  19510470  3/4  QPSK  0  005  0x0016
962  57  1  VR  1310000000  19510470  3/4  QPSK  0  009  0x03C2
963  57  1  VR  1310000000  19510470  3/4  QPSK  0  010  0x03C3
964  57  1  VR  1310000000  19510470  3/4  QPSK  0  011  0x03C4
965  57  1  VR  1310000000  19510470  3/4  QPSK  0  012  0x03C5
966  57  1  VR  1310000000  19510470  3/4  QPSK  0  013  0x03C6
967  57  1  VR  1310000000  19510470  3/4  QPSK  0  014  0x03C7
968  38  1  VR  2130000000  19510470  3/4  QPSK  0  015  0x03C8
969  35  1  HL  1430000000  29265700  1/2  QPSK  0  020  0x03C9
970  35  1  HL  1430000000  29265700  1/2  QPSK  0  021  0x03CA
971  35  1  HL  1430000000  29265700  1/2  QPSK  0  022  0x03CB
972  35  1  HL  1430000000  29265700  1/2  QPSK  0  001  0x0016
976  35  1  HL  1430000000  29265700  1/2  QPSK  0  023  0x03D0
977  35  1  HL  1430000000  29265700  1/2  QPSK  0  024  0x03D1
978  35  1  HL  1430000000  29265700  1/2  QPSK  0  025  0x03D2
979  35  1  HL  1430000000  29265700  1/2  QPSK  0  001  0x0017
980  39  1  HL  0970000000  29265700  1/2  QPSK  0  026  0x03D4
981  35  1  HL  1430000000  29265700  1/2  QPSK  0  027  0x03D5
982  35  1  HL  1430000000  29265700  1/2  QPSK  0  028  0x03D6
985  57  1  VR  1310000000  19510470  3/4  QPSK  0  016  0x03D9
986  57  1  VR  1310000000  19510470  3/4  QPSK  0  017  0x03DA
987  57  1  VR  1310000000  19510470  3/4  QPSK  0  018  0x03DB
988  57  1  VR  1310000000  19510470  3/4  QPSK  0  019  0x03DC
989  33  1  VR  1175000000  20000000  1.92  PSK_8  0  004  0x012A
990  33  1  VR  1175000000  20000000  1.92  PSK_8  0  002  0x012B
TR-DSRSW-1778 Network Information (NIT) 
TR-DSRSW-1779  The product SHALL only accept Network Information (NIT) Messages where the enumerated type transmission_medium indicates a "reseved10" transmission medium.
TR-DSRSW-1780  The product SHALL process the Satellite Information Table (SIT) associated with the current Virtual Channel Table's (VCT) lowest channel number.
TR-DSRSW-1781  The product SHALL maintain the Satellite Information Table (SIT) tuning data in non-volatile memory. 
TR-DSRSW-1782  The product SHALL maintain the Transponder Data Table (TDT) tuning data in non-volatile memory. 
TR-DSRSW-1783  The product SHALL maintain the Modulation Mode Table (MMT) tuning data in non-volatile memory. 
TR-DSRSW-1784  The product SHALL maintain the Carrier Definition Table (CDT) tuning data in non-volatile memory. 
TR-DSRSW-1785 Program Association (PAT) 
TR-DSRSW-1786  If an active A/V service is modified in the PAT, the product SHALL reacquire the service and notify the application client. 
TR-DSRSW-1787 Program Map (PMT) 
TR-DSRSW-1788  If the PCR PID in the PMT changes for an A/V service, the product SHALL reacquire the A/V service. 
TR-DSRSW-1789 Program Information Message 
TR-DSRSW-1791  The product SHALL notify the application of any ratings contained in the Program Information messages of associated services.
TR-DSRSW-1792 Flexible Services 
TR-DSRSW-1793  Flexible services are multiple services constructed from various combinations of service components {e.g. video, audio, data, etc.} originating from the same television service processor within the DCII encoder.
Within the confines of the MPEG-2 definition, it is permissible to define services that share streams with other services.  For example, services 0x0012 and 0x0013 may be defined with a video component in common:
  [Service 0x0012:    Video PID =     0x1012 
            Audio PID 1 = 0x0212 
            Audio PID 2 = 0x0213 ]
  [Service 0x0013:    Video PID = 0x1012 
            Audio PID 1 = 0x0214 ]
The PMT PID contains one PMT for each flexible service, but only one (Program Information Message) PIM and one (Program Name Message) PNM for all of the services.  Thus, to conserve bandwidth, the PIM and PNM use a wildcard service number.
TR-DSRSW-1801  The product SHALL process Program Information messages if the service number is 0x0000 ("wildcard service number"). 
TR-DSRSW-1811 Service Acquisition Performance 
TR-DSRSW-1815 Services on Different Transponders 
TR-DSRSW-2194 Channel Selection 
TR-DSRSW-2476  The product SHALL, while in standby mode, continue to support DCII Network Message processing.
TR-DSRSW-2477  The product SHALL, while in standby mode, continue to support DCII Service Control Channel message processing.
TR-DSRSW-2520  The product SHALL be capable of storing a minimum of 905 channel definitions.
TR-DSRSW-2563  The product SHALL send valid PMT PID-to-elementary-stream association data to the application in response to tune request APIs.  (Note, in previous SW versions, unvisited channels in the VCT did not have cached PID values, thus, incorrect PMT PID values were sent).</t>
  </si>
  <si>
    <t xml:space="preserve">TR-DSRSW-2019 Stretch and Zoom Control 
TR-DSRSW-2021  The 4:3 Stretch feature is associated with 4:3 source content.   
The 16:9 Zoom feature is associated with 16:9 source content.  
Likewise:
"Stretch Mode" refers to manipulation of 4:3 source video.
"Zoom Mode" refers to manipulation of 16:9 source video.
TR-DSRSW-2023 4:3 Source Stretch UI 
TR-DSRSW-2024  The product SHALL provide a mechanism for an IR remote control unit to cycle through the available stretch/zoom modes, using a dedicated button with a unique IR keycode that is identical for 4:3 stretch and 16:9 Zoom.
TR-DSRSW-2025 4:3 Source Stretch Presentation 
TR-DSRSW-2026  The product SHALL retain any graphics overlaid upon the stretched video in an as-is condition, without stretching the graphics. Note: The said graphics includes flip bars, program listings, closed captions, or other rendered graphical attributes.
TR-DSRSW-2029 4:3 Source Stretch Modes 
TR-DSRSW-2030  The product SHALL provide Stretch Mode #1: No Stretch. This mode produces a 16:9 output by creating a pillarbox display using the tuned (or otherwise presented) 4:3 video. The default screen-friendly name for this mode shall be "Normal." 
TR-DSRSW-2031  NOTE: This product does not provide Stretch Mode #2
TR-DSRSW-2032  The product SHALL provide Stretch Mode #3: Linear Stretch. This mode produces a 16:9 output by linearly stretching the 4:3 video in the horizontal direction only until it has an aspect ratio of 16:9.  Linear stretching introduces and equal amount of distortion across the entire width of the video.  The default screen-friendly name for this mode shall be "Stretch." 
TR-DSRSW-2033  The product SHALL provide Stretch Mode #4: Linear Zoom. This mode creates a 16:9 output by first linearly stretching the 4:3 video in the horizontal direction until the video has an aspect ratio of 16:9 and then linearly stretches the video in the vertical direction by the same amount.  The two-dimensional stretching of the original 4:3 video creates a "zoom effect" that creates no distortion in the processed video but does introduce cropping of the top and bottom of the original video.  The default screen-friendly name for this mode shall be "Zoom."
TR-DSRSW-2034  The product SHALL increment the Stretch Mode in the following order, wrapping back to Stretch Mode 1 at the end of the list:
Stretch Mode #1
Stretch Mode #3
Stretch Mode #4
(wrap)
TR-DSRSW-2039  The product SHALL maintain the Stretch Mode between channel changes.
TR-DSRSW-2040 16:9 Source Zoom Modes 
TR-DSRSW-2041  The product SHALL provide Zoom Mode #1: No Zoom. This mode is equivalent to no video processing of any kind being applied to the 16:9 video.  The default screen-friendly name for this mode shall be "Normal."
TR-DSRSW-2042  This product does not provide Zoom Mode #2
TR-DSRSW-2043  The product SHALL provide Zoom Mode #3: Hybrid 4:3 Expand. This mode starts with a horizontally-centered 4:3 crop of the 16:9 video and then linearly stretches the 4:3 video crop in the horizontal direction only to an aspect ratio of 16:9.  The default screen-friendly name for this mode shall be "Stretch."
TR-DSRSW-2044  The product SHALL provide Zoom Mode #4: Widescreen TV Zoom. This mode starts with a horizontally-centered 4:3 crop of the 16:9 video and then takes a vertically-centered 16:9 crop of the 4:3 video.  This is visually equivalent to stretching the 4:3 crop linearly by the same amount both horizontally and vertically and then cropping the image to fit a 16:9 display screen.  The default screen-friendly name for this mode shall be "Zoom."
TR-DSRSW-2045  The product SHALL maintain the ordered list of applicable zoom modes comprising of (in order): 
Zoom Mode #1
Zoom Mode #3 
Zoom Mode #4 
	(wrap)
TR-DSRSW-2049  The product SHALL present any graphics overlaid upon the processed video as is, without zooming or otherwise distorting the said graphics. The said graphics includes flip bars, program listings, closed captions, or other rendered graphical attributes.  The "pre-zoom" locations and dimensions of these graphics shall be used as the "post-zoom" locations and dimensions of these graphics.
TR-DSRSW-2196 16:9 Source Zoom Presentation </t>
  </si>
  <si>
    <t>x.4 iteration 1</t>
  </si>
  <si>
    <t>Copyright © 2018 ARRIS Group, Inc.  All rights reserved.</t>
  </si>
  <si>
    <t>Previous Version (x3)</t>
  </si>
  <si>
    <t>Previous Ver (x3)</t>
  </si>
  <si>
    <t>05/18/2018
PMR - Added Deneb Software Product  (Use PMR status column filter to find NEW requirements)
PFS - Added Deneb Software Product  (Use PFS status column filter to find ADDED requirements)</t>
  </si>
  <si>
    <t>TR-DSRSW-2593</t>
  </si>
  <si>
    <t>25.1.1</t>
  </si>
  <si>
    <t>SCTE-20 CEA-608 CC</t>
  </si>
  <si>
    <t>25.1.1.0-1</t>
  </si>
  <si>
    <t>TR-DSRSW-2594</t>
  </si>
  <si>
    <t>25.1.2</t>
  </si>
  <si>
    <t>EIA-708 (DTVCC &amp; embedded EIA-608)</t>
  </si>
  <si>
    <t>None
Jenner
Adara
Copernicus
Deneb</t>
  </si>
  <si>
    <t>VBI NTSC SCTE-21. This can have a low test priority because 608 and 708 should both always be present on an HD stream.  SD streams dont have SCTE-20 data.</t>
  </si>
  <si>
    <t>Render
708 HDMI
w/o 608 present</t>
  </si>
  <si>
    <t>TR-DSRSW-2590</t>
  </si>
  <si>
    <t>Render
708 NTSC
w 608 present</t>
  </si>
  <si>
    <t>Render
708 NTSC
w/o 608 present</t>
  </si>
  <si>
    <t>TR-DSRSW-2589</t>
  </si>
  <si>
    <t>Render
708 HDMI
w 608 present</t>
  </si>
  <si>
    <t>Delete this case because Shaw doesn't send SCTE-20 and 708 on the same channels.</t>
  </si>
  <si>
    <t>25.1.2.0-12</t>
  </si>
  <si>
    <t>cc_type removed</t>
  </si>
  <si>
    <t>25.1.2.0-13</t>
  </si>
  <si>
    <t>TR-DSRSW-2595</t>
  </si>
  <si>
    <t>25.1.3</t>
  </si>
  <si>
    <t>Three Second Initialization</t>
  </si>
  <si>
    <t>TR-DSRSW-2591</t>
  </si>
  <si>
    <t>TR-DSRSW-2592</t>
  </si>
  <si>
    <t>TR-DSRSW-2527</t>
  </si>
  <si>
    <t>25.1.5</t>
  </si>
  <si>
    <t>Transtions</t>
  </si>
  <si>
    <t>Redundant to DRSSW-1870</t>
  </si>
  <si>
    <t>Transitions do not occur in proper programming.</t>
  </si>
  <si>
    <t>TR-DSRSW-2528</t>
  </si>
  <si>
    <t>25.1.6</t>
  </si>
  <si>
    <t>708 CC Font Style</t>
  </si>
  <si>
    <t>25.1.6.0-1</t>
  </si>
  <si>
    <t xml:space="preserve">Low level
</t>
  </si>
  <si>
    <t>25.1.6.0-2</t>
  </si>
  <si>
    <t>25.1.6.0-3</t>
  </si>
  <si>
    <t>25.1.6.0-4</t>
  </si>
  <si>
    <t>25.1.6.0-5</t>
  </si>
  <si>
    <t>25.1.6.0-6</t>
  </si>
  <si>
    <t>25.1.6.0-7</t>
  </si>
  <si>
    <t>25.1.6.0-8</t>
  </si>
  <si>
    <t>25.1.6.0-9</t>
  </si>
  <si>
    <t>TR-DSRSW-2529</t>
  </si>
  <si>
    <t>25.1.7</t>
  </si>
  <si>
    <t>708 CC Font Size</t>
  </si>
  <si>
    <t>TR-DSRSW-2530</t>
  </si>
  <si>
    <t>25.1.8</t>
  </si>
  <si>
    <t>708 CC Font Color</t>
  </si>
  <si>
    <t>25.1.8.0-1</t>
  </si>
  <si>
    <t>25.1.8.0-2</t>
  </si>
  <si>
    <t>25.1.8.0-3</t>
  </si>
  <si>
    <t>25.1.8.0-4</t>
  </si>
  <si>
    <t>25.1.8.0-5</t>
  </si>
  <si>
    <t>25.1.8.0-6</t>
  </si>
  <si>
    <t>25.1.8.0-7</t>
  </si>
  <si>
    <t>25.1.8.0-8</t>
  </si>
  <si>
    <t>25.1.8.0-9</t>
  </si>
  <si>
    <t>25.1.8.0-10</t>
  </si>
  <si>
    <t>TR-DSRSW-2532</t>
  </si>
  <si>
    <t>25.1.9</t>
  </si>
  <si>
    <t>708 CC Character Opacity</t>
  </si>
  <si>
    <t>Archived (not supported)</t>
  </si>
  <si>
    <t>TR-DSRSW-2533</t>
  </si>
  <si>
    <t>25.1.10</t>
  </si>
  <si>
    <t>CC Background Color</t>
  </si>
  <si>
    <t>25.1.10.0-1</t>
  </si>
  <si>
    <t>25.1.10.0-2</t>
  </si>
  <si>
    <t>25.1.10.0-3</t>
  </si>
  <si>
    <t>25.1.10.0-4</t>
  </si>
  <si>
    <t>25.1.10.0-5</t>
  </si>
  <si>
    <t>25.1.10.0-6</t>
  </si>
  <si>
    <t>25.1.10.0-7</t>
  </si>
  <si>
    <t>25.1.10.0-8</t>
  </si>
  <si>
    <t>25.1.10.0-9</t>
  </si>
  <si>
    <t>25.1.10.0-10</t>
  </si>
  <si>
    <t>TR-DSRSW-2535</t>
  </si>
  <si>
    <t>25.1.12</t>
  </si>
  <si>
    <t>CC Rendering and Selection</t>
  </si>
  <si>
    <t>25.1.12.0-1</t>
  </si>
  <si>
    <t>The product SHALL render SCTE-20 CEA-608 closed captions on the HDMI output, IF 
  SCTE-20 CEA-608 closed caption data is present, AND
  EIA-708 closed caption data (DTVCC or EIA-608) is NOT present, AND
  closed captioning is enabled.</t>
  </si>
  <si>
    <r>
      <t>The product SHALL</t>
    </r>
    <r>
      <rPr>
        <strike/>
        <sz val="11"/>
        <color theme="1"/>
        <rFont val="Calibri"/>
        <family val="2"/>
        <scheme val="minor"/>
      </rPr>
      <t>, when closed captioning is enabled,</t>
    </r>
    <r>
      <rPr>
        <sz val="11"/>
        <color theme="1"/>
        <rFont val="Calibri"/>
        <family val="2"/>
        <scheme val="minor"/>
      </rPr>
      <t xml:space="preserve"> render</t>
    </r>
    <r>
      <rPr>
        <u/>
        <sz val="11"/>
        <color theme="1"/>
        <rFont val="Calibri"/>
        <family val="2"/>
        <scheme val="minor"/>
      </rPr>
      <t xml:space="preserve"> SCTE-20</t>
    </r>
    <r>
      <rPr>
        <sz val="11"/>
        <color theme="1"/>
        <rFont val="Calibri"/>
        <family val="2"/>
        <scheme val="minor"/>
      </rPr>
      <t xml:space="preserve"> CEA-608 closed captions</t>
    </r>
    <r>
      <rPr>
        <strike/>
        <sz val="11"/>
        <color theme="1"/>
        <rFont val="Calibri"/>
        <family val="2"/>
        <scheme val="minor"/>
      </rPr>
      <t xml:space="preserve"> received in SCTE-20 syntax</t>
    </r>
    <r>
      <rPr>
        <sz val="11"/>
        <color theme="1"/>
        <rFont val="Calibri"/>
        <family val="2"/>
        <scheme val="minor"/>
      </rPr>
      <t xml:space="preserve"> on </t>
    </r>
    <r>
      <rPr>
        <strike/>
        <sz val="11"/>
        <color theme="1"/>
        <rFont val="Calibri"/>
        <family val="2"/>
        <scheme val="minor"/>
      </rPr>
      <t>its</t>
    </r>
    <r>
      <rPr>
        <u/>
        <sz val="11"/>
        <color theme="1"/>
        <rFont val="Calibri"/>
        <family val="2"/>
        <scheme val="minor"/>
      </rPr>
      <t>the</t>
    </r>
    <r>
      <rPr>
        <sz val="11"/>
        <color theme="1"/>
        <rFont val="Calibri"/>
        <family val="2"/>
        <scheme val="minor"/>
      </rPr>
      <t xml:space="preserve"> HDMI output</t>
    </r>
    <r>
      <rPr>
        <u/>
        <sz val="11"/>
        <color theme="1"/>
        <rFont val="Calibri"/>
        <family val="2"/>
        <scheme val="minor"/>
      </rPr>
      <t>,</t>
    </r>
    <r>
      <rPr>
        <sz val="11"/>
        <color theme="1"/>
        <rFont val="Calibri"/>
        <family val="2"/>
        <scheme val="minor"/>
      </rPr>
      <t xml:space="preserve"> </t>
    </r>
    <r>
      <rPr>
        <strike/>
        <sz val="11"/>
        <color theme="1"/>
        <rFont val="Calibri"/>
        <family val="2"/>
        <scheme val="minor"/>
      </rPr>
      <t>if</t>
    </r>
    <r>
      <rPr>
        <u/>
        <sz val="11"/>
        <color theme="1"/>
        <rFont val="Calibri"/>
        <family val="2"/>
        <scheme val="minor"/>
      </rPr>
      <t>IF</t>
    </r>
    <r>
      <rPr>
        <sz val="11"/>
        <color theme="1"/>
        <rFont val="Calibri"/>
        <family val="2"/>
        <scheme val="minor"/>
      </rPr>
      <t xml:space="preserve"> </t>
    </r>
    <r>
      <rPr>
        <strike/>
        <sz val="11"/>
        <color theme="1"/>
        <rFont val="Calibri"/>
        <family val="2"/>
        <scheme val="minor"/>
      </rPr>
      <t>only</t>
    </r>
    <r>
      <rPr>
        <sz val="11"/>
        <color theme="1"/>
        <rFont val="Calibri"/>
        <family val="2"/>
        <scheme val="minor"/>
      </rPr>
      <t xml:space="preserve">
</t>
    </r>
    <r>
      <rPr>
        <u/>
        <sz val="11"/>
        <color theme="1"/>
        <rFont val="Calibri"/>
        <family val="2"/>
        <scheme val="minor"/>
      </rPr>
      <t xml:space="preserve">  SCTE-20</t>
    </r>
    <r>
      <rPr>
        <sz val="11"/>
        <color theme="1"/>
        <rFont val="Calibri"/>
        <family val="2"/>
        <scheme val="minor"/>
      </rPr>
      <t xml:space="preserve"> CEA-608</t>
    </r>
    <r>
      <rPr>
        <u/>
        <sz val="11"/>
        <color theme="1"/>
        <rFont val="Calibri"/>
        <family val="2"/>
        <scheme val="minor"/>
      </rPr>
      <t xml:space="preserve"> closed</t>
    </r>
    <r>
      <rPr>
        <sz val="11"/>
        <color theme="1"/>
        <rFont val="Calibri"/>
        <family val="2"/>
        <scheme val="minor"/>
      </rPr>
      <t xml:space="preserve"> caption data is present</t>
    </r>
    <r>
      <rPr>
        <u/>
        <sz val="11"/>
        <color theme="1"/>
        <rFont val="Calibri"/>
        <family val="2"/>
        <scheme val="minor"/>
      </rPr>
      <t>,</t>
    </r>
    <r>
      <rPr>
        <sz val="11"/>
        <color theme="1"/>
        <rFont val="Calibri"/>
        <family val="2"/>
        <scheme val="minor"/>
      </rPr>
      <t xml:space="preserve"> </t>
    </r>
    <r>
      <rPr>
        <strike/>
        <sz val="11"/>
        <color theme="1"/>
        <rFont val="Calibri"/>
        <family val="2"/>
        <scheme val="minor"/>
      </rPr>
      <t>(CEA</t>
    </r>
    <r>
      <rPr>
        <u/>
        <sz val="11"/>
        <color theme="1"/>
        <rFont val="Calibri"/>
        <family val="2"/>
        <scheme val="minor"/>
      </rPr>
      <t>AND</t>
    </r>
    <r>
      <rPr>
        <sz val="11"/>
        <color theme="1"/>
        <rFont val="Calibri"/>
        <family val="2"/>
        <scheme val="minor"/>
      </rPr>
      <t xml:space="preserve">
</t>
    </r>
    <r>
      <rPr>
        <u/>
        <sz val="11"/>
        <color theme="1"/>
        <rFont val="Calibri"/>
        <family val="2"/>
        <scheme val="minor"/>
      </rPr>
      <t xml:space="preserve">  EIA</t>
    </r>
    <r>
      <rPr>
        <sz val="11"/>
        <color theme="1"/>
        <rFont val="Calibri"/>
        <family val="2"/>
        <scheme val="minor"/>
      </rPr>
      <t>-708</t>
    </r>
    <r>
      <rPr>
        <u/>
        <sz val="11"/>
        <color theme="1"/>
        <rFont val="Calibri"/>
        <family val="2"/>
        <scheme val="minor"/>
      </rPr>
      <t xml:space="preserve"> closed caption</t>
    </r>
    <r>
      <rPr>
        <sz val="11"/>
        <color theme="1"/>
        <rFont val="Calibri"/>
        <family val="2"/>
        <scheme val="minor"/>
      </rPr>
      <t xml:space="preserve"> data</t>
    </r>
    <r>
      <rPr>
        <u/>
        <sz val="11"/>
        <color theme="1"/>
        <rFont val="Calibri"/>
        <family val="2"/>
        <scheme val="minor"/>
      </rPr>
      <t xml:space="preserve"> (DTVCC or EIA-608)</t>
    </r>
    <r>
      <rPr>
        <sz val="11"/>
        <color theme="1"/>
        <rFont val="Calibri"/>
        <family val="2"/>
        <scheme val="minor"/>
      </rPr>
      <t xml:space="preserve"> is </t>
    </r>
    <r>
      <rPr>
        <strike/>
        <sz val="11"/>
        <color theme="1"/>
        <rFont val="Calibri"/>
        <family val="2"/>
        <scheme val="minor"/>
      </rPr>
      <t>not</t>
    </r>
    <r>
      <rPr>
        <u/>
        <sz val="11"/>
        <color theme="1"/>
        <rFont val="Calibri"/>
        <family val="2"/>
        <scheme val="minor"/>
      </rPr>
      <t>NOT</t>
    </r>
    <r>
      <rPr>
        <sz val="11"/>
        <color theme="1"/>
        <rFont val="Calibri"/>
        <family val="2"/>
        <scheme val="minor"/>
      </rPr>
      <t xml:space="preserve"> present</t>
    </r>
    <r>
      <rPr>
        <strike/>
        <sz val="11"/>
        <color theme="1"/>
        <rFont val="Calibri"/>
        <family val="2"/>
        <scheme val="minor"/>
      </rPr>
      <t>)</t>
    </r>
    <r>
      <rPr>
        <u/>
        <sz val="11"/>
        <color theme="1"/>
        <rFont val="Calibri"/>
        <family val="2"/>
        <scheme val="minor"/>
      </rPr>
      <t>,</t>
    </r>
    <r>
      <rPr>
        <sz val="11"/>
        <color theme="1"/>
        <rFont val="Calibri"/>
        <family val="2"/>
        <scheme val="minor"/>
      </rPr>
      <t xml:space="preserve"> </t>
    </r>
    <r>
      <rPr>
        <strike/>
        <sz val="11"/>
        <color theme="1"/>
        <rFont val="Calibri"/>
        <family val="2"/>
        <scheme val="minor"/>
      </rPr>
      <t>and</t>
    </r>
    <r>
      <rPr>
        <u/>
        <sz val="11"/>
        <color theme="1"/>
        <rFont val="Calibri"/>
        <family val="2"/>
        <scheme val="minor"/>
      </rPr>
      <t>AND</t>
    </r>
    <r>
      <rPr>
        <sz val="11"/>
        <color theme="1"/>
        <rFont val="Calibri"/>
        <family val="2"/>
        <scheme val="minor"/>
      </rPr>
      <t xml:space="preserve">
 </t>
    </r>
    <r>
      <rPr>
        <strike/>
        <sz val="11"/>
        <color theme="1"/>
        <rFont val="Calibri"/>
        <family val="2"/>
        <scheme val="minor"/>
      </rPr>
      <t>carried</t>
    </r>
    <r>
      <rPr>
        <sz val="11"/>
        <color theme="1"/>
        <rFont val="Calibri"/>
        <family val="2"/>
        <scheme val="minor"/>
      </rPr>
      <t xml:space="preserve"> </t>
    </r>
    <r>
      <rPr>
        <strike/>
        <sz val="11"/>
        <color theme="1"/>
        <rFont val="Calibri"/>
        <family val="2"/>
        <scheme val="minor"/>
      </rPr>
      <t>in</t>
    </r>
    <r>
      <rPr>
        <u/>
        <sz val="11"/>
        <color theme="1"/>
        <rFont val="Calibri"/>
        <family val="2"/>
        <scheme val="minor"/>
      </rPr>
      <t>closed</t>
    </r>
    <r>
      <rPr>
        <sz val="11"/>
        <color theme="1"/>
        <rFont val="Calibri"/>
        <family val="2"/>
        <scheme val="minor"/>
      </rPr>
      <t xml:space="preserve"> </t>
    </r>
    <r>
      <rPr>
        <strike/>
        <sz val="11"/>
        <color theme="1"/>
        <rFont val="Calibri"/>
        <family val="2"/>
        <scheme val="minor"/>
      </rPr>
      <t>SCTE-20</t>
    </r>
    <r>
      <rPr>
        <u/>
        <sz val="11"/>
        <color theme="1"/>
        <rFont val="Calibri"/>
        <family val="2"/>
        <scheme val="minor"/>
      </rPr>
      <t>captioning</t>
    </r>
    <r>
      <rPr>
        <sz val="11"/>
        <color theme="1"/>
        <rFont val="Calibri"/>
        <family val="2"/>
        <scheme val="minor"/>
      </rPr>
      <t xml:space="preserve"> </t>
    </r>
    <r>
      <rPr>
        <strike/>
        <sz val="11"/>
        <color theme="1"/>
        <rFont val="Calibri"/>
        <family val="2"/>
        <scheme val="minor"/>
      </rPr>
      <t>syntax</t>
    </r>
    <r>
      <rPr>
        <u/>
        <sz val="11"/>
        <color theme="1"/>
        <rFont val="Calibri"/>
        <family val="2"/>
        <scheme val="minor"/>
      </rPr>
      <t>is enabled</t>
    </r>
    <r>
      <rPr>
        <sz val="11"/>
        <color theme="1"/>
        <rFont val="Calibri"/>
        <family val="2"/>
        <scheme val="minor"/>
      </rPr>
      <t>.</t>
    </r>
  </si>
  <si>
    <t>The product SHALL render SCTE-20 CEA-608 closed captions on the NTSC output, IF 
  SCTE-20 CEA-608 closed caption data is present, AND
  EIA-708 closed caption data (DTVCC or EIA-608) is NOT present, AND
  closed captioning is enabled.</t>
  </si>
  <si>
    <r>
      <t>The product SHALL</t>
    </r>
    <r>
      <rPr>
        <strike/>
        <sz val="11"/>
        <color theme="1"/>
        <rFont val="Calibri"/>
        <family val="2"/>
        <scheme val="minor"/>
      </rPr>
      <t>, when closed captioning is enabled,</t>
    </r>
    <r>
      <rPr>
        <sz val="11"/>
        <color theme="1"/>
        <rFont val="Calibri"/>
        <family val="2"/>
        <scheme val="minor"/>
      </rPr>
      <t xml:space="preserve"> render</t>
    </r>
    <r>
      <rPr>
        <u/>
        <sz val="11"/>
        <color theme="1"/>
        <rFont val="Calibri"/>
        <family val="2"/>
        <scheme val="minor"/>
      </rPr>
      <t xml:space="preserve"> SCTE-20</t>
    </r>
    <r>
      <rPr>
        <sz val="11"/>
        <color theme="1"/>
        <rFont val="Calibri"/>
        <family val="2"/>
        <scheme val="minor"/>
      </rPr>
      <t xml:space="preserve"> CEA-608 closed captions</t>
    </r>
    <r>
      <rPr>
        <strike/>
        <sz val="11"/>
        <color theme="1"/>
        <rFont val="Calibri"/>
        <family val="2"/>
        <scheme val="minor"/>
      </rPr>
      <t xml:space="preserve"> received in SCTE-20 syntax</t>
    </r>
    <r>
      <rPr>
        <sz val="11"/>
        <color theme="1"/>
        <rFont val="Calibri"/>
        <family val="2"/>
        <scheme val="minor"/>
      </rPr>
      <t xml:space="preserve"> on </t>
    </r>
    <r>
      <rPr>
        <strike/>
        <sz val="11"/>
        <color theme="1"/>
        <rFont val="Calibri"/>
        <family val="2"/>
        <scheme val="minor"/>
      </rPr>
      <t>its</t>
    </r>
    <r>
      <rPr>
        <u/>
        <sz val="11"/>
        <color theme="1"/>
        <rFont val="Calibri"/>
        <family val="2"/>
        <scheme val="minor"/>
      </rPr>
      <t>the</t>
    </r>
    <r>
      <rPr>
        <sz val="11"/>
        <color theme="1"/>
        <rFont val="Calibri"/>
        <family val="2"/>
        <scheme val="minor"/>
      </rPr>
      <t xml:space="preserve"> NTSC output</t>
    </r>
    <r>
      <rPr>
        <u/>
        <sz val="11"/>
        <color theme="1"/>
        <rFont val="Calibri"/>
        <family val="2"/>
        <scheme val="minor"/>
      </rPr>
      <t>,</t>
    </r>
    <r>
      <rPr>
        <sz val="11"/>
        <color theme="1"/>
        <rFont val="Calibri"/>
        <family val="2"/>
        <scheme val="minor"/>
      </rPr>
      <t xml:space="preserve"> </t>
    </r>
    <r>
      <rPr>
        <strike/>
        <sz val="11"/>
        <color theme="1"/>
        <rFont val="Calibri"/>
        <family val="2"/>
        <scheme val="minor"/>
      </rPr>
      <t>if</t>
    </r>
    <r>
      <rPr>
        <u/>
        <sz val="11"/>
        <color theme="1"/>
        <rFont val="Calibri"/>
        <family val="2"/>
        <scheme val="minor"/>
      </rPr>
      <t>IF</t>
    </r>
    <r>
      <rPr>
        <sz val="11"/>
        <color theme="1"/>
        <rFont val="Calibri"/>
        <family val="2"/>
        <scheme val="minor"/>
      </rPr>
      <t xml:space="preserve"> </t>
    </r>
    <r>
      <rPr>
        <strike/>
        <sz val="11"/>
        <color theme="1"/>
        <rFont val="Calibri"/>
        <family val="2"/>
        <scheme val="minor"/>
      </rPr>
      <t>only</t>
    </r>
    <r>
      <rPr>
        <sz val="11"/>
        <color theme="1"/>
        <rFont val="Calibri"/>
        <family val="2"/>
        <scheme val="minor"/>
      </rPr>
      <t xml:space="preserve">
</t>
    </r>
    <r>
      <rPr>
        <u/>
        <sz val="11"/>
        <color theme="1"/>
        <rFont val="Calibri"/>
        <family val="2"/>
        <scheme val="minor"/>
      </rPr>
      <t xml:space="preserve">  SCTE-20</t>
    </r>
    <r>
      <rPr>
        <sz val="11"/>
        <color theme="1"/>
        <rFont val="Calibri"/>
        <family val="2"/>
        <scheme val="minor"/>
      </rPr>
      <t xml:space="preserve"> CEA-608</t>
    </r>
    <r>
      <rPr>
        <u/>
        <sz val="11"/>
        <color theme="1"/>
        <rFont val="Calibri"/>
        <family val="2"/>
        <scheme val="minor"/>
      </rPr>
      <t xml:space="preserve"> closed</t>
    </r>
    <r>
      <rPr>
        <sz val="11"/>
        <color theme="1"/>
        <rFont val="Calibri"/>
        <family val="2"/>
        <scheme val="minor"/>
      </rPr>
      <t xml:space="preserve"> caption data is present</t>
    </r>
    <r>
      <rPr>
        <u/>
        <sz val="11"/>
        <color theme="1"/>
        <rFont val="Calibri"/>
        <family val="2"/>
        <scheme val="minor"/>
      </rPr>
      <t>,</t>
    </r>
    <r>
      <rPr>
        <sz val="11"/>
        <color theme="1"/>
        <rFont val="Calibri"/>
        <family val="2"/>
        <scheme val="minor"/>
      </rPr>
      <t xml:space="preserve"> </t>
    </r>
    <r>
      <rPr>
        <strike/>
        <sz val="11"/>
        <color theme="1"/>
        <rFont val="Calibri"/>
        <family val="2"/>
        <scheme val="minor"/>
      </rPr>
      <t>(CEA</t>
    </r>
    <r>
      <rPr>
        <u/>
        <sz val="11"/>
        <color theme="1"/>
        <rFont val="Calibri"/>
        <family val="2"/>
        <scheme val="minor"/>
      </rPr>
      <t>AND</t>
    </r>
    <r>
      <rPr>
        <sz val="11"/>
        <color theme="1"/>
        <rFont val="Calibri"/>
        <family val="2"/>
        <scheme val="minor"/>
      </rPr>
      <t xml:space="preserve">
</t>
    </r>
    <r>
      <rPr>
        <u/>
        <sz val="11"/>
        <color theme="1"/>
        <rFont val="Calibri"/>
        <family val="2"/>
        <scheme val="minor"/>
      </rPr>
      <t xml:space="preserve">  EIA</t>
    </r>
    <r>
      <rPr>
        <sz val="11"/>
        <color theme="1"/>
        <rFont val="Calibri"/>
        <family val="2"/>
        <scheme val="minor"/>
      </rPr>
      <t>-708</t>
    </r>
    <r>
      <rPr>
        <u/>
        <sz val="11"/>
        <color theme="1"/>
        <rFont val="Calibri"/>
        <family val="2"/>
        <scheme val="minor"/>
      </rPr>
      <t xml:space="preserve"> closed caption</t>
    </r>
    <r>
      <rPr>
        <sz val="11"/>
        <color theme="1"/>
        <rFont val="Calibri"/>
        <family val="2"/>
        <scheme val="minor"/>
      </rPr>
      <t xml:space="preserve"> data</t>
    </r>
    <r>
      <rPr>
        <u/>
        <sz val="11"/>
        <color theme="1"/>
        <rFont val="Calibri"/>
        <family val="2"/>
        <scheme val="minor"/>
      </rPr>
      <t xml:space="preserve"> (DTVCC or EIA-608)</t>
    </r>
    <r>
      <rPr>
        <sz val="11"/>
        <color theme="1"/>
        <rFont val="Calibri"/>
        <family val="2"/>
        <scheme val="minor"/>
      </rPr>
      <t xml:space="preserve"> is </t>
    </r>
    <r>
      <rPr>
        <strike/>
        <sz val="11"/>
        <color theme="1"/>
        <rFont val="Calibri"/>
        <family val="2"/>
        <scheme val="minor"/>
      </rPr>
      <t>not</t>
    </r>
    <r>
      <rPr>
        <u/>
        <sz val="11"/>
        <color theme="1"/>
        <rFont val="Calibri"/>
        <family val="2"/>
        <scheme val="minor"/>
      </rPr>
      <t>NOT</t>
    </r>
    <r>
      <rPr>
        <sz val="11"/>
        <color theme="1"/>
        <rFont val="Calibri"/>
        <family val="2"/>
        <scheme val="minor"/>
      </rPr>
      <t xml:space="preserve"> present</t>
    </r>
    <r>
      <rPr>
        <strike/>
        <sz val="11"/>
        <color theme="1"/>
        <rFont val="Calibri"/>
        <family val="2"/>
        <scheme val="minor"/>
      </rPr>
      <t>)</t>
    </r>
    <r>
      <rPr>
        <u/>
        <sz val="11"/>
        <color theme="1"/>
        <rFont val="Calibri"/>
        <family val="2"/>
        <scheme val="minor"/>
      </rPr>
      <t>,</t>
    </r>
    <r>
      <rPr>
        <sz val="11"/>
        <color theme="1"/>
        <rFont val="Calibri"/>
        <family val="2"/>
        <scheme val="minor"/>
      </rPr>
      <t xml:space="preserve"> </t>
    </r>
    <r>
      <rPr>
        <strike/>
        <sz val="11"/>
        <color theme="1"/>
        <rFont val="Calibri"/>
        <family val="2"/>
        <scheme val="minor"/>
      </rPr>
      <t>and</t>
    </r>
    <r>
      <rPr>
        <u/>
        <sz val="11"/>
        <color theme="1"/>
        <rFont val="Calibri"/>
        <family val="2"/>
        <scheme val="minor"/>
      </rPr>
      <t>AND</t>
    </r>
    <r>
      <rPr>
        <sz val="11"/>
        <color theme="1"/>
        <rFont val="Calibri"/>
        <family val="2"/>
        <scheme val="minor"/>
      </rPr>
      <t xml:space="preserve">
 </t>
    </r>
    <r>
      <rPr>
        <strike/>
        <sz val="11"/>
        <color theme="1"/>
        <rFont val="Calibri"/>
        <family val="2"/>
        <scheme val="minor"/>
      </rPr>
      <t>carried</t>
    </r>
    <r>
      <rPr>
        <sz val="11"/>
        <color theme="1"/>
        <rFont val="Calibri"/>
        <family val="2"/>
        <scheme val="minor"/>
      </rPr>
      <t xml:space="preserve"> </t>
    </r>
    <r>
      <rPr>
        <strike/>
        <sz val="11"/>
        <color theme="1"/>
        <rFont val="Calibri"/>
        <family val="2"/>
        <scheme val="minor"/>
      </rPr>
      <t>in</t>
    </r>
    <r>
      <rPr>
        <u/>
        <sz val="11"/>
        <color theme="1"/>
        <rFont val="Calibri"/>
        <family val="2"/>
        <scheme val="minor"/>
      </rPr>
      <t>closed</t>
    </r>
    <r>
      <rPr>
        <sz val="11"/>
        <color theme="1"/>
        <rFont val="Calibri"/>
        <family val="2"/>
        <scheme val="minor"/>
      </rPr>
      <t xml:space="preserve"> </t>
    </r>
    <r>
      <rPr>
        <strike/>
        <sz val="11"/>
        <color theme="1"/>
        <rFont val="Calibri"/>
        <family val="2"/>
        <scheme val="minor"/>
      </rPr>
      <t>SCTE-20</t>
    </r>
    <r>
      <rPr>
        <u/>
        <sz val="11"/>
        <color theme="1"/>
        <rFont val="Calibri"/>
        <family val="2"/>
        <scheme val="minor"/>
      </rPr>
      <t>captioning</t>
    </r>
    <r>
      <rPr>
        <sz val="11"/>
        <color theme="1"/>
        <rFont val="Calibri"/>
        <family val="2"/>
        <scheme val="minor"/>
      </rPr>
      <t xml:space="preserve"> </t>
    </r>
    <r>
      <rPr>
        <strike/>
        <sz val="11"/>
        <color theme="1"/>
        <rFont val="Calibri"/>
        <family val="2"/>
        <scheme val="minor"/>
      </rPr>
      <t>syntax</t>
    </r>
    <r>
      <rPr>
        <u/>
        <sz val="11"/>
        <color theme="1"/>
        <rFont val="Calibri"/>
        <family val="2"/>
        <scheme val="minor"/>
      </rPr>
      <t>is enabled</t>
    </r>
    <r>
      <rPr>
        <sz val="11"/>
        <color theme="1"/>
        <rFont val="Calibri"/>
        <family val="2"/>
        <scheme val="minor"/>
      </rPr>
      <t>.</t>
    </r>
  </si>
  <si>
    <t>The product SHALL reconstruct VBI Field 1 and Field 2 CEA-608 closed captions on the NTSC output, IF 
  SCTE-20 CEA-608 closed caption data is present, AND
  EIA-708 closed caption data (DTVCC or EIA-608) is NOT present.</t>
  </si>
  <si>
    <r>
      <t xml:space="preserve">The product SHALL reconstruct </t>
    </r>
    <r>
      <rPr>
        <strike/>
        <sz val="11"/>
        <color theme="1"/>
        <rFont val="Calibri"/>
        <family val="2"/>
        <scheme val="minor"/>
      </rPr>
      <t>Line 21,</t>
    </r>
    <r>
      <rPr>
        <u/>
        <sz val="11"/>
        <color theme="1"/>
        <rFont val="Calibri"/>
        <family val="2"/>
        <scheme val="minor"/>
      </rPr>
      <t>VBI</t>
    </r>
    <r>
      <rPr>
        <sz val="11"/>
        <color theme="1"/>
        <rFont val="Calibri"/>
        <family val="2"/>
        <scheme val="minor"/>
      </rPr>
      <t xml:space="preserve"> Field 1 and Field 2</t>
    </r>
    <r>
      <rPr>
        <strike/>
        <sz val="11"/>
        <color theme="1"/>
        <rFont val="Calibri"/>
        <family val="2"/>
        <scheme val="minor"/>
      </rPr>
      <t>,</t>
    </r>
    <r>
      <rPr>
        <sz val="11"/>
        <color theme="1"/>
        <rFont val="Calibri"/>
        <family val="2"/>
        <scheme val="minor"/>
      </rPr>
      <t xml:space="preserve"> </t>
    </r>
    <r>
      <rPr>
        <strike/>
        <sz val="11"/>
        <color theme="1"/>
        <rFont val="Calibri"/>
        <family val="2"/>
        <scheme val="minor"/>
      </rPr>
      <t>of</t>
    </r>
    <r>
      <rPr>
        <u/>
        <sz val="11"/>
        <color theme="1"/>
        <rFont val="Calibri"/>
        <family val="2"/>
        <scheme val="minor"/>
      </rPr>
      <t>CEA-608</t>
    </r>
    <r>
      <rPr>
        <sz val="11"/>
        <color theme="1"/>
        <rFont val="Calibri"/>
        <family val="2"/>
        <scheme val="minor"/>
      </rPr>
      <t xml:space="preserve"> </t>
    </r>
    <r>
      <rPr>
        <strike/>
        <sz val="11"/>
        <color theme="1"/>
        <rFont val="Calibri"/>
        <family val="2"/>
        <scheme val="minor"/>
      </rPr>
      <t>the</t>
    </r>
    <r>
      <rPr>
        <u/>
        <sz val="11"/>
        <color theme="1"/>
        <rFont val="Calibri"/>
        <family val="2"/>
        <scheme val="minor"/>
      </rPr>
      <t>closed</t>
    </r>
    <r>
      <rPr>
        <sz val="11"/>
        <color theme="1"/>
        <rFont val="Calibri"/>
        <family val="2"/>
        <scheme val="minor"/>
      </rPr>
      <t xml:space="preserve"> </t>
    </r>
    <r>
      <rPr>
        <strike/>
        <sz val="11"/>
        <color theme="1"/>
        <rFont val="Calibri"/>
        <family val="2"/>
        <scheme val="minor"/>
      </rPr>
      <t>VBI</t>
    </r>
    <r>
      <rPr>
        <u/>
        <sz val="11"/>
        <color theme="1"/>
        <rFont val="Calibri"/>
        <family val="2"/>
        <scheme val="minor"/>
      </rPr>
      <t>captions</t>
    </r>
    <r>
      <rPr>
        <sz val="11"/>
        <color theme="1"/>
        <rFont val="Calibri"/>
        <family val="2"/>
        <scheme val="minor"/>
      </rPr>
      <t xml:space="preserve"> on </t>
    </r>
    <r>
      <rPr>
        <strike/>
        <sz val="11"/>
        <color theme="1"/>
        <rFont val="Calibri"/>
        <family val="2"/>
        <scheme val="minor"/>
      </rPr>
      <t>its</t>
    </r>
    <r>
      <rPr>
        <u/>
        <sz val="11"/>
        <color theme="1"/>
        <rFont val="Calibri"/>
        <family val="2"/>
        <scheme val="minor"/>
      </rPr>
      <t>the</t>
    </r>
    <r>
      <rPr>
        <sz val="11"/>
        <color theme="1"/>
        <rFont val="Calibri"/>
        <family val="2"/>
        <scheme val="minor"/>
      </rPr>
      <t xml:space="preserve"> NTSC</t>
    </r>
    <r>
      <rPr>
        <strike/>
        <sz val="11"/>
        <color theme="1"/>
        <rFont val="Calibri"/>
        <family val="2"/>
        <scheme val="minor"/>
      </rPr>
      <t xml:space="preserve"> Outputs if it is tuned</t>
    </r>
    <r>
      <rPr>
        <sz val="11"/>
        <color theme="1"/>
        <rFont val="Calibri"/>
        <family val="2"/>
        <scheme val="minor"/>
      </rPr>
      <t xml:space="preserve"> </t>
    </r>
    <r>
      <rPr>
        <strike/>
        <sz val="11"/>
        <color theme="1"/>
        <rFont val="Calibri"/>
        <family val="2"/>
        <scheme val="minor"/>
      </rPr>
      <t>to</t>
    </r>
    <r>
      <rPr>
        <u/>
        <sz val="11"/>
        <color theme="1"/>
        <rFont val="Calibri"/>
        <family val="2"/>
        <scheme val="minor"/>
      </rPr>
      <t>output,</t>
    </r>
    <r>
      <rPr>
        <sz val="11"/>
        <color theme="1"/>
        <rFont val="Calibri"/>
        <family val="2"/>
        <scheme val="minor"/>
      </rPr>
      <t xml:space="preserve"> </t>
    </r>
    <r>
      <rPr>
        <strike/>
        <sz val="11"/>
        <color theme="1"/>
        <rFont val="Calibri"/>
        <family val="2"/>
        <scheme val="minor"/>
      </rPr>
      <t>a</t>
    </r>
    <r>
      <rPr>
        <u/>
        <sz val="11"/>
        <color theme="1"/>
        <rFont val="Calibri"/>
        <family val="2"/>
        <scheme val="minor"/>
      </rPr>
      <t>IF</t>
    </r>
    <r>
      <rPr>
        <sz val="11"/>
        <color theme="1"/>
        <rFont val="Calibri"/>
        <family val="2"/>
        <scheme val="minor"/>
      </rPr>
      <t xml:space="preserve"> </t>
    </r>
    <r>
      <rPr>
        <strike/>
        <sz val="11"/>
        <color theme="1"/>
        <rFont val="Calibri"/>
        <family val="2"/>
        <scheme val="minor"/>
      </rPr>
      <t>Digital</t>
    </r>
    <r>
      <rPr>
        <sz val="11"/>
        <color theme="1"/>
        <rFont val="Calibri"/>
        <family val="2"/>
        <scheme val="minor"/>
      </rPr>
      <t xml:space="preserve">
 </t>
    </r>
    <r>
      <rPr>
        <strike/>
        <sz val="11"/>
        <color theme="1"/>
        <rFont val="Calibri"/>
        <family val="2"/>
        <scheme val="minor"/>
      </rPr>
      <t>service</t>
    </r>
    <r>
      <rPr>
        <sz val="11"/>
        <color theme="1"/>
        <rFont val="Calibri"/>
        <family val="2"/>
        <scheme val="minor"/>
      </rPr>
      <t xml:space="preserve"> </t>
    </r>
    <r>
      <rPr>
        <strike/>
        <sz val="11"/>
        <color theme="1"/>
        <rFont val="Calibri"/>
        <family val="2"/>
        <scheme val="minor"/>
      </rPr>
      <t>where</t>
    </r>
    <r>
      <rPr>
        <u/>
        <sz val="11"/>
        <color theme="1"/>
        <rFont val="Calibri"/>
        <family val="2"/>
        <scheme val="minor"/>
      </rPr>
      <t>SCTE-20</t>
    </r>
    <r>
      <rPr>
        <sz val="11"/>
        <color theme="1"/>
        <rFont val="Calibri"/>
        <family val="2"/>
        <scheme val="minor"/>
      </rPr>
      <t xml:space="preserve"> CEA-608</t>
    </r>
    <r>
      <rPr>
        <u/>
        <sz val="11"/>
        <color theme="1"/>
        <rFont val="Calibri"/>
        <family val="2"/>
        <scheme val="minor"/>
      </rPr>
      <t xml:space="preserve"> closed</t>
    </r>
    <r>
      <rPr>
        <sz val="11"/>
        <color theme="1"/>
        <rFont val="Calibri"/>
        <family val="2"/>
        <scheme val="minor"/>
      </rPr>
      <t xml:space="preserve"> caption data is present</t>
    </r>
    <r>
      <rPr>
        <u/>
        <sz val="11"/>
        <color theme="1"/>
        <rFont val="Calibri"/>
        <family val="2"/>
        <scheme val="minor"/>
      </rPr>
      <t>,</t>
    </r>
    <r>
      <rPr>
        <sz val="11"/>
        <color theme="1"/>
        <rFont val="Calibri"/>
        <family val="2"/>
        <scheme val="minor"/>
      </rPr>
      <t xml:space="preserve"> </t>
    </r>
    <r>
      <rPr>
        <strike/>
        <sz val="11"/>
        <color theme="1"/>
        <rFont val="Calibri"/>
        <family val="2"/>
        <scheme val="minor"/>
      </rPr>
      <t>in</t>
    </r>
    <r>
      <rPr>
        <u/>
        <sz val="11"/>
        <color theme="1"/>
        <rFont val="Calibri"/>
        <family val="2"/>
        <scheme val="minor"/>
      </rPr>
      <t>AND</t>
    </r>
    <r>
      <rPr>
        <sz val="11"/>
        <color theme="1"/>
        <rFont val="Calibri"/>
        <family val="2"/>
        <scheme val="minor"/>
      </rPr>
      <t xml:space="preserve">
 </t>
    </r>
    <r>
      <rPr>
        <strike/>
        <sz val="11"/>
        <color theme="1"/>
        <rFont val="Calibri"/>
        <family val="2"/>
        <scheme val="minor"/>
      </rPr>
      <t>the</t>
    </r>
    <r>
      <rPr>
        <sz val="11"/>
        <color theme="1"/>
        <rFont val="Calibri"/>
        <family val="2"/>
        <scheme val="minor"/>
      </rPr>
      <t xml:space="preserve"> </t>
    </r>
    <r>
      <rPr>
        <strike/>
        <sz val="11"/>
        <color theme="1"/>
        <rFont val="Calibri"/>
        <family val="2"/>
        <scheme val="minor"/>
      </rPr>
      <t>MPEG</t>
    </r>
    <r>
      <rPr>
        <u/>
        <sz val="11"/>
        <color theme="1"/>
        <rFont val="Calibri"/>
        <family val="2"/>
        <scheme val="minor"/>
      </rPr>
      <t>EIA</t>
    </r>
    <r>
      <rPr>
        <sz val="11"/>
        <color theme="1"/>
        <rFont val="Calibri"/>
        <family val="2"/>
        <scheme val="minor"/>
      </rPr>
      <t>-</t>
    </r>
    <r>
      <rPr>
        <strike/>
        <sz val="11"/>
        <color theme="1"/>
        <rFont val="Calibri"/>
        <family val="2"/>
        <scheme val="minor"/>
      </rPr>
      <t>2 Picture User Data of the</t>
    </r>
    <r>
      <rPr>
        <u/>
        <sz val="11"/>
        <color theme="1"/>
        <rFont val="Calibri"/>
        <family val="2"/>
        <scheme val="minor"/>
      </rPr>
      <t>708</t>
    </r>
    <r>
      <rPr>
        <sz val="11"/>
        <color theme="1"/>
        <rFont val="Calibri"/>
        <family val="2"/>
        <scheme val="minor"/>
      </rPr>
      <t xml:space="preserve"> </t>
    </r>
    <r>
      <rPr>
        <strike/>
        <sz val="11"/>
        <color theme="1"/>
        <rFont val="Calibri"/>
        <family val="2"/>
        <scheme val="minor"/>
      </rPr>
      <t>same</t>
    </r>
    <r>
      <rPr>
        <u/>
        <sz val="11"/>
        <color theme="1"/>
        <rFont val="Calibri"/>
        <family val="2"/>
        <scheme val="minor"/>
      </rPr>
      <t>closed</t>
    </r>
    <r>
      <rPr>
        <sz val="11"/>
        <color theme="1"/>
        <rFont val="Calibri"/>
        <family val="2"/>
        <scheme val="minor"/>
      </rPr>
      <t xml:space="preserve"> </t>
    </r>
    <r>
      <rPr>
        <strike/>
        <sz val="11"/>
        <color theme="1"/>
        <rFont val="Calibri"/>
        <family val="2"/>
        <scheme val="minor"/>
      </rPr>
      <t>MPEG</t>
    </r>
    <r>
      <rPr>
        <u/>
        <sz val="11"/>
        <color theme="1"/>
        <rFont val="Calibri"/>
        <family val="2"/>
        <scheme val="minor"/>
      </rPr>
      <t>caption</t>
    </r>
    <r>
      <rPr>
        <sz val="11"/>
        <color theme="1"/>
        <rFont val="Calibri"/>
        <family val="2"/>
        <scheme val="minor"/>
      </rPr>
      <t xml:space="preserve"> </t>
    </r>
    <r>
      <rPr>
        <strike/>
        <sz val="11"/>
        <color theme="1"/>
        <rFont val="Calibri"/>
        <family val="2"/>
        <scheme val="minor"/>
      </rPr>
      <t>video</t>
    </r>
    <r>
      <rPr>
        <u/>
        <sz val="11"/>
        <color theme="1"/>
        <rFont val="Calibri"/>
        <family val="2"/>
        <scheme val="minor"/>
      </rPr>
      <t>data</t>
    </r>
    <r>
      <rPr>
        <sz val="11"/>
        <color theme="1"/>
        <rFont val="Calibri"/>
        <family val="2"/>
        <scheme val="minor"/>
      </rPr>
      <t xml:space="preserve"> </t>
    </r>
    <r>
      <rPr>
        <strike/>
        <sz val="11"/>
        <color theme="1"/>
        <rFont val="Calibri"/>
        <family val="2"/>
        <scheme val="minor"/>
      </rPr>
      <t>frame</t>
    </r>
    <r>
      <rPr>
        <u/>
        <sz val="11"/>
        <color theme="1"/>
        <rFont val="Calibri"/>
        <family val="2"/>
        <scheme val="minor"/>
      </rPr>
      <t>(DTVCC</t>
    </r>
    <r>
      <rPr>
        <sz val="11"/>
        <color theme="1"/>
        <rFont val="Calibri"/>
        <family val="2"/>
        <scheme val="minor"/>
      </rPr>
      <t xml:space="preserve"> </t>
    </r>
    <r>
      <rPr>
        <strike/>
        <sz val="11"/>
        <color theme="1"/>
        <rFont val="Calibri"/>
        <family val="2"/>
        <scheme val="minor"/>
      </rPr>
      <t>and</t>
    </r>
    <r>
      <rPr>
        <u/>
        <sz val="11"/>
        <color theme="1"/>
        <rFont val="Calibri"/>
        <family val="2"/>
        <scheme val="minor"/>
      </rPr>
      <t>or</t>
    </r>
    <r>
      <rPr>
        <sz val="11"/>
        <color theme="1"/>
        <rFont val="Calibri"/>
        <family val="2"/>
        <scheme val="minor"/>
      </rPr>
      <t xml:space="preserve"> </t>
    </r>
    <r>
      <rPr>
        <strike/>
        <sz val="11"/>
        <color theme="1"/>
        <rFont val="Calibri"/>
        <family val="2"/>
        <scheme val="minor"/>
      </rPr>
      <t>carried</t>
    </r>
    <r>
      <rPr>
        <u/>
        <sz val="11"/>
        <color theme="1"/>
        <rFont val="Calibri"/>
        <family val="2"/>
        <scheme val="minor"/>
      </rPr>
      <t>EIA-608)</t>
    </r>
    <r>
      <rPr>
        <sz val="11"/>
        <color theme="1"/>
        <rFont val="Calibri"/>
        <family val="2"/>
        <scheme val="minor"/>
      </rPr>
      <t xml:space="preserve"> </t>
    </r>
    <r>
      <rPr>
        <strike/>
        <sz val="11"/>
        <color theme="1"/>
        <rFont val="Calibri"/>
        <family val="2"/>
        <scheme val="minor"/>
      </rPr>
      <t>in</t>
    </r>
    <r>
      <rPr>
        <u/>
        <sz val="11"/>
        <color theme="1"/>
        <rFont val="Calibri"/>
        <family val="2"/>
        <scheme val="minor"/>
      </rPr>
      <t>is</t>
    </r>
    <r>
      <rPr>
        <sz val="11"/>
        <color theme="1"/>
        <rFont val="Calibri"/>
        <family val="2"/>
        <scheme val="minor"/>
      </rPr>
      <t xml:space="preserve"> </t>
    </r>
    <r>
      <rPr>
        <strike/>
        <sz val="11"/>
        <color theme="1"/>
        <rFont val="Calibri"/>
        <family val="2"/>
        <scheme val="minor"/>
      </rPr>
      <t>SCTE-20</t>
    </r>
    <r>
      <rPr>
        <u/>
        <sz val="11"/>
        <color theme="1"/>
        <rFont val="Calibri"/>
        <family val="2"/>
        <scheme val="minor"/>
      </rPr>
      <t>NOT</t>
    </r>
    <r>
      <rPr>
        <sz val="11"/>
        <color theme="1"/>
        <rFont val="Calibri"/>
        <family val="2"/>
        <scheme val="minor"/>
      </rPr>
      <t xml:space="preserve"> </t>
    </r>
    <r>
      <rPr>
        <strike/>
        <sz val="11"/>
        <color theme="1"/>
        <rFont val="Calibri"/>
        <family val="2"/>
        <scheme val="minor"/>
      </rPr>
      <t>syntax</t>
    </r>
    <r>
      <rPr>
        <u/>
        <sz val="11"/>
        <color theme="1"/>
        <rFont val="Calibri"/>
        <family val="2"/>
        <scheme val="minor"/>
      </rPr>
      <t>present</t>
    </r>
    <r>
      <rPr>
        <sz val="11"/>
        <color theme="1"/>
        <rFont val="Calibri"/>
        <family val="2"/>
        <scheme val="minor"/>
      </rPr>
      <t>.</t>
    </r>
    <r>
      <rPr>
        <strike/>
        <sz val="11"/>
        <color theme="1"/>
        <rFont val="Calibri"/>
        <family val="2"/>
        <scheme val="minor"/>
      </rPr>
      <t xml:space="preserve"> </t>
    </r>
  </si>
  <si>
    <t>The product SHALL render DTVCC transported CEA-608 closed captions on the HDMI output, IF 
  CEA-608 closed caption data IS present in the EIA-708 DTVCC transport, AND
  DTVCC closed caption data is NOT present in the EIA-708 DTVCC transport, AND
  closed captioning is enabled.</t>
  </si>
  <si>
    <r>
      <t>The product SHALL</t>
    </r>
    <r>
      <rPr>
        <strike/>
        <sz val="11"/>
        <color theme="1"/>
        <rFont val="Calibri"/>
        <family val="2"/>
        <scheme val="minor"/>
      </rPr>
      <t>, when closed captioning</t>
    </r>
    <r>
      <rPr>
        <sz val="11"/>
        <color theme="1"/>
        <rFont val="Calibri"/>
        <family val="2"/>
        <scheme val="minor"/>
      </rPr>
      <t xml:space="preserve"> </t>
    </r>
    <r>
      <rPr>
        <strike/>
        <sz val="11"/>
        <color theme="1"/>
        <rFont val="Calibri"/>
        <family val="2"/>
        <scheme val="minor"/>
      </rPr>
      <t>is</t>
    </r>
    <r>
      <rPr>
        <u/>
        <sz val="11"/>
        <color theme="1"/>
        <rFont val="Calibri"/>
        <family val="2"/>
        <scheme val="minor"/>
      </rPr>
      <t>render</t>
    </r>
    <r>
      <rPr>
        <sz val="11"/>
        <color theme="1"/>
        <rFont val="Calibri"/>
        <family val="2"/>
        <scheme val="minor"/>
      </rPr>
      <t xml:space="preserve"> </t>
    </r>
    <r>
      <rPr>
        <strike/>
        <sz val="11"/>
        <color theme="1"/>
        <rFont val="Calibri"/>
        <family val="2"/>
        <scheme val="minor"/>
      </rPr>
      <t>enabled,</t>
    </r>
    <r>
      <rPr>
        <u/>
        <sz val="11"/>
        <color theme="1"/>
        <rFont val="Calibri"/>
        <family val="2"/>
        <scheme val="minor"/>
      </rPr>
      <t>DTVCC</t>
    </r>
    <r>
      <rPr>
        <sz val="11"/>
        <color theme="1"/>
        <rFont val="Calibri"/>
        <family val="2"/>
        <scheme val="minor"/>
      </rPr>
      <t xml:space="preserve"> </t>
    </r>
    <r>
      <rPr>
        <strike/>
        <sz val="11"/>
        <color theme="1"/>
        <rFont val="Calibri"/>
        <family val="2"/>
        <scheme val="minor"/>
      </rPr>
      <t>render</t>
    </r>
    <r>
      <rPr>
        <u/>
        <sz val="11"/>
        <color theme="1"/>
        <rFont val="Calibri"/>
        <family val="2"/>
        <scheme val="minor"/>
      </rPr>
      <t>transported</t>
    </r>
    <r>
      <rPr>
        <sz val="11"/>
        <color theme="1"/>
        <rFont val="Calibri"/>
        <family val="2"/>
        <scheme val="minor"/>
      </rPr>
      <t xml:space="preserve"> CEA-608 closed captions on </t>
    </r>
    <r>
      <rPr>
        <strike/>
        <sz val="11"/>
        <color theme="1"/>
        <rFont val="Calibri"/>
        <family val="2"/>
        <scheme val="minor"/>
      </rPr>
      <t>its</t>
    </r>
    <r>
      <rPr>
        <u/>
        <sz val="11"/>
        <color theme="1"/>
        <rFont val="Calibri"/>
        <family val="2"/>
        <scheme val="minor"/>
      </rPr>
      <t>the</t>
    </r>
    <r>
      <rPr>
        <sz val="11"/>
        <color theme="1"/>
        <rFont val="Calibri"/>
        <family val="2"/>
        <scheme val="minor"/>
      </rPr>
      <t xml:space="preserve"> HDMI output</t>
    </r>
    <r>
      <rPr>
        <u/>
        <sz val="11"/>
        <color theme="1"/>
        <rFont val="Calibri"/>
        <family val="2"/>
        <scheme val="minor"/>
      </rPr>
      <t>,</t>
    </r>
    <r>
      <rPr>
        <sz val="11"/>
        <color theme="1"/>
        <rFont val="Calibri"/>
        <family val="2"/>
        <scheme val="minor"/>
      </rPr>
      <t xml:space="preserve"> </t>
    </r>
    <r>
      <rPr>
        <strike/>
        <sz val="11"/>
        <color theme="1"/>
        <rFont val="Calibri"/>
        <family val="2"/>
        <scheme val="minor"/>
      </rPr>
      <t>if</t>
    </r>
    <r>
      <rPr>
        <u/>
        <sz val="11"/>
        <color theme="1"/>
        <rFont val="Calibri"/>
        <family val="2"/>
        <scheme val="minor"/>
      </rPr>
      <t>IF</t>
    </r>
    <r>
      <rPr>
        <sz val="11"/>
        <color theme="1"/>
        <rFont val="Calibri"/>
        <family val="2"/>
        <scheme val="minor"/>
      </rPr>
      <t xml:space="preserve"> </t>
    </r>
    <r>
      <rPr>
        <strike/>
        <sz val="11"/>
        <color theme="1"/>
        <rFont val="Calibri"/>
        <family val="2"/>
        <scheme val="minor"/>
      </rPr>
      <t>only</t>
    </r>
    <r>
      <rPr>
        <sz val="11"/>
        <color theme="1"/>
        <rFont val="Calibri"/>
        <family val="2"/>
        <scheme val="minor"/>
      </rPr>
      <t xml:space="preserve">
</t>
    </r>
    <r>
      <rPr>
        <u/>
        <sz val="11"/>
        <color theme="1"/>
        <rFont val="Calibri"/>
        <family val="2"/>
        <scheme val="minor"/>
      </rPr>
      <t xml:space="preserve"> </t>
    </r>
    <r>
      <rPr>
        <sz val="11"/>
        <color theme="1"/>
        <rFont val="Calibri"/>
        <family val="2"/>
        <scheme val="minor"/>
      </rPr>
      <t xml:space="preserve"> CEA-608</t>
    </r>
    <r>
      <rPr>
        <u/>
        <sz val="11"/>
        <color theme="1"/>
        <rFont val="Calibri"/>
        <family val="2"/>
        <scheme val="minor"/>
      </rPr>
      <t xml:space="preserve"> closed</t>
    </r>
    <r>
      <rPr>
        <sz val="11"/>
        <color theme="1"/>
        <rFont val="Calibri"/>
        <family val="2"/>
        <scheme val="minor"/>
      </rPr>
      <t xml:space="preserve"> caption data </t>
    </r>
    <r>
      <rPr>
        <strike/>
        <sz val="11"/>
        <color theme="1"/>
        <rFont val="Calibri"/>
        <family val="2"/>
        <scheme val="minor"/>
      </rPr>
      <t>is</t>
    </r>
    <r>
      <rPr>
        <u/>
        <sz val="11"/>
        <color theme="1"/>
        <rFont val="Calibri"/>
        <family val="2"/>
        <scheme val="minor"/>
      </rPr>
      <t>IS</t>
    </r>
    <r>
      <rPr>
        <sz val="11"/>
        <color theme="1"/>
        <rFont val="Calibri"/>
        <family val="2"/>
        <scheme val="minor"/>
      </rPr>
      <t xml:space="preserve"> present </t>
    </r>
    <r>
      <rPr>
        <strike/>
        <sz val="11"/>
        <color theme="1"/>
        <rFont val="Calibri"/>
        <family val="2"/>
        <scheme val="minor"/>
      </rPr>
      <t>(CEA</t>
    </r>
    <r>
      <rPr>
        <u/>
        <sz val="11"/>
        <color theme="1"/>
        <rFont val="Calibri"/>
        <family val="2"/>
        <scheme val="minor"/>
      </rPr>
      <t>in the EIA</t>
    </r>
    <r>
      <rPr>
        <sz val="11"/>
        <color theme="1"/>
        <rFont val="Calibri"/>
        <family val="2"/>
        <scheme val="minor"/>
      </rPr>
      <t xml:space="preserve">-708 </t>
    </r>
    <r>
      <rPr>
        <strike/>
        <sz val="11"/>
        <color theme="1"/>
        <rFont val="Calibri"/>
        <family val="2"/>
        <scheme val="minor"/>
      </rPr>
      <t>data</t>
    </r>
    <r>
      <rPr>
        <u/>
        <sz val="11"/>
        <color theme="1"/>
        <rFont val="Calibri"/>
        <family val="2"/>
        <scheme val="minor"/>
      </rPr>
      <t>DTVCC</t>
    </r>
    <r>
      <rPr>
        <sz val="11"/>
        <color theme="1"/>
        <rFont val="Calibri"/>
        <family val="2"/>
        <scheme val="minor"/>
      </rPr>
      <t xml:space="preserve"> </t>
    </r>
    <r>
      <rPr>
        <strike/>
        <sz val="11"/>
        <color theme="1"/>
        <rFont val="Calibri"/>
        <family val="2"/>
        <scheme val="minor"/>
      </rPr>
      <t>is</t>
    </r>
    <r>
      <rPr>
        <u/>
        <sz val="11"/>
        <color theme="1"/>
        <rFont val="Calibri"/>
        <family val="2"/>
        <scheme val="minor"/>
      </rPr>
      <t>transport,</t>
    </r>
    <r>
      <rPr>
        <sz val="11"/>
        <color theme="1"/>
        <rFont val="Calibri"/>
        <family val="2"/>
        <scheme val="minor"/>
      </rPr>
      <t xml:space="preserve"> </t>
    </r>
    <r>
      <rPr>
        <strike/>
        <sz val="11"/>
        <color theme="1"/>
        <rFont val="Calibri"/>
        <family val="2"/>
        <scheme val="minor"/>
      </rPr>
      <t>not</t>
    </r>
    <r>
      <rPr>
        <u/>
        <sz val="11"/>
        <color theme="1"/>
        <rFont val="Calibri"/>
        <family val="2"/>
        <scheme val="minor"/>
      </rPr>
      <t>AND</t>
    </r>
    <r>
      <rPr>
        <sz val="11"/>
        <color theme="1"/>
        <rFont val="Calibri"/>
        <family val="2"/>
        <scheme val="minor"/>
      </rPr>
      <t xml:space="preserve">
 </t>
    </r>
    <r>
      <rPr>
        <strike/>
        <sz val="11"/>
        <color theme="1"/>
        <rFont val="Calibri"/>
        <family val="2"/>
        <scheme val="minor"/>
      </rPr>
      <t>present)</t>
    </r>
    <r>
      <rPr>
        <sz val="11"/>
        <color theme="1"/>
        <rFont val="Calibri"/>
        <family val="2"/>
        <scheme val="minor"/>
      </rPr>
      <t xml:space="preserve"> </t>
    </r>
    <r>
      <rPr>
        <strike/>
        <sz val="11"/>
        <color theme="1"/>
        <rFont val="Calibri"/>
        <family val="2"/>
        <scheme val="minor"/>
      </rPr>
      <t>and</t>
    </r>
    <r>
      <rPr>
        <u/>
        <sz val="11"/>
        <color theme="1"/>
        <rFont val="Calibri"/>
        <family val="2"/>
        <scheme val="minor"/>
      </rPr>
      <t>DTVCC</t>
    </r>
    <r>
      <rPr>
        <sz val="11"/>
        <color theme="1"/>
        <rFont val="Calibri"/>
        <family val="2"/>
        <scheme val="minor"/>
      </rPr>
      <t xml:space="preserve"> </t>
    </r>
    <r>
      <rPr>
        <strike/>
        <sz val="11"/>
        <color theme="1"/>
        <rFont val="Calibri"/>
        <family val="2"/>
        <scheme val="minor"/>
      </rPr>
      <t>carried</t>
    </r>
    <r>
      <rPr>
        <u/>
        <sz val="11"/>
        <color theme="1"/>
        <rFont val="Calibri"/>
        <family val="2"/>
        <scheme val="minor"/>
      </rPr>
      <t>closed</t>
    </r>
    <r>
      <rPr>
        <sz val="11"/>
        <color theme="1"/>
        <rFont val="Calibri"/>
        <family val="2"/>
        <scheme val="minor"/>
      </rPr>
      <t xml:space="preserve"> </t>
    </r>
    <r>
      <rPr>
        <strike/>
        <sz val="11"/>
        <color theme="1"/>
        <rFont val="Calibri"/>
        <family val="2"/>
        <scheme val="minor"/>
      </rPr>
      <t>in</t>
    </r>
    <r>
      <rPr>
        <u/>
        <sz val="11"/>
        <color theme="1"/>
        <rFont val="Calibri"/>
        <family val="2"/>
        <scheme val="minor"/>
      </rPr>
      <t>caption</t>
    </r>
    <r>
      <rPr>
        <sz val="11"/>
        <color theme="1"/>
        <rFont val="Calibri"/>
        <family val="2"/>
        <scheme val="minor"/>
      </rPr>
      <t xml:space="preserve"> </t>
    </r>
    <r>
      <rPr>
        <strike/>
        <sz val="11"/>
        <color theme="1"/>
        <rFont val="Calibri"/>
        <family val="2"/>
        <scheme val="minor"/>
      </rPr>
      <t>SCTE-21</t>
    </r>
    <r>
      <rPr>
        <u/>
        <sz val="11"/>
        <color theme="1"/>
        <rFont val="Calibri"/>
        <family val="2"/>
        <scheme val="minor"/>
      </rPr>
      <t>data</t>
    </r>
    <r>
      <rPr>
        <sz val="11"/>
        <color theme="1"/>
        <rFont val="Calibri"/>
        <family val="2"/>
        <scheme val="minor"/>
      </rPr>
      <t xml:space="preserve"> </t>
    </r>
    <r>
      <rPr>
        <strike/>
        <sz val="11"/>
        <color theme="1"/>
        <rFont val="Calibri"/>
        <family val="2"/>
        <scheme val="minor"/>
      </rPr>
      <t>syntax</t>
    </r>
    <r>
      <rPr>
        <u/>
        <sz val="11"/>
        <color theme="1"/>
        <rFont val="Calibri"/>
        <family val="2"/>
        <scheme val="minor"/>
      </rPr>
      <t>is</t>
    </r>
    <r>
      <rPr>
        <sz val="11"/>
        <color theme="1"/>
        <rFont val="Calibri"/>
        <family val="2"/>
        <scheme val="minor"/>
      </rPr>
      <t xml:space="preserve"> </t>
    </r>
    <r>
      <rPr>
        <strike/>
        <sz val="11"/>
        <color theme="1"/>
        <rFont val="Calibri"/>
        <family val="2"/>
        <scheme val="minor"/>
      </rPr>
      <t>only</t>
    </r>
    <r>
      <rPr>
        <u/>
        <sz val="11"/>
        <color theme="1"/>
        <rFont val="Calibri"/>
        <family val="2"/>
        <scheme val="minor"/>
      </rPr>
      <t>NOT</t>
    </r>
    <r>
      <rPr>
        <sz val="11"/>
        <color theme="1"/>
        <rFont val="Calibri"/>
        <family val="2"/>
        <scheme val="minor"/>
      </rPr>
      <t xml:space="preserve"> </t>
    </r>
    <r>
      <rPr>
        <strike/>
        <sz val="11"/>
        <color theme="1"/>
        <rFont val="Calibri"/>
        <family val="2"/>
        <scheme val="minor"/>
      </rPr>
      <t>(not</t>
    </r>
    <r>
      <rPr>
        <u/>
        <sz val="11"/>
        <color theme="1"/>
        <rFont val="Calibri"/>
        <family val="2"/>
        <scheme val="minor"/>
      </rPr>
      <t>present</t>
    </r>
    <r>
      <rPr>
        <sz val="11"/>
        <color theme="1"/>
        <rFont val="Calibri"/>
        <family val="2"/>
        <scheme val="minor"/>
      </rPr>
      <t xml:space="preserve"> in the </t>
    </r>
    <r>
      <rPr>
        <strike/>
        <sz val="11"/>
        <color theme="1"/>
        <rFont val="Calibri"/>
        <family val="2"/>
        <scheme val="minor"/>
      </rPr>
      <t>SCTE</t>
    </r>
    <r>
      <rPr>
        <u/>
        <sz val="11"/>
        <color theme="1"/>
        <rFont val="Calibri"/>
        <family val="2"/>
        <scheme val="minor"/>
      </rPr>
      <t>EIA</t>
    </r>
    <r>
      <rPr>
        <sz val="11"/>
        <color theme="1"/>
        <rFont val="Calibri"/>
        <family val="2"/>
        <scheme val="minor"/>
      </rPr>
      <t>-</t>
    </r>
    <r>
      <rPr>
        <strike/>
        <sz val="11"/>
        <color theme="1"/>
        <rFont val="Calibri"/>
        <family val="2"/>
        <scheme val="minor"/>
      </rPr>
      <t>20</t>
    </r>
    <r>
      <rPr>
        <u/>
        <sz val="11"/>
        <color theme="1"/>
        <rFont val="Calibri"/>
        <family val="2"/>
        <scheme val="minor"/>
      </rPr>
      <t>708</t>
    </r>
    <r>
      <rPr>
        <sz val="11"/>
        <color theme="1"/>
        <rFont val="Calibri"/>
        <family val="2"/>
        <scheme val="minor"/>
      </rPr>
      <t xml:space="preserve"> </t>
    </r>
    <r>
      <rPr>
        <strike/>
        <sz val="11"/>
        <color theme="1"/>
        <rFont val="Calibri"/>
        <family val="2"/>
        <scheme val="minor"/>
      </rPr>
      <t>syntax)</t>
    </r>
    <r>
      <rPr>
        <u/>
        <sz val="11"/>
        <color theme="1"/>
        <rFont val="Calibri"/>
        <family val="2"/>
        <scheme val="minor"/>
      </rPr>
      <t>DTVCC transport, AND</t>
    </r>
    <r>
      <rPr>
        <sz val="11"/>
        <color theme="1"/>
        <rFont val="Calibri"/>
        <family val="2"/>
        <scheme val="minor"/>
      </rPr>
      <t xml:space="preserve">
</t>
    </r>
    <r>
      <rPr>
        <u/>
        <sz val="11"/>
        <color theme="1"/>
        <rFont val="Calibri"/>
        <family val="2"/>
        <scheme val="minor"/>
      </rPr>
      <t xml:space="preserve">  closed captioning is enabled</t>
    </r>
    <r>
      <rPr>
        <sz val="11"/>
        <color theme="1"/>
        <rFont val="Calibri"/>
        <family val="2"/>
        <scheme val="minor"/>
      </rPr>
      <t>.</t>
    </r>
  </si>
  <si>
    <t>The product SHALL render DTVCC transported CEA-608 closed captions on the NTSC output, IF 
  CEA-608 closed caption data IS present in the EIA-708 DTVCC transport, AND
  DTVCC closed caption data is NOT present in the EIA-708 DTVCC transport, AND
  closed captioning is enabled.</t>
  </si>
  <si>
    <r>
      <t>The product SHALL</t>
    </r>
    <r>
      <rPr>
        <strike/>
        <sz val="11"/>
        <color theme="1"/>
        <rFont val="Calibri"/>
        <family val="2"/>
        <scheme val="minor"/>
      </rPr>
      <t>, when closed captioning</t>
    </r>
    <r>
      <rPr>
        <sz val="11"/>
        <color theme="1"/>
        <rFont val="Calibri"/>
        <family val="2"/>
        <scheme val="minor"/>
      </rPr>
      <t xml:space="preserve"> </t>
    </r>
    <r>
      <rPr>
        <strike/>
        <sz val="11"/>
        <color theme="1"/>
        <rFont val="Calibri"/>
        <family val="2"/>
        <scheme val="minor"/>
      </rPr>
      <t>is</t>
    </r>
    <r>
      <rPr>
        <u/>
        <sz val="11"/>
        <color theme="1"/>
        <rFont val="Calibri"/>
        <family val="2"/>
        <scheme val="minor"/>
      </rPr>
      <t>render</t>
    </r>
    <r>
      <rPr>
        <sz val="11"/>
        <color theme="1"/>
        <rFont val="Calibri"/>
        <family val="2"/>
        <scheme val="minor"/>
      </rPr>
      <t xml:space="preserve"> </t>
    </r>
    <r>
      <rPr>
        <strike/>
        <sz val="11"/>
        <color theme="1"/>
        <rFont val="Calibri"/>
        <family val="2"/>
        <scheme val="minor"/>
      </rPr>
      <t>enabled,</t>
    </r>
    <r>
      <rPr>
        <u/>
        <sz val="11"/>
        <color theme="1"/>
        <rFont val="Calibri"/>
        <family val="2"/>
        <scheme val="minor"/>
      </rPr>
      <t>DTVCC</t>
    </r>
    <r>
      <rPr>
        <sz val="11"/>
        <color theme="1"/>
        <rFont val="Calibri"/>
        <family val="2"/>
        <scheme val="minor"/>
      </rPr>
      <t xml:space="preserve"> </t>
    </r>
    <r>
      <rPr>
        <strike/>
        <sz val="11"/>
        <color theme="1"/>
        <rFont val="Calibri"/>
        <family val="2"/>
        <scheme val="minor"/>
      </rPr>
      <t>render</t>
    </r>
    <r>
      <rPr>
        <u/>
        <sz val="11"/>
        <color theme="1"/>
        <rFont val="Calibri"/>
        <family val="2"/>
        <scheme val="minor"/>
      </rPr>
      <t>transported</t>
    </r>
    <r>
      <rPr>
        <sz val="11"/>
        <color theme="1"/>
        <rFont val="Calibri"/>
        <family val="2"/>
        <scheme val="minor"/>
      </rPr>
      <t xml:space="preserve"> CEA-608 closed captions on </t>
    </r>
    <r>
      <rPr>
        <strike/>
        <sz val="11"/>
        <color theme="1"/>
        <rFont val="Calibri"/>
        <family val="2"/>
        <scheme val="minor"/>
      </rPr>
      <t>its</t>
    </r>
    <r>
      <rPr>
        <u/>
        <sz val="11"/>
        <color theme="1"/>
        <rFont val="Calibri"/>
        <family val="2"/>
        <scheme val="minor"/>
      </rPr>
      <t>the</t>
    </r>
    <r>
      <rPr>
        <sz val="11"/>
        <color theme="1"/>
        <rFont val="Calibri"/>
        <family val="2"/>
        <scheme val="minor"/>
      </rPr>
      <t xml:space="preserve"> NTSC output</t>
    </r>
    <r>
      <rPr>
        <u/>
        <sz val="11"/>
        <color theme="1"/>
        <rFont val="Calibri"/>
        <family val="2"/>
        <scheme val="minor"/>
      </rPr>
      <t>,</t>
    </r>
    <r>
      <rPr>
        <sz val="11"/>
        <color theme="1"/>
        <rFont val="Calibri"/>
        <family val="2"/>
        <scheme val="minor"/>
      </rPr>
      <t xml:space="preserve"> </t>
    </r>
    <r>
      <rPr>
        <strike/>
        <sz val="11"/>
        <color theme="1"/>
        <rFont val="Calibri"/>
        <family val="2"/>
        <scheme val="minor"/>
      </rPr>
      <t>if</t>
    </r>
    <r>
      <rPr>
        <u/>
        <sz val="11"/>
        <color theme="1"/>
        <rFont val="Calibri"/>
        <family val="2"/>
        <scheme val="minor"/>
      </rPr>
      <t>IF</t>
    </r>
    <r>
      <rPr>
        <sz val="11"/>
        <color theme="1"/>
        <rFont val="Calibri"/>
        <family val="2"/>
        <scheme val="minor"/>
      </rPr>
      <t xml:space="preserve"> </t>
    </r>
    <r>
      <rPr>
        <strike/>
        <sz val="11"/>
        <color theme="1"/>
        <rFont val="Calibri"/>
        <family val="2"/>
        <scheme val="minor"/>
      </rPr>
      <t>only</t>
    </r>
    <r>
      <rPr>
        <sz val="11"/>
        <color theme="1"/>
        <rFont val="Calibri"/>
        <family val="2"/>
        <scheme val="minor"/>
      </rPr>
      <t xml:space="preserve">
</t>
    </r>
    <r>
      <rPr>
        <u/>
        <sz val="11"/>
        <color theme="1"/>
        <rFont val="Calibri"/>
        <family val="2"/>
        <scheme val="minor"/>
      </rPr>
      <t xml:space="preserve"> </t>
    </r>
    <r>
      <rPr>
        <sz val="11"/>
        <color theme="1"/>
        <rFont val="Calibri"/>
        <family val="2"/>
        <scheme val="minor"/>
      </rPr>
      <t xml:space="preserve"> CEA-608</t>
    </r>
    <r>
      <rPr>
        <u/>
        <sz val="11"/>
        <color theme="1"/>
        <rFont val="Calibri"/>
        <family val="2"/>
        <scheme val="minor"/>
      </rPr>
      <t xml:space="preserve"> closed</t>
    </r>
    <r>
      <rPr>
        <sz val="11"/>
        <color theme="1"/>
        <rFont val="Calibri"/>
        <family val="2"/>
        <scheme val="minor"/>
      </rPr>
      <t xml:space="preserve"> caption data </t>
    </r>
    <r>
      <rPr>
        <strike/>
        <sz val="11"/>
        <color theme="1"/>
        <rFont val="Calibri"/>
        <family val="2"/>
        <scheme val="minor"/>
      </rPr>
      <t>is</t>
    </r>
    <r>
      <rPr>
        <u/>
        <sz val="11"/>
        <color theme="1"/>
        <rFont val="Calibri"/>
        <family val="2"/>
        <scheme val="minor"/>
      </rPr>
      <t>IS</t>
    </r>
    <r>
      <rPr>
        <sz val="11"/>
        <color theme="1"/>
        <rFont val="Calibri"/>
        <family val="2"/>
        <scheme val="minor"/>
      </rPr>
      <t xml:space="preserve"> present </t>
    </r>
    <r>
      <rPr>
        <strike/>
        <sz val="11"/>
        <color theme="1"/>
        <rFont val="Calibri"/>
        <family val="2"/>
        <scheme val="minor"/>
      </rPr>
      <t>(CEA</t>
    </r>
    <r>
      <rPr>
        <u/>
        <sz val="11"/>
        <color theme="1"/>
        <rFont val="Calibri"/>
        <family val="2"/>
        <scheme val="minor"/>
      </rPr>
      <t>in the EIA</t>
    </r>
    <r>
      <rPr>
        <sz val="11"/>
        <color theme="1"/>
        <rFont val="Calibri"/>
        <family val="2"/>
        <scheme val="minor"/>
      </rPr>
      <t xml:space="preserve">-708 </t>
    </r>
    <r>
      <rPr>
        <strike/>
        <sz val="11"/>
        <color theme="1"/>
        <rFont val="Calibri"/>
        <family val="2"/>
        <scheme val="minor"/>
      </rPr>
      <t>data</t>
    </r>
    <r>
      <rPr>
        <u/>
        <sz val="11"/>
        <color theme="1"/>
        <rFont val="Calibri"/>
        <family val="2"/>
        <scheme val="minor"/>
      </rPr>
      <t>DTVCC</t>
    </r>
    <r>
      <rPr>
        <sz val="11"/>
        <color theme="1"/>
        <rFont val="Calibri"/>
        <family val="2"/>
        <scheme val="minor"/>
      </rPr>
      <t xml:space="preserve"> </t>
    </r>
    <r>
      <rPr>
        <strike/>
        <sz val="11"/>
        <color theme="1"/>
        <rFont val="Calibri"/>
        <family val="2"/>
        <scheme val="minor"/>
      </rPr>
      <t>is</t>
    </r>
    <r>
      <rPr>
        <u/>
        <sz val="11"/>
        <color theme="1"/>
        <rFont val="Calibri"/>
        <family val="2"/>
        <scheme val="minor"/>
      </rPr>
      <t>transport,</t>
    </r>
    <r>
      <rPr>
        <sz val="11"/>
        <color theme="1"/>
        <rFont val="Calibri"/>
        <family val="2"/>
        <scheme val="minor"/>
      </rPr>
      <t xml:space="preserve"> </t>
    </r>
    <r>
      <rPr>
        <strike/>
        <sz val="11"/>
        <color theme="1"/>
        <rFont val="Calibri"/>
        <family val="2"/>
        <scheme val="minor"/>
      </rPr>
      <t>not</t>
    </r>
    <r>
      <rPr>
        <u/>
        <sz val="11"/>
        <color theme="1"/>
        <rFont val="Calibri"/>
        <family val="2"/>
        <scheme val="minor"/>
      </rPr>
      <t>AND</t>
    </r>
    <r>
      <rPr>
        <sz val="11"/>
        <color theme="1"/>
        <rFont val="Calibri"/>
        <family val="2"/>
        <scheme val="minor"/>
      </rPr>
      <t xml:space="preserve">
 </t>
    </r>
    <r>
      <rPr>
        <strike/>
        <sz val="11"/>
        <color theme="1"/>
        <rFont val="Calibri"/>
        <family val="2"/>
        <scheme val="minor"/>
      </rPr>
      <t>present)</t>
    </r>
    <r>
      <rPr>
        <sz val="11"/>
        <color theme="1"/>
        <rFont val="Calibri"/>
        <family val="2"/>
        <scheme val="minor"/>
      </rPr>
      <t xml:space="preserve"> </t>
    </r>
    <r>
      <rPr>
        <strike/>
        <sz val="11"/>
        <color theme="1"/>
        <rFont val="Calibri"/>
        <family val="2"/>
        <scheme val="minor"/>
      </rPr>
      <t>and</t>
    </r>
    <r>
      <rPr>
        <u/>
        <sz val="11"/>
        <color theme="1"/>
        <rFont val="Calibri"/>
        <family val="2"/>
        <scheme val="minor"/>
      </rPr>
      <t>DTVCC</t>
    </r>
    <r>
      <rPr>
        <sz val="11"/>
        <color theme="1"/>
        <rFont val="Calibri"/>
        <family val="2"/>
        <scheme val="minor"/>
      </rPr>
      <t xml:space="preserve"> </t>
    </r>
    <r>
      <rPr>
        <strike/>
        <sz val="11"/>
        <color theme="1"/>
        <rFont val="Calibri"/>
        <family val="2"/>
        <scheme val="minor"/>
      </rPr>
      <t>carried</t>
    </r>
    <r>
      <rPr>
        <u/>
        <sz val="11"/>
        <color theme="1"/>
        <rFont val="Calibri"/>
        <family val="2"/>
        <scheme val="minor"/>
      </rPr>
      <t>closed</t>
    </r>
    <r>
      <rPr>
        <sz val="11"/>
        <color theme="1"/>
        <rFont val="Calibri"/>
        <family val="2"/>
        <scheme val="minor"/>
      </rPr>
      <t xml:space="preserve"> </t>
    </r>
    <r>
      <rPr>
        <strike/>
        <sz val="11"/>
        <color theme="1"/>
        <rFont val="Calibri"/>
        <family val="2"/>
        <scheme val="minor"/>
      </rPr>
      <t>in</t>
    </r>
    <r>
      <rPr>
        <u/>
        <sz val="11"/>
        <color theme="1"/>
        <rFont val="Calibri"/>
        <family val="2"/>
        <scheme val="minor"/>
      </rPr>
      <t>caption</t>
    </r>
    <r>
      <rPr>
        <sz val="11"/>
        <color theme="1"/>
        <rFont val="Calibri"/>
        <family val="2"/>
        <scheme val="minor"/>
      </rPr>
      <t xml:space="preserve"> </t>
    </r>
    <r>
      <rPr>
        <strike/>
        <sz val="11"/>
        <color theme="1"/>
        <rFont val="Calibri"/>
        <family val="2"/>
        <scheme val="minor"/>
      </rPr>
      <t>SCTE-21</t>
    </r>
    <r>
      <rPr>
        <u/>
        <sz val="11"/>
        <color theme="1"/>
        <rFont val="Calibri"/>
        <family val="2"/>
        <scheme val="minor"/>
      </rPr>
      <t>data</t>
    </r>
    <r>
      <rPr>
        <sz val="11"/>
        <color theme="1"/>
        <rFont val="Calibri"/>
        <family val="2"/>
        <scheme val="minor"/>
      </rPr>
      <t xml:space="preserve"> </t>
    </r>
    <r>
      <rPr>
        <strike/>
        <sz val="11"/>
        <color theme="1"/>
        <rFont val="Calibri"/>
        <family val="2"/>
        <scheme val="minor"/>
      </rPr>
      <t>syntax</t>
    </r>
    <r>
      <rPr>
        <u/>
        <sz val="11"/>
        <color theme="1"/>
        <rFont val="Calibri"/>
        <family val="2"/>
        <scheme val="minor"/>
      </rPr>
      <t>is</t>
    </r>
    <r>
      <rPr>
        <sz val="11"/>
        <color theme="1"/>
        <rFont val="Calibri"/>
        <family val="2"/>
        <scheme val="minor"/>
      </rPr>
      <t xml:space="preserve"> </t>
    </r>
    <r>
      <rPr>
        <strike/>
        <sz val="11"/>
        <color theme="1"/>
        <rFont val="Calibri"/>
        <family val="2"/>
        <scheme val="minor"/>
      </rPr>
      <t>only</t>
    </r>
    <r>
      <rPr>
        <u/>
        <sz val="11"/>
        <color theme="1"/>
        <rFont val="Calibri"/>
        <family val="2"/>
        <scheme val="minor"/>
      </rPr>
      <t>NOT</t>
    </r>
    <r>
      <rPr>
        <sz val="11"/>
        <color theme="1"/>
        <rFont val="Calibri"/>
        <family val="2"/>
        <scheme val="minor"/>
      </rPr>
      <t xml:space="preserve"> </t>
    </r>
    <r>
      <rPr>
        <strike/>
        <sz val="11"/>
        <color theme="1"/>
        <rFont val="Calibri"/>
        <family val="2"/>
        <scheme val="minor"/>
      </rPr>
      <t>(not</t>
    </r>
    <r>
      <rPr>
        <u/>
        <sz val="11"/>
        <color theme="1"/>
        <rFont val="Calibri"/>
        <family val="2"/>
        <scheme val="minor"/>
      </rPr>
      <t>present</t>
    </r>
    <r>
      <rPr>
        <sz val="11"/>
        <color theme="1"/>
        <rFont val="Calibri"/>
        <family val="2"/>
        <scheme val="minor"/>
      </rPr>
      <t xml:space="preserve"> in the </t>
    </r>
    <r>
      <rPr>
        <strike/>
        <sz val="11"/>
        <color theme="1"/>
        <rFont val="Calibri"/>
        <family val="2"/>
        <scheme val="minor"/>
      </rPr>
      <t>SCTE</t>
    </r>
    <r>
      <rPr>
        <u/>
        <sz val="11"/>
        <color theme="1"/>
        <rFont val="Calibri"/>
        <family val="2"/>
        <scheme val="minor"/>
      </rPr>
      <t>EIA</t>
    </r>
    <r>
      <rPr>
        <sz val="11"/>
        <color theme="1"/>
        <rFont val="Calibri"/>
        <family val="2"/>
        <scheme val="minor"/>
      </rPr>
      <t>-</t>
    </r>
    <r>
      <rPr>
        <strike/>
        <sz val="11"/>
        <color theme="1"/>
        <rFont val="Calibri"/>
        <family val="2"/>
        <scheme val="minor"/>
      </rPr>
      <t>20</t>
    </r>
    <r>
      <rPr>
        <u/>
        <sz val="11"/>
        <color theme="1"/>
        <rFont val="Calibri"/>
        <family val="2"/>
        <scheme val="minor"/>
      </rPr>
      <t>708</t>
    </r>
    <r>
      <rPr>
        <sz val="11"/>
        <color theme="1"/>
        <rFont val="Calibri"/>
        <family val="2"/>
        <scheme val="minor"/>
      </rPr>
      <t xml:space="preserve"> </t>
    </r>
    <r>
      <rPr>
        <strike/>
        <sz val="11"/>
        <color theme="1"/>
        <rFont val="Calibri"/>
        <family val="2"/>
        <scheme val="minor"/>
      </rPr>
      <t>syntax)</t>
    </r>
    <r>
      <rPr>
        <u/>
        <sz val="11"/>
        <color theme="1"/>
        <rFont val="Calibri"/>
        <family val="2"/>
        <scheme val="minor"/>
      </rPr>
      <t>DTVCC transport, AND</t>
    </r>
    <r>
      <rPr>
        <sz val="11"/>
        <color theme="1"/>
        <rFont val="Calibri"/>
        <family val="2"/>
        <scheme val="minor"/>
      </rPr>
      <t xml:space="preserve">
</t>
    </r>
    <r>
      <rPr>
        <u/>
        <sz val="11"/>
        <color theme="1"/>
        <rFont val="Calibri"/>
        <family val="2"/>
        <scheme val="minor"/>
      </rPr>
      <t xml:space="preserve">  closed captioning is enabled</t>
    </r>
    <r>
      <rPr>
        <sz val="11"/>
        <color theme="1"/>
        <rFont val="Calibri"/>
        <family val="2"/>
        <scheme val="minor"/>
      </rPr>
      <t>.</t>
    </r>
  </si>
  <si>
    <t>The product SHALL reconstruct VBI Field 1 and Field 2 CEA-608 closed captions on the NTSC output, IF 
  CEA-608 closed caption data IS present in the EIA-708 DTVCC transport, AND
  DTVCC closed caption data is NOT present in the EIA-708 DTVCC transport.</t>
  </si>
  <si>
    <r>
      <t xml:space="preserve">The product SHALL reconstruct </t>
    </r>
    <r>
      <rPr>
        <strike/>
        <sz val="11"/>
        <color theme="1"/>
        <rFont val="Calibri"/>
        <family val="2"/>
        <scheme val="minor"/>
      </rPr>
      <t>Line 21,</t>
    </r>
    <r>
      <rPr>
        <u/>
        <sz val="11"/>
        <color theme="1"/>
        <rFont val="Calibri"/>
        <family val="2"/>
        <scheme val="minor"/>
      </rPr>
      <t>VBI</t>
    </r>
    <r>
      <rPr>
        <sz val="11"/>
        <color theme="1"/>
        <rFont val="Calibri"/>
        <family val="2"/>
        <scheme val="minor"/>
      </rPr>
      <t xml:space="preserve"> Field 1 and Field 2</t>
    </r>
    <r>
      <rPr>
        <strike/>
        <sz val="11"/>
        <color theme="1"/>
        <rFont val="Calibri"/>
        <family val="2"/>
        <scheme val="minor"/>
      </rPr>
      <t>,</t>
    </r>
    <r>
      <rPr>
        <sz val="11"/>
        <color theme="1"/>
        <rFont val="Calibri"/>
        <family val="2"/>
        <scheme val="minor"/>
      </rPr>
      <t xml:space="preserve"> </t>
    </r>
    <r>
      <rPr>
        <strike/>
        <sz val="11"/>
        <color theme="1"/>
        <rFont val="Calibri"/>
        <family val="2"/>
        <scheme val="minor"/>
      </rPr>
      <t>of</t>
    </r>
    <r>
      <rPr>
        <u/>
        <sz val="11"/>
        <color theme="1"/>
        <rFont val="Calibri"/>
        <family val="2"/>
        <scheme val="minor"/>
      </rPr>
      <t>CEA-608</t>
    </r>
    <r>
      <rPr>
        <sz val="11"/>
        <color theme="1"/>
        <rFont val="Calibri"/>
        <family val="2"/>
        <scheme val="minor"/>
      </rPr>
      <t xml:space="preserve"> </t>
    </r>
    <r>
      <rPr>
        <strike/>
        <sz val="11"/>
        <color theme="1"/>
        <rFont val="Calibri"/>
        <family val="2"/>
        <scheme val="minor"/>
      </rPr>
      <t>the</t>
    </r>
    <r>
      <rPr>
        <u/>
        <sz val="11"/>
        <color theme="1"/>
        <rFont val="Calibri"/>
        <family val="2"/>
        <scheme val="minor"/>
      </rPr>
      <t>closed</t>
    </r>
    <r>
      <rPr>
        <sz val="11"/>
        <color theme="1"/>
        <rFont val="Calibri"/>
        <family val="2"/>
        <scheme val="minor"/>
      </rPr>
      <t xml:space="preserve"> </t>
    </r>
    <r>
      <rPr>
        <strike/>
        <sz val="11"/>
        <color theme="1"/>
        <rFont val="Calibri"/>
        <family val="2"/>
        <scheme val="minor"/>
      </rPr>
      <t>VBI</t>
    </r>
    <r>
      <rPr>
        <u/>
        <sz val="11"/>
        <color theme="1"/>
        <rFont val="Calibri"/>
        <family val="2"/>
        <scheme val="minor"/>
      </rPr>
      <t>captions</t>
    </r>
    <r>
      <rPr>
        <sz val="11"/>
        <color theme="1"/>
        <rFont val="Calibri"/>
        <family val="2"/>
        <scheme val="minor"/>
      </rPr>
      <t xml:space="preserve"> on </t>
    </r>
    <r>
      <rPr>
        <strike/>
        <sz val="11"/>
        <color theme="1"/>
        <rFont val="Calibri"/>
        <family val="2"/>
        <scheme val="minor"/>
      </rPr>
      <t>its</t>
    </r>
    <r>
      <rPr>
        <u/>
        <sz val="11"/>
        <color theme="1"/>
        <rFont val="Calibri"/>
        <family val="2"/>
        <scheme val="minor"/>
      </rPr>
      <t>the</t>
    </r>
    <r>
      <rPr>
        <sz val="11"/>
        <color theme="1"/>
        <rFont val="Calibri"/>
        <family val="2"/>
        <scheme val="minor"/>
      </rPr>
      <t xml:space="preserve"> NTSC</t>
    </r>
    <r>
      <rPr>
        <strike/>
        <sz val="11"/>
        <color theme="1"/>
        <rFont val="Calibri"/>
        <family val="2"/>
        <scheme val="minor"/>
      </rPr>
      <t xml:space="preserve"> Outputs if it is tuned to</t>
    </r>
    <r>
      <rPr>
        <sz val="11"/>
        <color theme="1"/>
        <rFont val="Calibri"/>
        <family val="2"/>
        <scheme val="minor"/>
      </rPr>
      <t xml:space="preserve"> </t>
    </r>
    <r>
      <rPr>
        <strike/>
        <sz val="11"/>
        <color theme="1"/>
        <rFont val="Calibri"/>
        <family val="2"/>
        <scheme val="minor"/>
      </rPr>
      <t>a</t>
    </r>
    <r>
      <rPr>
        <u/>
        <sz val="11"/>
        <color theme="1"/>
        <rFont val="Calibri"/>
        <family val="2"/>
        <scheme val="minor"/>
      </rPr>
      <t>output,</t>
    </r>
    <r>
      <rPr>
        <sz val="11"/>
        <color theme="1"/>
        <rFont val="Calibri"/>
        <family val="2"/>
        <scheme val="minor"/>
      </rPr>
      <t xml:space="preserve"> </t>
    </r>
    <r>
      <rPr>
        <strike/>
        <sz val="11"/>
        <color theme="1"/>
        <rFont val="Calibri"/>
        <family val="2"/>
        <scheme val="minor"/>
      </rPr>
      <t>Digital</t>
    </r>
    <r>
      <rPr>
        <u/>
        <sz val="11"/>
        <color theme="1"/>
        <rFont val="Calibri"/>
        <family val="2"/>
        <scheme val="minor"/>
      </rPr>
      <t>IF</t>
    </r>
    <r>
      <rPr>
        <sz val="11"/>
        <color theme="1"/>
        <rFont val="Calibri"/>
        <family val="2"/>
        <scheme val="minor"/>
      </rPr>
      <t xml:space="preserve"> </t>
    </r>
    <r>
      <rPr>
        <strike/>
        <sz val="11"/>
        <color theme="1"/>
        <rFont val="Calibri"/>
        <family val="2"/>
        <scheme val="minor"/>
      </rPr>
      <t>service</t>
    </r>
    <r>
      <rPr>
        <sz val="11"/>
        <color theme="1"/>
        <rFont val="Calibri"/>
        <family val="2"/>
        <scheme val="minor"/>
      </rPr>
      <t xml:space="preserve">
 </t>
    </r>
    <r>
      <rPr>
        <strike/>
        <sz val="11"/>
        <color theme="1"/>
        <rFont val="Calibri"/>
        <family val="2"/>
        <scheme val="minor"/>
      </rPr>
      <t>where</t>
    </r>
    <r>
      <rPr>
        <sz val="11"/>
        <color theme="1"/>
        <rFont val="Calibri"/>
        <family val="2"/>
        <scheme val="minor"/>
      </rPr>
      <t xml:space="preserve"> CEA-608</t>
    </r>
    <r>
      <rPr>
        <u/>
        <sz val="11"/>
        <color theme="1"/>
        <rFont val="Calibri"/>
        <family val="2"/>
        <scheme val="minor"/>
      </rPr>
      <t xml:space="preserve"> closed</t>
    </r>
    <r>
      <rPr>
        <sz val="11"/>
        <color theme="1"/>
        <rFont val="Calibri"/>
        <family val="2"/>
        <scheme val="minor"/>
      </rPr>
      <t xml:space="preserve"> caption data </t>
    </r>
    <r>
      <rPr>
        <strike/>
        <sz val="11"/>
        <color theme="1"/>
        <rFont val="Calibri"/>
        <family val="2"/>
        <scheme val="minor"/>
      </rPr>
      <t>is</t>
    </r>
    <r>
      <rPr>
        <u/>
        <sz val="11"/>
        <color theme="1"/>
        <rFont val="Calibri"/>
        <family val="2"/>
        <scheme val="minor"/>
      </rPr>
      <t>IS</t>
    </r>
    <r>
      <rPr>
        <sz val="11"/>
        <color theme="1"/>
        <rFont val="Calibri"/>
        <family val="2"/>
        <scheme val="minor"/>
      </rPr>
      <t xml:space="preserve"> present in the </t>
    </r>
    <r>
      <rPr>
        <strike/>
        <sz val="11"/>
        <color theme="1"/>
        <rFont val="Calibri"/>
        <family val="2"/>
        <scheme val="minor"/>
      </rPr>
      <t>MPEG</t>
    </r>
    <r>
      <rPr>
        <u/>
        <sz val="11"/>
        <color theme="1"/>
        <rFont val="Calibri"/>
        <family val="2"/>
        <scheme val="minor"/>
      </rPr>
      <t>EIA</t>
    </r>
    <r>
      <rPr>
        <sz val="11"/>
        <color theme="1"/>
        <rFont val="Calibri"/>
        <family val="2"/>
        <scheme val="minor"/>
      </rPr>
      <t>-</t>
    </r>
    <r>
      <rPr>
        <strike/>
        <sz val="11"/>
        <color theme="1"/>
        <rFont val="Calibri"/>
        <family val="2"/>
        <scheme val="minor"/>
      </rPr>
      <t>2</t>
    </r>
    <r>
      <rPr>
        <u/>
        <sz val="11"/>
        <color theme="1"/>
        <rFont val="Calibri"/>
        <family val="2"/>
        <scheme val="minor"/>
      </rPr>
      <t>708</t>
    </r>
    <r>
      <rPr>
        <sz val="11"/>
        <color theme="1"/>
        <rFont val="Calibri"/>
        <family val="2"/>
        <scheme val="minor"/>
      </rPr>
      <t xml:space="preserve"> </t>
    </r>
    <r>
      <rPr>
        <strike/>
        <sz val="11"/>
        <color theme="1"/>
        <rFont val="Calibri"/>
        <family val="2"/>
        <scheme val="minor"/>
      </rPr>
      <t>Picture</t>
    </r>
    <r>
      <rPr>
        <u/>
        <sz val="11"/>
        <color theme="1"/>
        <rFont val="Calibri"/>
        <family val="2"/>
        <scheme val="minor"/>
      </rPr>
      <t>DTVCC</t>
    </r>
    <r>
      <rPr>
        <sz val="11"/>
        <color theme="1"/>
        <rFont val="Calibri"/>
        <family val="2"/>
        <scheme val="minor"/>
      </rPr>
      <t xml:space="preserve"> </t>
    </r>
    <r>
      <rPr>
        <strike/>
        <sz val="11"/>
        <color theme="1"/>
        <rFont val="Calibri"/>
        <family val="2"/>
        <scheme val="minor"/>
      </rPr>
      <t>User</t>
    </r>
    <r>
      <rPr>
        <u/>
        <sz val="11"/>
        <color theme="1"/>
        <rFont val="Calibri"/>
        <family val="2"/>
        <scheme val="minor"/>
      </rPr>
      <t>transport,</t>
    </r>
    <r>
      <rPr>
        <sz val="11"/>
        <color theme="1"/>
        <rFont val="Calibri"/>
        <family val="2"/>
        <scheme val="minor"/>
      </rPr>
      <t xml:space="preserve"> </t>
    </r>
    <r>
      <rPr>
        <strike/>
        <sz val="11"/>
        <color theme="1"/>
        <rFont val="Calibri"/>
        <family val="2"/>
        <scheme val="minor"/>
      </rPr>
      <t>Data</t>
    </r>
    <r>
      <rPr>
        <u/>
        <sz val="11"/>
        <color theme="1"/>
        <rFont val="Calibri"/>
        <family val="2"/>
        <scheme val="minor"/>
      </rPr>
      <t>AND</t>
    </r>
    <r>
      <rPr>
        <sz val="11"/>
        <color theme="1"/>
        <rFont val="Calibri"/>
        <family val="2"/>
        <scheme val="minor"/>
      </rPr>
      <t xml:space="preserve">
 </t>
    </r>
    <r>
      <rPr>
        <strike/>
        <sz val="11"/>
        <color theme="1"/>
        <rFont val="Calibri"/>
        <family val="2"/>
        <scheme val="minor"/>
      </rPr>
      <t>of</t>
    </r>
    <r>
      <rPr>
        <sz val="11"/>
        <color theme="1"/>
        <rFont val="Calibri"/>
        <family val="2"/>
        <scheme val="minor"/>
      </rPr>
      <t xml:space="preserve"> </t>
    </r>
    <r>
      <rPr>
        <strike/>
        <sz val="11"/>
        <color theme="1"/>
        <rFont val="Calibri"/>
        <family val="2"/>
        <scheme val="minor"/>
      </rPr>
      <t>the</t>
    </r>
    <r>
      <rPr>
        <u/>
        <sz val="11"/>
        <color theme="1"/>
        <rFont val="Calibri"/>
        <family val="2"/>
        <scheme val="minor"/>
      </rPr>
      <t>DTVCC</t>
    </r>
    <r>
      <rPr>
        <sz val="11"/>
        <color theme="1"/>
        <rFont val="Calibri"/>
        <family val="2"/>
        <scheme val="minor"/>
      </rPr>
      <t xml:space="preserve"> </t>
    </r>
    <r>
      <rPr>
        <strike/>
        <sz val="11"/>
        <color theme="1"/>
        <rFont val="Calibri"/>
        <family val="2"/>
        <scheme val="minor"/>
      </rPr>
      <t>same</t>
    </r>
    <r>
      <rPr>
        <u/>
        <sz val="11"/>
        <color theme="1"/>
        <rFont val="Calibri"/>
        <family val="2"/>
        <scheme val="minor"/>
      </rPr>
      <t>closed</t>
    </r>
    <r>
      <rPr>
        <sz val="11"/>
        <color theme="1"/>
        <rFont val="Calibri"/>
        <family val="2"/>
        <scheme val="minor"/>
      </rPr>
      <t xml:space="preserve"> </t>
    </r>
    <r>
      <rPr>
        <strike/>
        <sz val="11"/>
        <color theme="1"/>
        <rFont val="Calibri"/>
        <family val="2"/>
        <scheme val="minor"/>
      </rPr>
      <t>MPEG</t>
    </r>
    <r>
      <rPr>
        <u/>
        <sz val="11"/>
        <color theme="1"/>
        <rFont val="Calibri"/>
        <family val="2"/>
        <scheme val="minor"/>
      </rPr>
      <t>caption</t>
    </r>
    <r>
      <rPr>
        <sz val="11"/>
        <color theme="1"/>
        <rFont val="Calibri"/>
        <family val="2"/>
        <scheme val="minor"/>
      </rPr>
      <t xml:space="preserve"> </t>
    </r>
    <r>
      <rPr>
        <strike/>
        <sz val="11"/>
        <color theme="1"/>
        <rFont val="Calibri"/>
        <family val="2"/>
        <scheme val="minor"/>
      </rPr>
      <t>video</t>
    </r>
    <r>
      <rPr>
        <u/>
        <sz val="11"/>
        <color theme="1"/>
        <rFont val="Calibri"/>
        <family val="2"/>
        <scheme val="minor"/>
      </rPr>
      <t>data</t>
    </r>
    <r>
      <rPr>
        <sz val="11"/>
        <color theme="1"/>
        <rFont val="Calibri"/>
        <family val="2"/>
        <scheme val="minor"/>
      </rPr>
      <t xml:space="preserve"> </t>
    </r>
    <r>
      <rPr>
        <strike/>
        <sz val="11"/>
        <color theme="1"/>
        <rFont val="Calibri"/>
        <family val="2"/>
        <scheme val="minor"/>
      </rPr>
      <t>frame</t>
    </r>
    <r>
      <rPr>
        <u/>
        <sz val="11"/>
        <color theme="1"/>
        <rFont val="Calibri"/>
        <family val="2"/>
        <scheme val="minor"/>
      </rPr>
      <t>is</t>
    </r>
    <r>
      <rPr>
        <sz val="11"/>
        <color theme="1"/>
        <rFont val="Calibri"/>
        <family val="2"/>
        <scheme val="minor"/>
      </rPr>
      <t xml:space="preserve"> </t>
    </r>
    <r>
      <rPr>
        <strike/>
        <sz val="11"/>
        <color theme="1"/>
        <rFont val="Calibri"/>
        <family val="2"/>
        <scheme val="minor"/>
      </rPr>
      <t>and</t>
    </r>
    <r>
      <rPr>
        <u/>
        <sz val="11"/>
        <color theme="1"/>
        <rFont val="Calibri"/>
        <family val="2"/>
        <scheme val="minor"/>
      </rPr>
      <t>NOT</t>
    </r>
    <r>
      <rPr>
        <sz val="11"/>
        <color theme="1"/>
        <rFont val="Calibri"/>
        <family val="2"/>
        <scheme val="minor"/>
      </rPr>
      <t xml:space="preserve"> </t>
    </r>
    <r>
      <rPr>
        <strike/>
        <sz val="11"/>
        <color theme="1"/>
        <rFont val="Calibri"/>
        <family val="2"/>
        <scheme val="minor"/>
      </rPr>
      <t>carried</t>
    </r>
    <r>
      <rPr>
        <u/>
        <sz val="11"/>
        <color theme="1"/>
        <rFont val="Calibri"/>
        <family val="2"/>
        <scheme val="minor"/>
      </rPr>
      <t>present</t>
    </r>
    <r>
      <rPr>
        <sz val="11"/>
        <color theme="1"/>
        <rFont val="Calibri"/>
        <family val="2"/>
        <scheme val="minor"/>
      </rPr>
      <t xml:space="preserve"> in </t>
    </r>
    <r>
      <rPr>
        <strike/>
        <sz val="11"/>
        <color theme="1"/>
        <rFont val="Calibri"/>
        <family val="2"/>
        <scheme val="minor"/>
      </rPr>
      <t>SCTE</t>
    </r>
    <r>
      <rPr>
        <u/>
        <sz val="11"/>
        <color theme="1"/>
        <rFont val="Calibri"/>
        <family val="2"/>
        <scheme val="minor"/>
      </rPr>
      <t>the EIA</t>
    </r>
    <r>
      <rPr>
        <sz val="11"/>
        <color theme="1"/>
        <rFont val="Calibri"/>
        <family val="2"/>
        <scheme val="minor"/>
      </rPr>
      <t>-</t>
    </r>
    <r>
      <rPr>
        <strike/>
        <sz val="11"/>
        <color theme="1"/>
        <rFont val="Calibri"/>
        <family val="2"/>
        <scheme val="minor"/>
      </rPr>
      <t>21</t>
    </r>
    <r>
      <rPr>
        <u/>
        <sz val="11"/>
        <color theme="1"/>
        <rFont val="Calibri"/>
        <family val="2"/>
        <scheme val="minor"/>
      </rPr>
      <t>708</t>
    </r>
    <r>
      <rPr>
        <sz val="11"/>
        <color theme="1"/>
        <rFont val="Calibri"/>
        <family val="2"/>
        <scheme val="minor"/>
      </rPr>
      <t xml:space="preserve"> </t>
    </r>
    <r>
      <rPr>
        <strike/>
        <sz val="11"/>
        <color theme="1"/>
        <rFont val="Calibri"/>
        <family val="2"/>
        <scheme val="minor"/>
      </rPr>
      <t>syntax.</t>
    </r>
    <r>
      <rPr>
        <u/>
        <sz val="11"/>
        <color theme="1"/>
        <rFont val="Calibri"/>
        <family val="2"/>
        <scheme val="minor"/>
      </rPr>
      <t>DTVCC</t>
    </r>
    <r>
      <rPr>
        <sz val="11"/>
        <color theme="1"/>
        <rFont val="Calibri"/>
        <family val="2"/>
        <scheme val="minor"/>
      </rPr>
      <t xml:space="preserve"> </t>
    </r>
    <r>
      <rPr>
        <u/>
        <sz val="11"/>
        <color theme="1"/>
        <rFont val="Calibri"/>
        <family val="2"/>
        <scheme val="minor"/>
      </rPr>
      <t>transport.</t>
    </r>
  </si>
  <si>
    <t>The product SHALL reconstruct VBI Field 1 and Field 2 CEA-608 closed captions on the NTSC output, IF 
  CEA-608 closed caption data IS present in the EIA-708 DTVCC transport, AND
  DTVCC closed caption data IS present in the EIA-708 DTVCC transport.</t>
  </si>
  <si>
    <r>
      <t xml:space="preserve">The product SHALL reconstruct </t>
    </r>
    <r>
      <rPr>
        <strike/>
        <sz val="11"/>
        <color theme="1"/>
        <rFont val="Calibri"/>
        <family val="2"/>
        <scheme val="minor"/>
      </rPr>
      <t>Line 21,</t>
    </r>
    <r>
      <rPr>
        <u/>
        <sz val="11"/>
        <color theme="1"/>
        <rFont val="Calibri"/>
        <family val="2"/>
        <scheme val="minor"/>
      </rPr>
      <t>VBI</t>
    </r>
    <r>
      <rPr>
        <sz val="11"/>
        <color theme="1"/>
        <rFont val="Calibri"/>
        <family val="2"/>
        <scheme val="minor"/>
      </rPr>
      <t xml:space="preserve"> Field 1 and Field 2</t>
    </r>
    <r>
      <rPr>
        <strike/>
        <sz val="11"/>
        <color theme="1"/>
        <rFont val="Calibri"/>
        <family val="2"/>
        <scheme val="minor"/>
      </rPr>
      <t>,</t>
    </r>
    <r>
      <rPr>
        <sz val="11"/>
        <color theme="1"/>
        <rFont val="Calibri"/>
        <family val="2"/>
        <scheme val="minor"/>
      </rPr>
      <t xml:space="preserve"> </t>
    </r>
    <r>
      <rPr>
        <strike/>
        <sz val="11"/>
        <color theme="1"/>
        <rFont val="Calibri"/>
        <family val="2"/>
        <scheme val="minor"/>
      </rPr>
      <t>of</t>
    </r>
    <r>
      <rPr>
        <u/>
        <sz val="11"/>
        <color theme="1"/>
        <rFont val="Calibri"/>
        <family val="2"/>
        <scheme val="minor"/>
      </rPr>
      <t>CEA-608</t>
    </r>
    <r>
      <rPr>
        <sz val="11"/>
        <color theme="1"/>
        <rFont val="Calibri"/>
        <family val="2"/>
        <scheme val="minor"/>
      </rPr>
      <t xml:space="preserve"> </t>
    </r>
    <r>
      <rPr>
        <strike/>
        <sz val="11"/>
        <color theme="1"/>
        <rFont val="Calibri"/>
        <family val="2"/>
        <scheme val="minor"/>
      </rPr>
      <t>the</t>
    </r>
    <r>
      <rPr>
        <u/>
        <sz val="11"/>
        <color theme="1"/>
        <rFont val="Calibri"/>
        <family val="2"/>
        <scheme val="minor"/>
      </rPr>
      <t>closed</t>
    </r>
    <r>
      <rPr>
        <sz val="11"/>
        <color theme="1"/>
        <rFont val="Calibri"/>
        <family val="2"/>
        <scheme val="minor"/>
      </rPr>
      <t xml:space="preserve"> </t>
    </r>
    <r>
      <rPr>
        <strike/>
        <sz val="11"/>
        <color theme="1"/>
        <rFont val="Calibri"/>
        <family val="2"/>
        <scheme val="minor"/>
      </rPr>
      <t>VBI</t>
    </r>
    <r>
      <rPr>
        <u/>
        <sz val="11"/>
        <color theme="1"/>
        <rFont val="Calibri"/>
        <family val="2"/>
        <scheme val="minor"/>
      </rPr>
      <t>captions</t>
    </r>
    <r>
      <rPr>
        <sz val="11"/>
        <color theme="1"/>
        <rFont val="Calibri"/>
        <family val="2"/>
        <scheme val="minor"/>
      </rPr>
      <t xml:space="preserve"> on </t>
    </r>
    <r>
      <rPr>
        <strike/>
        <sz val="11"/>
        <color theme="1"/>
        <rFont val="Calibri"/>
        <family val="2"/>
        <scheme val="minor"/>
      </rPr>
      <t>its</t>
    </r>
    <r>
      <rPr>
        <u/>
        <sz val="11"/>
        <color theme="1"/>
        <rFont val="Calibri"/>
        <family val="2"/>
        <scheme val="minor"/>
      </rPr>
      <t>the</t>
    </r>
    <r>
      <rPr>
        <sz val="11"/>
        <color theme="1"/>
        <rFont val="Calibri"/>
        <family val="2"/>
        <scheme val="minor"/>
      </rPr>
      <t xml:space="preserve"> NTSC</t>
    </r>
    <r>
      <rPr>
        <strike/>
        <sz val="11"/>
        <color theme="1"/>
        <rFont val="Calibri"/>
        <family val="2"/>
        <scheme val="minor"/>
      </rPr>
      <t xml:space="preserve"> Outputs if it is tuned to a</t>
    </r>
    <r>
      <rPr>
        <sz val="11"/>
        <color theme="1"/>
        <rFont val="Calibri"/>
        <family val="2"/>
        <scheme val="minor"/>
      </rPr>
      <t xml:space="preserve"> </t>
    </r>
    <r>
      <rPr>
        <strike/>
        <sz val="11"/>
        <color theme="1"/>
        <rFont val="Calibri"/>
        <family val="2"/>
        <scheme val="minor"/>
      </rPr>
      <t>Digital</t>
    </r>
    <r>
      <rPr>
        <u/>
        <sz val="11"/>
        <color theme="1"/>
        <rFont val="Calibri"/>
        <family val="2"/>
        <scheme val="minor"/>
      </rPr>
      <t>output,</t>
    </r>
    <r>
      <rPr>
        <sz val="11"/>
        <color theme="1"/>
        <rFont val="Calibri"/>
        <family val="2"/>
        <scheme val="minor"/>
      </rPr>
      <t xml:space="preserve"> </t>
    </r>
    <r>
      <rPr>
        <strike/>
        <sz val="11"/>
        <color theme="1"/>
        <rFont val="Calibri"/>
        <family val="2"/>
        <scheme val="minor"/>
      </rPr>
      <t>service</t>
    </r>
    <r>
      <rPr>
        <u/>
        <sz val="11"/>
        <color theme="1"/>
        <rFont val="Calibri"/>
        <family val="2"/>
        <scheme val="minor"/>
      </rPr>
      <t>IF</t>
    </r>
    <r>
      <rPr>
        <sz val="11"/>
        <color theme="1"/>
        <rFont val="Calibri"/>
        <family val="2"/>
        <scheme val="minor"/>
      </rPr>
      <t xml:space="preserve"> </t>
    </r>
    <r>
      <rPr>
        <strike/>
        <sz val="11"/>
        <color theme="1"/>
        <rFont val="Calibri"/>
        <family val="2"/>
        <scheme val="minor"/>
      </rPr>
      <t>where</t>
    </r>
    <r>
      <rPr>
        <sz val="11"/>
        <color theme="1"/>
        <rFont val="Calibri"/>
        <family val="2"/>
        <scheme val="minor"/>
      </rPr>
      <t xml:space="preserve">
 </t>
    </r>
    <r>
      <rPr>
        <strike/>
        <sz val="11"/>
        <color theme="1"/>
        <rFont val="Calibri"/>
        <family val="2"/>
        <scheme val="minor"/>
      </rPr>
      <t>both</t>
    </r>
    <r>
      <rPr>
        <sz val="11"/>
        <color theme="1"/>
        <rFont val="Calibri"/>
        <family val="2"/>
        <scheme val="minor"/>
      </rPr>
      <t xml:space="preserve"> CEA-608</t>
    </r>
    <r>
      <rPr>
        <strike/>
        <sz val="11"/>
        <color theme="1"/>
        <rFont val="Calibri"/>
        <family val="2"/>
        <scheme val="minor"/>
      </rPr>
      <t xml:space="preserve"> caption data AND</t>
    </r>
    <r>
      <rPr>
        <sz val="11"/>
        <color theme="1"/>
        <rFont val="Calibri"/>
        <family val="2"/>
        <scheme val="minor"/>
      </rPr>
      <t xml:space="preserve"> </t>
    </r>
    <r>
      <rPr>
        <strike/>
        <sz val="11"/>
        <color theme="1"/>
        <rFont val="Calibri"/>
        <family val="2"/>
        <scheme val="minor"/>
      </rPr>
      <t>CEA-708</t>
    </r>
    <r>
      <rPr>
        <u/>
        <sz val="11"/>
        <color theme="1"/>
        <rFont val="Calibri"/>
        <family val="2"/>
        <scheme val="minor"/>
      </rPr>
      <t>closed</t>
    </r>
    <r>
      <rPr>
        <sz val="11"/>
        <color theme="1"/>
        <rFont val="Calibri"/>
        <family val="2"/>
        <scheme val="minor"/>
      </rPr>
      <t xml:space="preserve"> caption data </t>
    </r>
    <r>
      <rPr>
        <strike/>
        <sz val="11"/>
        <color theme="1"/>
        <rFont val="Calibri"/>
        <family val="2"/>
        <scheme val="minor"/>
      </rPr>
      <t>are</t>
    </r>
    <r>
      <rPr>
        <u/>
        <sz val="11"/>
        <color theme="1"/>
        <rFont val="Calibri"/>
        <family val="2"/>
        <scheme val="minor"/>
      </rPr>
      <t>IS</t>
    </r>
    <r>
      <rPr>
        <sz val="11"/>
        <color theme="1"/>
        <rFont val="Calibri"/>
        <family val="2"/>
        <scheme val="minor"/>
      </rPr>
      <t xml:space="preserve"> present in the </t>
    </r>
    <r>
      <rPr>
        <strike/>
        <sz val="11"/>
        <color theme="1"/>
        <rFont val="Calibri"/>
        <family val="2"/>
        <scheme val="minor"/>
      </rPr>
      <t>MPEG</t>
    </r>
    <r>
      <rPr>
        <u/>
        <sz val="11"/>
        <color theme="1"/>
        <rFont val="Calibri"/>
        <family val="2"/>
        <scheme val="minor"/>
      </rPr>
      <t>EIA</t>
    </r>
    <r>
      <rPr>
        <sz val="11"/>
        <color theme="1"/>
        <rFont val="Calibri"/>
        <family val="2"/>
        <scheme val="minor"/>
      </rPr>
      <t>-</t>
    </r>
    <r>
      <rPr>
        <strike/>
        <sz val="11"/>
        <color theme="1"/>
        <rFont val="Calibri"/>
        <family val="2"/>
        <scheme val="minor"/>
      </rPr>
      <t>2 Picture</t>
    </r>
    <r>
      <rPr>
        <u/>
        <sz val="11"/>
        <color theme="1"/>
        <rFont val="Calibri"/>
        <family val="2"/>
        <scheme val="minor"/>
      </rPr>
      <t>708</t>
    </r>
    <r>
      <rPr>
        <sz val="11"/>
        <color theme="1"/>
        <rFont val="Calibri"/>
        <family val="2"/>
        <scheme val="minor"/>
      </rPr>
      <t xml:space="preserve"> </t>
    </r>
    <r>
      <rPr>
        <strike/>
        <sz val="11"/>
        <color theme="1"/>
        <rFont val="Calibri"/>
        <family val="2"/>
        <scheme val="minor"/>
      </rPr>
      <t>User</t>
    </r>
    <r>
      <rPr>
        <u/>
        <sz val="11"/>
        <color theme="1"/>
        <rFont val="Calibri"/>
        <family val="2"/>
        <scheme val="minor"/>
      </rPr>
      <t>DTVCC</t>
    </r>
    <r>
      <rPr>
        <sz val="11"/>
        <color theme="1"/>
        <rFont val="Calibri"/>
        <family val="2"/>
        <scheme val="minor"/>
      </rPr>
      <t xml:space="preserve"> </t>
    </r>
    <r>
      <rPr>
        <strike/>
        <sz val="11"/>
        <color theme="1"/>
        <rFont val="Calibri"/>
        <family val="2"/>
        <scheme val="minor"/>
      </rPr>
      <t>Data</t>
    </r>
    <r>
      <rPr>
        <u/>
        <sz val="11"/>
        <color theme="1"/>
        <rFont val="Calibri"/>
        <family val="2"/>
        <scheme val="minor"/>
      </rPr>
      <t>transport,</t>
    </r>
    <r>
      <rPr>
        <sz val="11"/>
        <color theme="1"/>
        <rFont val="Calibri"/>
        <family val="2"/>
        <scheme val="minor"/>
      </rPr>
      <t xml:space="preserve"> </t>
    </r>
    <r>
      <rPr>
        <strike/>
        <sz val="11"/>
        <color theme="1"/>
        <rFont val="Calibri"/>
        <family val="2"/>
        <scheme val="minor"/>
      </rPr>
      <t>of</t>
    </r>
    <r>
      <rPr>
        <u/>
        <sz val="11"/>
        <color theme="1"/>
        <rFont val="Calibri"/>
        <family val="2"/>
        <scheme val="minor"/>
      </rPr>
      <t>AND</t>
    </r>
    <r>
      <rPr>
        <sz val="11"/>
        <color theme="1"/>
        <rFont val="Calibri"/>
        <family val="2"/>
        <scheme val="minor"/>
      </rPr>
      <t xml:space="preserve">
 </t>
    </r>
    <r>
      <rPr>
        <strike/>
        <sz val="11"/>
        <color theme="1"/>
        <rFont val="Calibri"/>
        <family val="2"/>
        <scheme val="minor"/>
      </rPr>
      <t>the</t>
    </r>
    <r>
      <rPr>
        <sz val="11"/>
        <color theme="1"/>
        <rFont val="Calibri"/>
        <family val="2"/>
        <scheme val="minor"/>
      </rPr>
      <t xml:space="preserve"> </t>
    </r>
    <r>
      <rPr>
        <strike/>
        <sz val="11"/>
        <color theme="1"/>
        <rFont val="Calibri"/>
        <family val="2"/>
        <scheme val="minor"/>
      </rPr>
      <t>same</t>
    </r>
    <r>
      <rPr>
        <u/>
        <sz val="11"/>
        <color theme="1"/>
        <rFont val="Calibri"/>
        <family val="2"/>
        <scheme val="minor"/>
      </rPr>
      <t>DTVCC</t>
    </r>
    <r>
      <rPr>
        <sz val="11"/>
        <color theme="1"/>
        <rFont val="Calibri"/>
        <family val="2"/>
        <scheme val="minor"/>
      </rPr>
      <t xml:space="preserve"> </t>
    </r>
    <r>
      <rPr>
        <strike/>
        <sz val="11"/>
        <color theme="1"/>
        <rFont val="Calibri"/>
        <family val="2"/>
        <scheme val="minor"/>
      </rPr>
      <t>MPEG</t>
    </r>
    <r>
      <rPr>
        <u/>
        <sz val="11"/>
        <color theme="1"/>
        <rFont val="Calibri"/>
        <family val="2"/>
        <scheme val="minor"/>
      </rPr>
      <t>closed</t>
    </r>
    <r>
      <rPr>
        <sz val="11"/>
        <color theme="1"/>
        <rFont val="Calibri"/>
        <family val="2"/>
        <scheme val="minor"/>
      </rPr>
      <t xml:space="preserve"> </t>
    </r>
    <r>
      <rPr>
        <strike/>
        <sz val="11"/>
        <color theme="1"/>
        <rFont val="Calibri"/>
        <family val="2"/>
        <scheme val="minor"/>
      </rPr>
      <t>video</t>
    </r>
    <r>
      <rPr>
        <u/>
        <sz val="11"/>
        <color theme="1"/>
        <rFont val="Calibri"/>
        <family val="2"/>
        <scheme val="minor"/>
      </rPr>
      <t>caption</t>
    </r>
    <r>
      <rPr>
        <sz val="11"/>
        <color theme="1"/>
        <rFont val="Calibri"/>
        <family val="2"/>
        <scheme val="minor"/>
      </rPr>
      <t xml:space="preserve"> </t>
    </r>
    <r>
      <rPr>
        <strike/>
        <sz val="11"/>
        <color theme="1"/>
        <rFont val="Calibri"/>
        <family val="2"/>
        <scheme val="minor"/>
      </rPr>
      <t>frame</t>
    </r>
    <r>
      <rPr>
        <u/>
        <sz val="11"/>
        <color theme="1"/>
        <rFont val="Calibri"/>
        <family val="2"/>
        <scheme val="minor"/>
      </rPr>
      <t>data</t>
    </r>
    <r>
      <rPr>
        <sz val="11"/>
        <color theme="1"/>
        <rFont val="Calibri"/>
        <family val="2"/>
        <scheme val="minor"/>
      </rPr>
      <t xml:space="preserve"> </t>
    </r>
    <r>
      <rPr>
        <strike/>
        <sz val="11"/>
        <color theme="1"/>
        <rFont val="Calibri"/>
        <family val="2"/>
        <scheme val="minor"/>
      </rPr>
      <t>and</t>
    </r>
    <r>
      <rPr>
        <u/>
        <sz val="11"/>
        <color theme="1"/>
        <rFont val="Calibri"/>
        <family val="2"/>
        <scheme val="minor"/>
      </rPr>
      <t>IS</t>
    </r>
    <r>
      <rPr>
        <sz val="11"/>
        <color theme="1"/>
        <rFont val="Calibri"/>
        <family val="2"/>
        <scheme val="minor"/>
      </rPr>
      <t xml:space="preserve"> </t>
    </r>
    <r>
      <rPr>
        <strike/>
        <sz val="11"/>
        <color theme="1"/>
        <rFont val="Calibri"/>
        <family val="2"/>
        <scheme val="minor"/>
      </rPr>
      <t>carried</t>
    </r>
    <r>
      <rPr>
        <u/>
        <sz val="11"/>
        <color theme="1"/>
        <rFont val="Calibri"/>
        <family val="2"/>
        <scheme val="minor"/>
      </rPr>
      <t>present</t>
    </r>
    <r>
      <rPr>
        <sz val="11"/>
        <color theme="1"/>
        <rFont val="Calibri"/>
        <family val="2"/>
        <scheme val="minor"/>
      </rPr>
      <t xml:space="preserve"> in the </t>
    </r>
    <r>
      <rPr>
        <strike/>
        <sz val="11"/>
        <color theme="1"/>
        <rFont val="Calibri"/>
        <family val="2"/>
        <scheme val="minor"/>
      </rPr>
      <t>SCTE</t>
    </r>
    <r>
      <rPr>
        <u/>
        <sz val="11"/>
        <color theme="1"/>
        <rFont val="Calibri"/>
        <family val="2"/>
        <scheme val="minor"/>
      </rPr>
      <t>EIA</t>
    </r>
    <r>
      <rPr>
        <sz val="11"/>
        <color theme="1"/>
        <rFont val="Calibri"/>
        <family val="2"/>
        <scheme val="minor"/>
      </rPr>
      <t>-</t>
    </r>
    <r>
      <rPr>
        <strike/>
        <sz val="11"/>
        <color theme="1"/>
        <rFont val="Calibri"/>
        <family val="2"/>
        <scheme val="minor"/>
      </rPr>
      <t>21</t>
    </r>
    <r>
      <rPr>
        <u/>
        <sz val="11"/>
        <color theme="1"/>
        <rFont val="Calibri"/>
        <family val="2"/>
        <scheme val="minor"/>
      </rPr>
      <t>708</t>
    </r>
    <r>
      <rPr>
        <sz val="11"/>
        <color theme="1"/>
        <rFont val="Calibri"/>
        <family val="2"/>
        <scheme val="minor"/>
      </rPr>
      <t xml:space="preserve"> </t>
    </r>
    <r>
      <rPr>
        <strike/>
        <sz val="11"/>
        <color theme="1"/>
        <rFont val="Calibri"/>
        <family val="2"/>
        <scheme val="minor"/>
      </rPr>
      <t>syntax</t>
    </r>
    <r>
      <rPr>
        <u/>
        <sz val="11"/>
        <color theme="1"/>
        <rFont val="Calibri"/>
        <family val="2"/>
        <scheme val="minor"/>
      </rPr>
      <t>DTVCC transport</t>
    </r>
    <r>
      <rPr>
        <sz val="11"/>
        <color theme="1"/>
        <rFont val="Calibri"/>
        <family val="2"/>
        <scheme val="minor"/>
      </rPr>
      <t>.</t>
    </r>
  </si>
  <si>
    <t xml:space="preserve">The product SHALL render DTVCC captions on the HDMI output, IF 
  DTVCC closed caption data IS present in the EIA-708 DTVCC transport, AND
  CEA-608 closed caption data is NOT present in the EIA-708 DTVCC transport, AND
  closed captioning is enabled. </t>
  </si>
  <si>
    <r>
      <t>The product SHALL</t>
    </r>
    <r>
      <rPr>
        <u/>
        <sz val="11"/>
        <color theme="1"/>
        <rFont val="Calibri"/>
        <family val="2"/>
        <scheme val="minor"/>
      </rPr>
      <t xml:space="preserve"> render DTVCC captions on the HDMI output</t>
    </r>
    <r>
      <rPr>
        <sz val="11"/>
        <color theme="1"/>
        <rFont val="Calibri"/>
        <family val="2"/>
        <scheme val="minor"/>
      </rPr>
      <t xml:space="preserve">, </t>
    </r>
    <r>
      <rPr>
        <strike/>
        <sz val="11"/>
        <color theme="1"/>
        <rFont val="Calibri"/>
        <family val="2"/>
        <scheme val="minor"/>
      </rPr>
      <t>when</t>
    </r>
    <r>
      <rPr>
        <u/>
        <sz val="11"/>
        <color theme="1"/>
        <rFont val="Calibri"/>
        <family val="2"/>
        <scheme val="minor"/>
      </rPr>
      <t xml:space="preserve">IF </t>
    </r>
    <r>
      <rPr>
        <sz val="11"/>
        <color theme="1"/>
        <rFont val="Calibri"/>
        <family val="2"/>
        <scheme val="minor"/>
      </rPr>
      <t xml:space="preserve">
</t>
    </r>
    <r>
      <rPr>
        <u/>
        <sz val="11"/>
        <color theme="1"/>
        <rFont val="Calibri"/>
        <family val="2"/>
        <scheme val="minor"/>
      </rPr>
      <t xml:space="preserve">  DTVCC</t>
    </r>
    <r>
      <rPr>
        <sz val="11"/>
        <color theme="1"/>
        <rFont val="Calibri"/>
        <family val="2"/>
        <scheme val="minor"/>
      </rPr>
      <t xml:space="preserve"> closed caption </t>
    </r>
    <r>
      <rPr>
        <strike/>
        <sz val="11"/>
        <color theme="1"/>
        <rFont val="Calibri"/>
        <family val="2"/>
        <scheme val="minor"/>
      </rPr>
      <t>rendering</t>
    </r>
    <r>
      <rPr>
        <u/>
        <sz val="11"/>
        <color theme="1"/>
        <rFont val="Calibri"/>
        <family val="2"/>
        <scheme val="minor"/>
      </rPr>
      <t>data</t>
    </r>
    <r>
      <rPr>
        <sz val="11"/>
        <color theme="1"/>
        <rFont val="Calibri"/>
        <family val="2"/>
        <scheme val="minor"/>
      </rPr>
      <t xml:space="preserve"> </t>
    </r>
    <r>
      <rPr>
        <strike/>
        <sz val="11"/>
        <color theme="1"/>
        <rFont val="Calibri"/>
        <family val="2"/>
        <scheme val="minor"/>
      </rPr>
      <t>is</t>
    </r>
    <r>
      <rPr>
        <u/>
        <sz val="11"/>
        <color theme="1"/>
        <rFont val="Calibri"/>
        <family val="2"/>
        <scheme val="minor"/>
      </rPr>
      <t>IS</t>
    </r>
    <r>
      <rPr>
        <sz val="11"/>
        <color theme="1"/>
        <rFont val="Calibri"/>
        <family val="2"/>
        <scheme val="minor"/>
      </rPr>
      <t xml:space="preserve"> </t>
    </r>
    <r>
      <rPr>
        <strike/>
        <sz val="11"/>
        <color theme="1"/>
        <rFont val="Calibri"/>
        <family val="2"/>
        <scheme val="minor"/>
      </rPr>
      <t>enabled,</t>
    </r>
    <r>
      <rPr>
        <u/>
        <sz val="11"/>
        <color theme="1"/>
        <rFont val="Calibri"/>
        <family val="2"/>
        <scheme val="minor"/>
      </rPr>
      <t>present</t>
    </r>
    <r>
      <rPr>
        <sz val="11"/>
        <color theme="1"/>
        <rFont val="Calibri"/>
        <family val="2"/>
        <scheme val="minor"/>
      </rPr>
      <t xml:space="preserve"> </t>
    </r>
    <r>
      <rPr>
        <strike/>
        <sz val="11"/>
        <color theme="1"/>
        <rFont val="Calibri"/>
        <family val="2"/>
        <scheme val="minor"/>
      </rPr>
      <t>render</t>
    </r>
    <r>
      <rPr>
        <u/>
        <sz val="11"/>
        <color theme="1"/>
        <rFont val="Calibri"/>
        <family val="2"/>
        <scheme val="minor"/>
      </rPr>
      <t>in</t>
    </r>
    <r>
      <rPr>
        <sz val="11"/>
        <color theme="1"/>
        <rFont val="Calibri"/>
        <family val="2"/>
        <scheme val="minor"/>
      </rPr>
      <t xml:space="preserve"> </t>
    </r>
    <r>
      <rPr>
        <strike/>
        <sz val="11"/>
        <color theme="1"/>
        <rFont val="Calibri"/>
        <family val="2"/>
        <scheme val="minor"/>
      </rPr>
      <t>CEA</t>
    </r>
    <r>
      <rPr>
        <u/>
        <sz val="11"/>
        <color theme="1"/>
        <rFont val="Calibri"/>
        <family val="2"/>
        <scheme val="minor"/>
      </rPr>
      <t>the EIA</t>
    </r>
    <r>
      <rPr>
        <sz val="11"/>
        <color theme="1"/>
        <rFont val="Calibri"/>
        <family val="2"/>
        <scheme val="minor"/>
      </rPr>
      <t>-708</t>
    </r>
    <r>
      <rPr>
        <strike/>
        <sz val="11"/>
        <color theme="1"/>
        <rFont val="Calibri"/>
        <family val="2"/>
        <scheme val="minor"/>
      </rPr>
      <t xml:space="preserve"> captions on</t>
    </r>
    <r>
      <rPr>
        <sz val="11"/>
        <color theme="1"/>
        <rFont val="Calibri"/>
        <family val="2"/>
        <scheme val="minor"/>
      </rPr>
      <t xml:space="preserve"> </t>
    </r>
    <r>
      <rPr>
        <strike/>
        <sz val="11"/>
        <color theme="1"/>
        <rFont val="Calibri"/>
        <family val="2"/>
        <scheme val="minor"/>
      </rPr>
      <t>its</t>
    </r>
    <r>
      <rPr>
        <u/>
        <sz val="11"/>
        <color theme="1"/>
        <rFont val="Calibri"/>
        <family val="2"/>
        <scheme val="minor"/>
      </rPr>
      <t>DTVCC</t>
    </r>
    <r>
      <rPr>
        <sz val="11"/>
        <color theme="1"/>
        <rFont val="Calibri"/>
        <family val="2"/>
        <scheme val="minor"/>
      </rPr>
      <t xml:space="preserve"> </t>
    </r>
    <r>
      <rPr>
        <strike/>
        <sz val="11"/>
        <color theme="1"/>
        <rFont val="Calibri"/>
        <family val="2"/>
        <scheme val="minor"/>
      </rPr>
      <t>HDMI</t>
    </r>
    <r>
      <rPr>
        <u/>
        <sz val="11"/>
        <color theme="1"/>
        <rFont val="Calibri"/>
        <family val="2"/>
        <scheme val="minor"/>
      </rPr>
      <t>transport,</t>
    </r>
    <r>
      <rPr>
        <sz val="11"/>
        <color theme="1"/>
        <rFont val="Calibri"/>
        <family val="2"/>
        <scheme val="minor"/>
      </rPr>
      <t xml:space="preserve"> </t>
    </r>
    <r>
      <rPr>
        <strike/>
        <sz val="11"/>
        <color theme="1"/>
        <rFont val="Calibri"/>
        <family val="2"/>
        <scheme val="minor"/>
      </rPr>
      <t>output</t>
    </r>
    <r>
      <rPr>
        <u/>
        <sz val="11"/>
        <color theme="1"/>
        <rFont val="Calibri"/>
        <family val="2"/>
        <scheme val="minor"/>
      </rPr>
      <t>AND</t>
    </r>
    <r>
      <rPr>
        <sz val="11"/>
        <color theme="1"/>
        <rFont val="Calibri"/>
        <family val="2"/>
        <scheme val="minor"/>
      </rPr>
      <t xml:space="preserve">
 </t>
    </r>
    <r>
      <rPr>
        <strike/>
        <sz val="11"/>
        <color theme="1"/>
        <rFont val="Calibri"/>
        <family val="2"/>
        <scheme val="minor"/>
      </rPr>
      <t>if</t>
    </r>
    <r>
      <rPr>
        <sz val="11"/>
        <color theme="1"/>
        <rFont val="Calibri"/>
        <family val="2"/>
        <scheme val="minor"/>
      </rPr>
      <t xml:space="preserve"> CEA-</t>
    </r>
    <r>
      <rPr>
        <strike/>
        <sz val="11"/>
        <color theme="1"/>
        <rFont val="Calibri"/>
        <family val="2"/>
        <scheme val="minor"/>
      </rPr>
      <t>708</t>
    </r>
    <r>
      <rPr>
        <u/>
        <sz val="11"/>
        <color theme="1"/>
        <rFont val="Calibri"/>
        <family val="2"/>
        <scheme val="minor"/>
      </rPr>
      <t>608 closed</t>
    </r>
    <r>
      <rPr>
        <sz val="11"/>
        <color theme="1"/>
        <rFont val="Calibri"/>
        <family val="2"/>
        <scheme val="minor"/>
      </rPr>
      <t xml:space="preserve"> caption data is</t>
    </r>
    <r>
      <rPr>
        <u/>
        <sz val="11"/>
        <color theme="1"/>
        <rFont val="Calibri"/>
        <family val="2"/>
        <scheme val="minor"/>
      </rPr>
      <t xml:space="preserve"> NOT</t>
    </r>
    <r>
      <rPr>
        <sz val="11"/>
        <color theme="1"/>
        <rFont val="Calibri"/>
        <family val="2"/>
        <scheme val="minor"/>
      </rPr>
      <t xml:space="preserve"> present</t>
    </r>
    <r>
      <rPr>
        <u/>
        <sz val="11"/>
        <color theme="1"/>
        <rFont val="Calibri"/>
        <family val="2"/>
        <scheme val="minor"/>
      </rPr>
      <t xml:space="preserve"> in the EIA-708 DTVCC transport, AND</t>
    </r>
    <r>
      <rPr>
        <sz val="11"/>
        <color theme="1"/>
        <rFont val="Calibri"/>
        <family val="2"/>
        <scheme val="minor"/>
      </rPr>
      <t xml:space="preserve">
</t>
    </r>
    <r>
      <rPr>
        <u/>
        <sz val="11"/>
        <color theme="1"/>
        <rFont val="Calibri"/>
        <family val="2"/>
        <scheme val="minor"/>
      </rPr>
      <t xml:space="preserve">  closed captioning is enabled</t>
    </r>
    <r>
      <rPr>
        <sz val="11"/>
        <color theme="1"/>
        <rFont val="Calibri"/>
        <family val="2"/>
        <scheme val="minor"/>
      </rPr>
      <t>.</t>
    </r>
    <r>
      <rPr>
        <u/>
        <sz val="11"/>
        <color theme="1"/>
        <rFont val="Calibri"/>
        <family val="2"/>
        <scheme val="minor"/>
      </rPr>
      <t xml:space="preserve"> </t>
    </r>
  </si>
  <si>
    <t>The product SHALL render DTVCC captions on the NTSC output, IF 
  DTVCC closed caption data IS present in the EIA-708 DTVCC transport, AND
  CEA-608 closed caption data IS present in the EIA-708 DTVCC transport, AND
  closed captioning is enabled.</t>
  </si>
  <si>
    <t>The product SHALL render DTVCC captions on the NTSC output, IF 
  DTVCC closed caption data IS present in the EIA-708 DTVCC transport, AND
  CEA-608 closed caption data is NOT present in the EIA-708 DTVCC transport, AND
  closed captioning is enabled.</t>
  </si>
  <si>
    <r>
      <t>The product SHALL</t>
    </r>
    <r>
      <rPr>
        <u/>
        <sz val="11"/>
        <color theme="1"/>
        <rFont val="Calibri"/>
        <family val="2"/>
        <scheme val="minor"/>
      </rPr>
      <t xml:space="preserve"> render DTVCC captions on the NTSC output</t>
    </r>
    <r>
      <rPr>
        <sz val="11"/>
        <color theme="1"/>
        <rFont val="Calibri"/>
        <family val="2"/>
        <scheme val="minor"/>
      </rPr>
      <t xml:space="preserve">, </t>
    </r>
    <r>
      <rPr>
        <strike/>
        <sz val="11"/>
        <color theme="1"/>
        <rFont val="Calibri"/>
        <family val="2"/>
        <scheme val="minor"/>
      </rPr>
      <t>when</t>
    </r>
    <r>
      <rPr>
        <u/>
        <sz val="11"/>
        <color theme="1"/>
        <rFont val="Calibri"/>
        <family val="2"/>
        <scheme val="minor"/>
      </rPr>
      <t xml:space="preserve">IF </t>
    </r>
    <r>
      <rPr>
        <sz val="11"/>
        <color theme="1"/>
        <rFont val="Calibri"/>
        <family val="2"/>
        <scheme val="minor"/>
      </rPr>
      <t xml:space="preserve">
</t>
    </r>
    <r>
      <rPr>
        <u/>
        <sz val="11"/>
        <color theme="1"/>
        <rFont val="Calibri"/>
        <family val="2"/>
        <scheme val="minor"/>
      </rPr>
      <t xml:space="preserve">  DTVCC</t>
    </r>
    <r>
      <rPr>
        <sz val="11"/>
        <color theme="1"/>
        <rFont val="Calibri"/>
        <family val="2"/>
        <scheme val="minor"/>
      </rPr>
      <t xml:space="preserve"> closed caption </t>
    </r>
    <r>
      <rPr>
        <strike/>
        <sz val="11"/>
        <color theme="1"/>
        <rFont val="Calibri"/>
        <family val="2"/>
        <scheme val="minor"/>
      </rPr>
      <t>rendering</t>
    </r>
    <r>
      <rPr>
        <u/>
        <sz val="11"/>
        <color theme="1"/>
        <rFont val="Calibri"/>
        <family val="2"/>
        <scheme val="minor"/>
      </rPr>
      <t>data</t>
    </r>
    <r>
      <rPr>
        <sz val="11"/>
        <color theme="1"/>
        <rFont val="Calibri"/>
        <family val="2"/>
        <scheme val="minor"/>
      </rPr>
      <t xml:space="preserve"> </t>
    </r>
    <r>
      <rPr>
        <strike/>
        <sz val="11"/>
        <color theme="1"/>
        <rFont val="Calibri"/>
        <family val="2"/>
        <scheme val="minor"/>
      </rPr>
      <t>is</t>
    </r>
    <r>
      <rPr>
        <u/>
        <sz val="11"/>
        <color theme="1"/>
        <rFont val="Calibri"/>
        <family val="2"/>
        <scheme val="minor"/>
      </rPr>
      <t>IS</t>
    </r>
    <r>
      <rPr>
        <sz val="11"/>
        <color theme="1"/>
        <rFont val="Calibri"/>
        <family val="2"/>
        <scheme val="minor"/>
      </rPr>
      <t xml:space="preserve"> </t>
    </r>
    <r>
      <rPr>
        <strike/>
        <sz val="11"/>
        <color theme="1"/>
        <rFont val="Calibri"/>
        <family val="2"/>
        <scheme val="minor"/>
      </rPr>
      <t>enabled,</t>
    </r>
    <r>
      <rPr>
        <u/>
        <sz val="11"/>
        <color theme="1"/>
        <rFont val="Calibri"/>
        <family val="2"/>
        <scheme val="minor"/>
      </rPr>
      <t>present</t>
    </r>
    <r>
      <rPr>
        <sz val="11"/>
        <color theme="1"/>
        <rFont val="Calibri"/>
        <family val="2"/>
        <scheme val="minor"/>
      </rPr>
      <t xml:space="preserve"> </t>
    </r>
    <r>
      <rPr>
        <strike/>
        <sz val="11"/>
        <color theme="1"/>
        <rFont val="Calibri"/>
        <family val="2"/>
        <scheme val="minor"/>
      </rPr>
      <t>render</t>
    </r>
    <r>
      <rPr>
        <u/>
        <sz val="11"/>
        <color theme="1"/>
        <rFont val="Calibri"/>
        <family val="2"/>
        <scheme val="minor"/>
      </rPr>
      <t>in</t>
    </r>
    <r>
      <rPr>
        <sz val="11"/>
        <color theme="1"/>
        <rFont val="Calibri"/>
        <family val="2"/>
        <scheme val="minor"/>
      </rPr>
      <t xml:space="preserve"> </t>
    </r>
    <r>
      <rPr>
        <strike/>
        <sz val="11"/>
        <color theme="1"/>
        <rFont val="Calibri"/>
        <family val="2"/>
        <scheme val="minor"/>
      </rPr>
      <t>CEA</t>
    </r>
    <r>
      <rPr>
        <u/>
        <sz val="11"/>
        <color theme="1"/>
        <rFont val="Calibri"/>
        <family val="2"/>
        <scheme val="minor"/>
      </rPr>
      <t>the EIA</t>
    </r>
    <r>
      <rPr>
        <sz val="11"/>
        <color theme="1"/>
        <rFont val="Calibri"/>
        <family val="2"/>
        <scheme val="minor"/>
      </rPr>
      <t>-708</t>
    </r>
    <r>
      <rPr>
        <strike/>
        <sz val="11"/>
        <color theme="1"/>
        <rFont val="Calibri"/>
        <family val="2"/>
        <scheme val="minor"/>
      </rPr>
      <t xml:space="preserve"> captions on</t>
    </r>
    <r>
      <rPr>
        <sz val="11"/>
        <color theme="1"/>
        <rFont val="Calibri"/>
        <family val="2"/>
        <scheme val="minor"/>
      </rPr>
      <t xml:space="preserve"> </t>
    </r>
    <r>
      <rPr>
        <strike/>
        <sz val="11"/>
        <color theme="1"/>
        <rFont val="Calibri"/>
        <family val="2"/>
        <scheme val="minor"/>
      </rPr>
      <t>its</t>
    </r>
    <r>
      <rPr>
        <u/>
        <sz val="11"/>
        <color theme="1"/>
        <rFont val="Calibri"/>
        <family val="2"/>
        <scheme val="minor"/>
      </rPr>
      <t>DTVCC</t>
    </r>
    <r>
      <rPr>
        <sz val="11"/>
        <color theme="1"/>
        <rFont val="Calibri"/>
        <family val="2"/>
        <scheme val="minor"/>
      </rPr>
      <t xml:space="preserve"> </t>
    </r>
    <r>
      <rPr>
        <strike/>
        <sz val="11"/>
        <color theme="1"/>
        <rFont val="Calibri"/>
        <family val="2"/>
        <scheme val="minor"/>
      </rPr>
      <t>NTSC</t>
    </r>
    <r>
      <rPr>
        <u/>
        <sz val="11"/>
        <color theme="1"/>
        <rFont val="Calibri"/>
        <family val="2"/>
        <scheme val="minor"/>
      </rPr>
      <t>transport,</t>
    </r>
    <r>
      <rPr>
        <sz val="11"/>
        <color theme="1"/>
        <rFont val="Calibri"/>
        <family val="2"/>
        <scheme val="minor"/>
      </rPr>
      <t xml:space="preserve"> </t>
    </r>
    <r>
      <rPr>
        <strike/>
        <sz val="11"/>
        <color theme="1"/>
        <rFont val="Calibri"/>
        <family val="2"/>
        <scheme val="minor"/>
      </rPr>
      <t>output</t>
    </r>
    <r>
      <rPr>
        <u/>
        <sz val="11"/>
        <color theme="1"/>
        <rFont val="Calibri"/>
        <family val="2"/>
        <scheme val="minor"/>
      </rPr>
      <t>AND</t>
    </r>
    <r>
      <rPr>
        <sz val="11"/>
        <color theme="1"/>
        <rFont val="Calibri"/>
        <family val="2"/>
        <scheme val="minor"/>
      </rPr>
      <t xml:space="preserve">
 </t>
    </r>
    <r>
      <rPr>
        <strike/>
        <sz val="11"/>
        <color theme="1"/>
        <rFont val="Calibri"/>
        <family val="2"/>
        <scheme val="minor"/>
      </rPr>
      <t>if</t>
    </r>
    <r>
      <rPr>
        <sz val="11"/>
        <color theme="1"/>
        <rFont val="Calibri"/>
        <family val="2"/>
        <scheme val="minor"/>
      </rPr>
      <t xml:space="preserve"> CEA-</t>
    </r>
    <r>
      <rPr>
        <strike/>
        <sz val="11"/>
        <color theme="1"/>
        <rFont val="Calibri"/>
        <family val="2"/>
        <scheme val="minor"/>
      </rPr>
      <t>708</t>
    </r>
    <r>
      <rPr>
        <u/>
        <sz val="11"/>
        <color theme="1"/>
        <rFont val="Calibri"/>
        <family val="2"/>
        <scheme val="minor"/>
      </rPr>
      <t>608 closed</t>
    </r>
    <r>
      <rPr>
        <sz val="11"/>
        <color theme="1"/>
        <rFont val="Calibri"/>
        <family val="2"/>
        <scheme val="minor"/>
      </rPr>
      <t xml:space="preserve"> caption data is</t>
    </r>
    <r>
      <rPr>
        <u/>
        <sz val="11"/>
        <color theme="1"/>
        <rFont val="Calibri"/>
        <family val="2"/>
        <scheme val="minor"/>
      </rPr>
      <t xml:space="preserve"> NOT</t>
    </r>
    <r>
      <rPr>
        <sz val="11"/>
        <color theme="1"/>
        <rFont val="Calibri"/>
        <family val="2"/>
        <scheme val="minor"/>
      </rPr>
      <t xml:space="preserve"> present</t>
    </r>
    <r>
      <rPr>
        <u/>
        <sz val="11"/>
        <color theme="1"/>
        <rFont val="Calibri"/>
        <family val="2"/>
        <scheme val="minor"/>
      </rPr>
      <t xml:space="preserve"> in the EIA-708 DTVCC transport, AND</t>
    </r>
    <r>
      <rPr>
        <sz val="11"/>
        <color theme="1"/>
        <rFont val="Calibri"/>
        <family val="2"/>
        <scheme val="minor"/>
      </rPr>
      <t xml:space="preserve">
</t>
    </r>
    <r>
      <rPr>
        <u/>
        <sz val="11"/>
        <color theme="1"/>
        <rFont val="Calibri"/>
        <family val="2"/>
        <scheme val="minor"/>
      </rPr>
      <t xml:space="preserve">  closed captioning is enabled</t>
    </r>
    <r>
      <rPr>
        <sz val="11"/>
        <color theme="1"/>
        <rFont val="Calibri"/>
        <family val="2"/>
        <scheme val="minor"/>
      </rPr>
      <t>.</t>
    </r>
  </si>
  <si>
    <t>The product SHALL render DTVCC captions on the HDMI output, IF 
  DTVCC closed caption data IS present in the EIA-708 DTVCC transport, AND
  CEA-608 closed caption data IS present in the EIA-708 DTVCC transport, AND
  closed captioning is enabled.</t>
  </si>
  <si>
    <t>The product SHALL begin rendering CEA-608 captions within (3) seconds if a digital service is tuned where SCTE-20 CEA-608 caption data is present in the MPEG-2 Picture User Data of the same MPEG video frame.</t>
  </si>
  <si>
    <r>
      <t xml:space="preserve">The product SHALL begin rendering CEA-608 captions within (3) seconds if a </t>
    </r>
    <r>
      <rPr>
        <strike/>
        <sz val="11"/>
        <color theme="1"/>
        <rFont val="Calibri"/>
        <family val="2"/>
        <scheme val="minor"/>
      </rPr>
      <t>Digital</t>
    </r>
    <r>
      <rPr>
        <u/>
        <sz val="11"/>
        <color theme="1"/>
        <rFont val="Calibri"/>
        <family val="2"/>
        <scheme val="minor"/>
      </rPr>
      <t>digital</t>
    </r>
    <r>
      <rPr>
        <sz val="11"/>
        <color theme="1"/>
        <rFont val="Calibri"/>
        <family val="2"/>
        <scheme val="minor"/>
      </rPr>
      <t xml:space="preserve"> service is tuned where</t>
    </r>
    <r>
      <rPr>
        <u/>
        <sz val="11"/>
        <color theme="1"/>
        <rFont val="Calibri"/>
        <family val="2"/>
        <scheme val="minor"/>
      </rPr>
      <t xml:space="preserve"> SCTE-20</t>
    </r>
    <r>
      <rPr>
        <sz val="11"/>
        <color theme="1"/>
        <rFont val="Calibri"/>
        <family val="2"/>
        <scheme val="minor"/>
      </rPr>
      <t xml:space="preserve"> CEA-608 caption data is present in the MPEG-2 Picture User Data of the same MPEG video frame.</t>
    </r>
  </si>
  <si>
    <t xml:space="preserve">The product SHALL begin rendering CEA-608 captions within (3) seconds if a digital service is tuned where CEA-608 closed caption data is present in the EIA-708 DTVCC transport in the MPEG-2 Picture User Data of the same MPEG video frame.  </t>
  </si>
  <si>
    <t>The product SHALL begin reconstructing Line 21, Field 1 and Field 2, of the VBI within (3) seconds if a digital service is tuned where SCTE-20 CEA-608 closed caption data is present in the MPEG-2 Picture User Data of the same MPEG video frame.</t>
  </si>
  <si>
    <r>
      <t xml:space="preserve">The product SHALL begin reconstructing Line 21, Field 1 and Field 2, of the VBI within (3) seconds if a </t>
    </r>
    <r>
      <rPr>
        <strike/>
        <sz val="11"/>
        <color theme="1"/>
        <rFont val="Calibri"/>
        <family val="2"/>
        <scheme val="minor"/>
      </rPr>
      <t>Digital</t>
    </r>
    <r>
      <rPr>
        <u/>
        <sz val="11"/>
        <color theme="1"/>
        <rFont val="Calibri"/>
        <family val="2"/>
        <scheme val="minor"/>
      </rPr>
      <t>digital</t>
    </r>
    <r>
      <rPr>
        <sz val="11"/>
        <color theme="1"/>
        <rFont val="Calibri"/>
        <family val="2"/>
        <scheme val="minor"/>
      </rPr>
      <t xml:space="preserve"> service is tuned where</t>
    </r>
    <r>
      <rPr>
        <u/>
        <sz val="11"/>
        <color theme="1"/>
        <rFont val="Calibri"/>
        <family val="2"/>
        <scheme val="minor"/>
      </rPr>
      <t xml:space="preserve"> SCTE-20</t>
    </r>
    <r>
      <rPr>
        <sz val="11"/>
        <color theme="1"/>
        <rFont val="Calibri"/>
        <family val="2"/>
        <scheme val="minor"/>
      </rPr>
      <t xml:space="preserve"> CEA-608</t>
    </r>
    <r>
      <rPr>
        <u/>
        <sz val="11"/>
        <color theme="1"/>
        <rFont val="Calibri"/>
        <family val="2"/>
        <scheme val="minor"/>
      </rPr>
      <t xml:space="preserve"> closed</t>
    </r>
    <r>
      <rPr>
        <sz val="11"/>
        <color theme="1"/>
        <rFont val="Calibri"/>
        <family val="2"/>
        <scheme val="minor"/>
      </rPr>
      <t xml:space="preserve"> caption data is present in the MPEG-2 Picture User Data of the same MPEG video frame.</t>
    </r>
  </si>
  <si>
    <t>The product SHALL begin reconstructing Line 21, Field 1 and Field 2, of the VBI within (3) seconds if a digital service is tuned where CEA-608 closed caption data is present in the EIA-708 DTVCC transport in the MPEG-2 Picture User Data of the same MPEG video frame</t>
  </si>
  <si>
    <t>The product SHALL begin rendering CEA-708 captions within (3) seconds if a Digital service is tuned where CEA-708 DTVCC caption data is present in the MPEG-2 Picture User Data of the same MPEG video frame.</t>
  </si>
  <si>
    <r>
      <t xml:space="preserve">The product SHALL begin rendering CEA-708 captions within (3) seconds if a Digital service is tuned where CEA-708 </t>
    </r>
    <r>
      <rPr>
        <u/>
        <sz val="11"/>
        <color theme="1"/>
        <rFont val="Calibri"/>
        <family val="2"/>
        <scheme val="minor"/>
      </rPr>
      <t xml:space="preserve">DTVCC </t>
    </r>
    <r>
      <rPr>
        <sz val="11"/>
        <color theme="1"/>
        <rFont val="Calibri"/>
        <family val="2"/>
        <scheme val="minor"/>
      </rPr>
      <t>caption data is present in the MPEG-2 Picture User Data of the same MPEG video frame.</t>
    </r>
  </si>
  <si>
    <t>25.1.1 SCTE-20 CEA-608 CC</t>
  </si>
  <si>
    <t>25.1.2 EIA-708 (DTVCC &amp; embedded EIA-608)</t>
  </si>
  <si>
    <t>25.1.3 Three Second Initialization</t>
  </si>
  <si>
    <t>25.1.5 Transtions</t>
  </si>
  <si>
    <t>25.1.6 708 CC Font Style</t>
  </si>
  <si>
    <t>25.1.7 708 CC Font Size</t>
  </si>
  <si>
    <t>25.1.8 708 CC Font Color</t>
  </si>
  <si>
    <t>25.1.10 CC Background Color</t>
  </si>
  <si>
    <t>25.1.12 CC Rendering and Selection</t>
  </si>
  <si>
    <t>Note: Sort by Type Column by "Hdr" to see headings 
            (like a table of contents).
Note: TO SEE CHANGES, Uncheck "Approved"  in the Status column filter.</t>
  </si>
  <si>
    <t>STATUS</t>
  </si>
  <si>
    <t>This version is x4</t>
  </si>
  <si>
    <t>x.4 iteration 2</t>
  </si>
  <si>
    <t>05/18/2018
PFS - Cleaned up Closed Caption Requirements  (Use PFS status column filter to find ADDED requirements)</t>
  </si>
  <si>
    <t>^^^^^^^^</t>
  </si>
  <si>
    <t>8.1 Code Download over Satellite</t>
  </si>
  <si>
    <t>8.0 Code Download</t>
  </si>
  <si>
    <t>8.0.1 JTAG for Development Support</t>
  </si>
  <si>
    <t>8.0.2 General Code Download Requirements</t>
  </si>
  <si>
    <t>8.0.3 Code Update Variable State Retention</t>
  </si>
  <si>
    <t>8.1.1 Code Download and Initiation</t>
  </si>
  <si>
    <t>8.1.1.1 Opportunity Download</t>
  </si>
  <si>
    <t>8.1.1.2 Background Download</t>
  </si>
  <si>
    <t>8.1.1.1.1 Forced Download</t>
  </si>
  <si>
    <t>8.1.1.3 Standard Download Screen</t>
  </si>
  <si>
    <t>8.2 Code Download over IP</t>
  </si>
  <si>
    <t>8.2.1 Code Download and Initiation</t>
  </si>
  <si>
    <t>The product SHALL provide an API to perform signature validation for the XML infoset file.</t>
  </si>
  <si>
    <t>The product SHALL provide an API to perform signature validation for the downloaded package.</t>
  </si>
  <si>
    <t>8.2.3 DSR-Initiated Download</t>
  </si>
  <si>
    <t>The product SHALL set the DSCP bits in the IP header for all outgoing IP traffic to [101000] binary, [40] decimal.</t>
  </si>
  <si>
    <t>8.2.4 IP Network QoS</t>
  </si>
  <si>
    <t>The product SHALL support IP download.</t>
  </si>
  <si>
    <t>FR-DSRSW-9000</t>
  </si>
  <si>
    <t>TR-DSRSW-9000</t>
  </si>
  <si>
    <t>TR-DSRSW-9001</t>
  </si>
  <si>
    <t>TR-DSRSW-9002</t>
  </si>
  <si>
    <t>TR-DSRSW-9003</t>
  </si>
  <si>
    <t>TR-DSRSW-9004</t>
  </si>
  <si>
    <t>TR-DSRSW-9005</t>
  </si>
  <si>
    <t>TR-DSRSW-9006</t>
  </si>
  <si>
    <t>TR-DSRSW-9007</t>
  </si>
  <si>
    <t>TR-DSRSW-9008</t>
  </si>
  <si>
    <t>TR-DSRSW-9009</t>
  </si>
  <si>
    <t>TR-DSRSW-9010</t>
  </si>
  <si>
    <t>TR-DSRSW-9011</t>
  </si>
  <si>
    <t>TR-DSRSW-9012</t>
  </si>
  <si>
    <t>TR-DSRSW-9013</t>
  </si>
  <si>
    <t>TR-DSRSW-9014</t>
  </si>
  <si>
    <t>TR-DSRSW-9015</t>
  </si>
  <si>
    <t>TR-DSRSW-9016</t>
  </si>
  <si>
    <t>TR-DSRSW-90017</t>
  </si>
  <si>
    <t>TR-DSRSW-9018</t>
  </si>
  <si>
    <t>TR-DSRSW-9019</t>
  </si>
  <si>
    <t>TR-DSRSW-9020</t>
  </si>
  <si>
    <t>TR-DSRSW-9021</t>
  </si>
  <si>
    <t>TR-DSRSW-9022</t>
  </si>
  <si>
    <t>TR-DSRSW-9023</t>
  </si>
  <si>
    <t>TR-DSRSW-9024</t>
  </si>
  <si>
    <t>TR-DSRSW-9025</t>
  </si>
  <si>
    <t>The product SHALL initiate download only when the downloaded version is greater than the current platform version.</t>
  </si>
  <si>
    <t>The product SHALL terminate a satellite download if an IP download is initiated.</t>
  </si>
  <si>
    <t>TR-DSRSW-9026</t>
  </si>
  <si>
    <t>TR-DSRSW-9027</t>
  </si>
  <si>
    <t>x.5 iteration 1</t>
  </si>
  <si>
    <t>A. Zeleznikar</t>
  </si>
  <si>
    <t>TR-DSRSW-9000 through TR-DSRSW-9027</t>
  </si>
  <si>
    <t>Alan Zeleznikar</t>
  </si>
  <si>
    <t>03/05/2019
PMR - Added FR-DSRSW-9000 for IP download
PFS - Reorganized section 8 and added IP download requirements. Added Elnath and Fudur build effectivities for each PFS requirement</t>
  </si>
  <si>
    <t>Furud</t>
  </si>
  <si>
    <r>
      <t xml:space="preserve">The following requirements define when to initiate a code download process for DSRs, given the correct parameters are met in </t>
    </r>
    <r>
      <rPr>
        <sz val="11"/>
        <rFont val="Calibri"/>
        <family val="2"/>
        <scheme val="minor"/>
      </rPr>
      <t>Download Preamble message as described in the DCII MSP [DCII MSP-1] (for OTA download)</t>
    </r>
    <r>
      <rPr>
        <sz val="11"/>
        <color theme="1"/>
        <rFont val="Calibri"/>
        <family val="2"/>
        <scheme val="minor"/>
      </rPr>
      <t xml:space="preserve"> </t>
    </r>
    <r>
      <rPr>
        <u/>
        <sz val="11"/>
        <color rgb="FF0000FF"/>
        <rFont val="Calibri"/>
        <family val="2"/>
        <scheme val="minor"/>
      </rPr>
      <t>the XML infoset file (for OTT download)</t>
    </r>
    <r>
      <rPr>
        <sz val="11"/>
        <color theme="1"/>
        <rFont val="Calibri"/>
        <family val="2"/>
        <scheme val="minor"/>
      </rPr>
      <t>.</t>
    </r>
  </si>
  <si>
    <t>The product SHALL download and store an XML infoset file containing the information necessary to manage the download of objects defined within the XML infoset per 365-095-19197. [TBD]</t>
  </si>
  <si>
    <r>
      <t xml:space="preserve">The product SHALL alert the application of </t>
    </r>
    <r>
      <rPr>
        <strike/>
        <sz val="11"/>
        <color rgb="FFFF0000"/>
        <rFont val="Calibri"/>
        <family val="2"/>
        <scheme val="minor"/>
      </rPr>
      <t>a opportunity download if the product has received a valid download_preamble() message with the force_download_now flag set to "no."</t>
    </r>
    <r>
      <rPr>
        <u/>
        <sz val="11"/>
        <color rgb="FF0000FF"/>
        <rFont val="Calibri"/>
        <family val="2"/>
        <scheme val="minor"/>
      </rPr>
      <t xml:space="preserve"> an IP download when the conditions for the parameters defined within the XML infoset file are true. [TBD]</t>
    </r>
    <r>
      <rPr>
        <sz val="11"/>
        <color theme="1"/>
        <rFont val="Calibri"/>
        <family val="2"/>
        <scheme val="minor"/>
      </rPr>
      <t xml:space="preserve">  </t>
    </r>
  </si>
  <si>
    <t>The product SHALL use HTTP to download the XML infoset file.  [TBD]</t>
  </si>
  <si>
    <t>The product SHALL use HTTP to download the package(s) defined in the XML infoset file.  [TBD]</t>
  </si>
  <si>
    <t>The product SHALL use the parameter defined in the XML infoset file to determine how many attempts to download the defined package(s) before reverting to satellite download.  [TBD]</t>
  </si>
  <si>
    <t>8.2.2 Package Security</t>
  </si>
  <si>
    <t>The product SHALL provide an API to decrypt the downloaded package.</t>
  </si>
  <si>
    <t>Adara 
Copernicus 
Deneb 
Elnath 
Furud</t>
  </si>
  <si>
    <t>Deneb 
Elnath 
Furud</t>
  </si>
  <si>
    <t>TR-DSRSW-9028</t>
  </si>
  <si>
    <t>The product SHALL provide an API to allow the application to determine if a package update is available.</t>
  </si>
  <si>
    <t>The product SHALL provide an API to allow the application to notify Neptune to start, or resume, package download.</t>
  </si>
  <si>
    <t>The product SHALL provide an API to allow the application to notify Neptune to stop package download collection.</t>
  </si>
  <si>
    <t>The product SHALL retain any code acquired during the code download process if the application stops the package download, except in the case of power loss.</t>
  </si>
  <si>
    <t>The product SHALL resume code package download after the application starts/resumes the package download.</t>
  </si>
  <si>
    <t>The product SHALL discard the package download if the XML infoset file is updated prior the package update.</t>
  </si>
  <si>
    <t>The product SHALL discard the package download in the event of power loss.</t>
  </si>
  <si>
    <t>The product SHALL provide an API to allow the application to determine when the package download is complete and the new package update is ready for activation.</t>
  </si>
  <si>
    <t>The product SHALL provide an API to allow the application to activate the package update. (the application will reboot the STB to activate the code package update)</t>
  </si>
  <si>
    <t>The product SHALL provide an API to allow the application to remove all temporary files post-download and activation.</t>
  </si>
  <si>
    <t>x.5 iteration 2</t>
  </si>
  <si>
    <t>3/26/2019
PMR - Cleared PR 139250
PFS - Cleared PRs 139251, 139252, 139308, 139309</t>
  </si>
  <si>
    <t>The XML infoset file provides information used by the DSR to download packages located on a remote server. The XML file includes information on the package location and type (guide data, firmware images, channel maps, etc) and where and when to download them. The XML infoset file can be used for version control and status as well. The XML infoset file itself and the packages defined within it can be encrypted and signed for security purposes.</t>
  </si>
  <si>
    <t>TR-DSRSW-10000</t>
  </si>
  <si>
    <t>14.5 Shared DVR</t>
  </si>
  <si>
    <t>14.6 Shared DVR</t>
  </si>
  <si>
    <t>The product SHALL support support a DVR recording file format that is forward compatible with DVR append and split capability.</t>
  </si>
  <si>
    <t>The product SHALL stream a maximum of 3 HD pre-recorded streams, one per client set top box.</t>
  </si>
  <si>
    <t>The product SHALL provide a shared DVR function for up to 3 client set top boxes.</t>
  </si>
  <si>
    <t>The product shall use HLS as the transport container for each stream on the WLAN.</t>
  </si>
  <si>
    <t>FR-DSRSW-9100</t>
  </si>
  <si>
    <t>FR-DSRSW-9110</t>
  </si>
  <si>
    <t>FR-DSRSW-9120</t>
  </si>
  <si>
    <t>FR-DSRSW-9130</t>
  </si>
  <si>
    <t>FR-DSRSW-9140</t>
  </si>
  <si>
    <t>The product SHALL provide the ability to display play progress on the screen.</t>
  </si>
  <si>
    <t>The product SHALL support forward and backward relative jumping.</t>
  </si>
  <si>
    <t>The product SHALL provide a listing of recordings available for streaming from all DVRs on the LAN.</t>
  </si>
  <si>
    <t>The product SHALL use HLS as the transport protocol.</t>
  </si>
  <si>
    <t>14.5.4.2 Client</t>
  </si>
  <si>
    <t>14.5.4.1 DVR</t>
  </si>
  <si>
    <t>The product SHALL provide the catalog data necessary to construct a recorded content list available for streaming playback.</t>
  </si>
  <si>
    <t>The product SHALL provide a device discovery API to allow applications to determine when the DSR has joined the network or is leaving the network.</t>
  </si>
  <si>
    <t>14.5.1 Supported Streams Quality</t>
  </si>
  <si>
    <t>14.5.2 Supported Streams Quantity</t>
  </si>
  <si>
    <t>14.5.2.1 DVR</t>
  </si>
  <si>
    <t>14.5.2.2 Client</t>
  </si>
  <si>
    <t>14.5.3 Stream Transport</t>
  </si>
  <si>
    <t>14.5.4 Stream Encryption</t>
  </si>
  <si>
    <t>The product SHALL provide content at the same resolution as the local recorded copy.</t>
  </si>
  <si>
    <t xml:space="preserve">The product SHALL provide a playback enable state to allow streaming from the DVR. </t>
  </si>
  <si>
    <t xml:space="preserve">The product SHALL provide a playback disable state to prevent streaming from the DVR. </t>
  </si>
  <si>
    <t>The product SHALL provide a maximum 3 1080p streams, one to each client set top box.</t>
  </si>
  <si>
    <t>The product SHALL reject any additional request for a shared PVR stream from a client set top box when the maximum number of streams is reached.</t>
  </si>
  <si>
    <t>The product SHALL request a stream from a maximum of two (2) DVRs on the LAN.</t>
  </si>
  <si>
    <t>The product SHALL provide a notification on the requesting client if an additional streaming request is sent when the maximum number of streams is reached.</t>
  </si>
  <si>
    <t>The product SHALL provide an API to pass playback session status to other applications.</t>
  </si>
  <si>
    <t>The product SHALL update the catalog data when a recording has been deleted, started, in progress and completed.</t>
  </si>
  <si>
    <t>The product SHALL provide an API for a session keep alive function.</t>
  </si>
  <si>
    <t>The product SHALL provide an API for a session termination function.</t>
  </si>
  <si>
    <t>The product SHALL send a session termination indication when playback terminates at the end of the recording or when a recording is stopped via the user interface.</t>
  </si>
  <si>
    <t>The product SHALL support 2x, 4x and 16x fast forward skipping only.</t>
  </si>
  <si>
    <t>The product SHALL playback recordings that have been interupted by a power cycle or a VCO event.</t>
  </si>
  <si>
    <t>The product SHALL generate a keep alive indication once per minute.</t>
  </si>
  <si>
    <t>The product SHALL provide an API to allow display of an on-screen indication is tuner of PVR resources are not available for the requested recording.</t>
  </si>
  <si>
    <t>The product shall provide an API for unit uptime and unit address to applications for use in primary PVR scheduler determination.</t>
  </si>
  <si>
    <t xml:space="preserve">The product shall provide an API for monitoring the availability of the primary PVR scheduler. </t>
  </si>
  <si>
    <t>The product SHALL provide an API that allows for the selection, deletion and playback of recordings on the DVR on the user interface.</t>
  </si>
  <si>
    <t>The product SHALL provide an API to select the recording of a specific episode of a show or the entire series of a show and pass that selection to other applications such as the  PVR Master Scheduler.</t>
  </si>
  <si>
    <t>TR-DSRSW-10005</t>
  </si>
  <si>
    <t>TR-DSRSW-10010</t>
  </si>
  <si>
    <t>TR-DSRSW-10015</t>
  </si>
  <si>
    <t>TR-DSRSW-10020</t>
  </si>
  <si>
    <t>TR-DSRSW-10025</t>
  </si>
  <si>
    <t>TR-DSRSW-10030</t>
  </si>
  <si>
    <t>TR-DSRSW-10035</t>
  </si>
  <si>
    <t>TR-DSRSW-10040</t>
  </si>
  <si>
    <t>TR-DSRSW-10045</t>
  </si>
  <si>
    <t>TR-DSRSW-10050</t>
  </si>
  <si>
    <t>TR-DSRSW-10055</t>
  </si>
  <si>
    <t>TR-DSRSW-10060</t>
  </si>
  <si>
    <t>TR-DSRSW-10065</t>
  </si>
  <si>
    <t>TR-DSRSW-10070</t>
  </si>
  <si>
    <t>TR-DSRSW-10075</t>
  </si>
  <si>
    <t>TR-DSRSW-10080</t>
  </si>
  <si>
    <t>TR-DSRSW-10085</t>
  </si>
  <si>
    <t>TR-DSRSW-10090</t>
  </si>
  <si>
    <t>TR-DSRSW-10095</t>
  </si>
  <si>
    <t>TR-DSRSW-10100</t>
  </si>
  <si>
    <t>TR-DSRSW-10105</t>
  </si>
  <si>
    <t>TR-DSRSW-10110</t>
  </si>
  <si>
    <t>TR-DSRSW-10115</t>
  </si>
  <si>
    <t>TR-DSRSW-10120</t>
  </si>
  <si>
    <t>TR-DSRSW-10125</t>
  </si>
  <si>
    <t>TR-DSRSW-10130</t>
  </si>
  <si>
    <t>TR-DSRSW-10135</t>
  </si>
  <si>
    <t>TR-DSRSW-10140</t>
  </si>
  <si>
    <t>TR-DSRSW-10145</t>
  </si>
  <si>
    <t>TR-DSRSW-10150</t>
  </si>
  <si>
    <t>TR-DSRSW-10155</t>
  </si>
  <si>
    <t>TR-DSRSW-10160</t>
  </si>
  <si>
    <t>TR-DSRSW-10165</t>
  </si>
  <si>
    <t>TR-DSRSW-10170</t>
  </si>
  <si>
    <t>TR-DSRSW-10175</t>
  </si>
  <si>
    <t>TR-DSRSW-10180</t>
  </si>
  <si>
    <t>TR-DSRSW-10185</t>
  </si>
  <si>
    <t>TR-DSRSW-10190</t>
  </si>
  <si>
    <t>TR-DSRSW-10195</t>
  </si>
  <si>
    <t>TR-DSRSW-10200</t>
  </si>
  <si>
    <t>TR-DSRSW-10205</t>
  </si>
  <si>
    <t>TR-DSRSW-10210</t>
  </si>
  <si>
    <t>TR-DSRSW-10215</t>
  </si>
  <si>
    <t>TR-DSRSW-10220</t>
  </si>
  <si>
    <t>TR-DSRSW-10225</t>
  </si>
  <si>
    <t>TR-DSRSW-10230</t>
  </si>
  <si>
    <t>TR-DSRSW-10235</t>
  </si>
  <si>
    <t>TR-DSRSW-10240</t>
  </si>
  <si>
    <t>TR-DSRSW-10245</t>
  </si>
  <si>
    <t>TR-DSRSW-10250</t>
  </si>
  <si>
    <t>TR-DSRSW-10255</t>
  </si>
  <si>
    <t>TR-DSRSW-10260</t>
  </si>
  <si>
    <t>TR-DSRSW-10265</t>
  </si>
  <si>
    <t>TR-DSRSW-10270</t>
  </si>
  <si>
    <t>TR-DSRSW-10275</t>
  </si>
  <si>
    <t>TR-DSRSW-10280</t>
  </si>
  <si>
    <t>x.6 iteration 1</t>
  </si>
  <si>
    <t>The product shall provide trick play modes for each stream only (no slow motion).</t>
  </si>
  <si>
    <t>x.6</t>
  </si>
  <si>
    <t>FR-DSRSW-9150</t>
  </si>
  <si>
    <t>The product shall use IPRM/SMHN for DRM.</t>
  </si>
  <si>
    <t>The product SHALL encrypt each stream using HLS specified content encryption and keys generated by IPRM/SMHN.</t>
  </si>
  <si>
    <t>The product SHALL decrypt each stream using HLS specified content encryption and keys generated by IPRM/SMHN.</t>
  </si>
  <si>
    <t>The product SHALL check availability of tuner resources upon receipt of a recording request per section 14.5.2.1.</t>
  </si>
  <si>
    <t>The product SHALL check availability of PVR resources upon receipt of a recording request per section 14.5.2.1.</t>
  </si>
  <si>
    <t>14.5.5 Device Discovery</t>
  </si>
  <si>
    <t>14.5.6 User Interface</t>
  </si>
  <si>
    <t>14.5.6.1 DVR</t>
  </si>
  <si>
    <t>14.5.6.2 Client</t>
  </si>
  <si>
    <t>14.5.7 Playback</t>
  </si>
  <si>
    <t>14.5.7.2 Playback Network Disconnect</t>
  </si>
  <si>
    <t>14.5.7.2.1 DVR</t>
  </si>
  <si>
    <t>14.5.7.2.2 Client</t>
  </si>
  <si>
    <t>14.5.7.3 PVR Scheduling</t>
  </si>
  <si>
    <t>14.5.7.3.1 DVR</t>
  </si>
  <si>
    <t>The product SHALL support a multi-room playback resume function.</t>
  </si>
  <si>
    <t>14.5.7.1 Trick Play Support - DVR and Client</t>
  </si>
  <si>
    <t>The product SHALL support applications via the ARRIS Neptune API.</t>
  </si>
  <si>
    <t xml:space="preserve">Network QoS must be considered when IP traffic or varying types are transmitted simultaneously across the network. The typical way to manage this is to use DSCP settings in the IP header to prioritize, for example, video streams over IP download activity. The Wireless DSRxxx must be able to set the 6 DSCP bit values in its out-going IP traffic in such a way as to ensure that upstream servers receive packets such as TCP ACKs and IGMP joins in a timely manner. In this case the DSR must set the DSCP bits such that the Wi-Fi driver puts the out-going IP packets into the AC_VI (video) WMM queue. </t>
  </si>
  <si>
    <t>The product SHALL provide an indication when it has lost connection to the network.</t>
  </si>
  <si>
    <t>The product SHALL provide an indication when 10 playback segments fail to be retrieved.</t>
  </si>
  <si>
    <t>The product SHALL provide as a minimum the recording location, information such as duration, start and stop time and current recording state.</t>
  </si>
  <si>
    <t>9/20/2019
PMR - Added section 14.6 - Shared PVR
PFS - Added section 14.5 - Shared PVR</t>
  </si>
  <si>
    <t>x.6 iteration 2</t>
  </si>
  <si>
    <t>x.6 iteration 3</t>
  </si>
  <si>
    <t>8/20/2019
Iteration 3
1. Cleared PR 140981 - renumbered 14.5
2. Cleared PR 140983 - modified TR-DSRSW-10170
3. Cleared PR 140984 - deleted TR-DSRSW-10255, -10260
4. Deleted TR-DSRSW-10065
5. Modified header "14.5.7.1 Trick Play Support - DVR and Client" and TR-DSRSW-10205</t>
  </si>
  <si>
    <t>7/2/2019
Iteration 2
1. Cleared PR 140568 - added FR-DSRSW-9150 and modified TR-DSRSW-10110 and TR-DSRSW-10120
2. Cleared PR 140569
3. Cleared PR 140570</t>
  </si>
  <si>
    <t>08/21/2019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</si>
</sst>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0"/>
      <name val="Arial"/>
      <family val="2"/>
    </font>
    <font>
      <b/>
      <sz val="11"/>
      <color theme="1"/>
      <name val="Calibri"/>
      <family val="2"/>
      <scheme val="minor"/>
    </font>
    <font>
      <sz val="12"/>
      <name val="Calibri"/>
      <family val="2"/>
      <scheme val="minor"/>
    </font>
    <font>
      <sz val="12"/>
      <color theme="1"/>
      <name val="Calibri"/>
      <family val="2"/>
      <scheme val="minor"/>
    </font>
    <font>
      <b/>
      <sz val="12"/>
      <name val="Calibri"/>
      <family val="2"/>
      <scheme val="minor"/>
    </font>
    <font>
      <sz val="11"/>
      <color rgb="FF0070C0"/>
      <name val="Calibri"/>
      <family val="2"/>
      <scheme val="minor"/>
    </font>
    <font>
      <b/>
      <sz val="11"/>
      <name val="Calibri"/>
      <family val="2"/>
      <scheme val="minor"/>
    </font>
    <font>
      <sz val="11"/>
      <color rgb="FFC00000"/>
      <name val="Calibri"/>
      <family val="2"/>
      <scheme val="minor"/>
    </font>
    <font>
      <sz val="11"/>
      <name val="Calibri"/>
      <family val="2"/>
      <scheme val="minor"/>
    </font>
    <font>
      <u/>
      <sz val="11"/>
      <color theme="1"/>
      <name val="Calibri"/>
      <family val="2"/>
      <scheme val="minor"/>
    </font>
    <font>
      <i/>
      <sz val="11"/>
      <color theme="1"/>
      <name val="Calibri"/>
      <family val="2"/>
      <scheme val="minor"/>
    </font>
    <font>
      <b/>
      <i/>
      <sz val="11"/>
      <color rgb="FFFF0000"/>
      <name val="Calibri"/>
      <family val="2"/>
      <scheme val="minor"/>
    </font>
    <font>
      <b/>
      <i/>
      <u/>
      <sz val="11"/>
      <color rgb="FFFF0000"/>
      <name val="Calibri"/>
      <family val="2"/>
    </font>
    <font>
      <strike/>
      <sz val="11"/>
      <color theme="1"/>
      <name val="Calibri"/>
      <family val="2"/>
      <scheme val="minor"/>
    </font>
    <font>
      <b/>
      <sz val="11"/>
      <color rgb="FFFF0000"/>
      <name val="Calibri"/>
      <family val="2"/>
      <scheme val="minor"/>
    </font>
    <font>
      <b/>
      <i/>
      <sz val="14"/>
      <color rgb="FFFF0000"/>
      <name val="Calibri"/>
      <family val="2"/>
      <scheme val="minor"/>
    </font>
    <font>
      <strike/>
      <sz val="11"/>
      <color rgb="FFFF0000"/>
      <name val="Calibri"/>
      <family val="2"/>
      <scheme val="minor"/>
    </font>
    <font>
      <u/>
      <sz val="11"/>
      <color rgb="FF0000FF"/>
      <name val="Calibri"/>
      <family val="2"/>
      <scheme val="minor"/>
    </font>
    <font>
      <b/>
      <sz val="12"/>
      <color rgb="FFC00000"/>
      <name val="Calibri"/>
      <family val="2"/>
      <scheme val="minor"/>
    </font>
    <font>
      <b/>
      <sz val="11"/>
      <color rgb="FF0000FF"/>
      <name val="Calibri"/>
      <family val="2"/>
      <scheme val="minor"/>
    </font>
    <font>
      <sz val="11"/>
      <color rgb="FF0000FF"/>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ck">
        <color auto="1"/>
      </left>
      <right style="thick">
        <color auto="1"/>
      </right>
      <top style="thick">
        <color auto="1"/>
      </top>
      <bottom style="thick">
        <color auto="1"/>
      </bottom>
      <diagonal/>
    </border>
  </borders>
  <cellStyleXfs count="2">
    <xf numFmtId="0" fontId="0" fillId="0" borderId="0"/>
    <xf numFmtId="0" fontId="1" fillId="0" borderId="0">
      <alignment vertical="center"/>
    </xf>
  </cellStyleXfs>
  <cellXfs count="65">
    <xf numFmtId="0" fontId="0" fillId="0" borderId="0" xfId="0"/>
    <xf numFmtId="0" fontId="0" fillId="0" borderId="0" xfId="0" applyBorder="1"/>
    <xf numFmtId="0" fontId="0" fillId="0" borderId="0" xfId="0" applyBorder="1" applyAlignment="1">
      <alignment wrapText="1"/>
    </xf>
    <xf numFmtId="0" fontId="3" fillId="0" borderId="1" xfId="1" applyFont="1" applyBorder="1" applyAlignment="1">
      <alignment vertical="center"/>
    </xf>
    <xf numFmtId="49" fontId="3" fillId="0" borderId="1" xfId="1" applyNumberFormat="1" applyFont="1" applyBorder="1" applyAlignment="1">
      <alignment vertical="top" wrapText="1"/>
    </xf>
    <xf numFmtId="0" fontId="4" fillId="0" borderId="0" xfId="0" applyFont="1"/>
    <xf numFmtId="0" fontId="0" fillId="0" borderId="0" xfId="0" applyAlignment="1">
      <alignment wrapText="1"/>
    </xf>
    <xf numFmtId="0" fontId="0" fillId="0" borderId="0" xfId="0" applyAlignment="1">
      <alignment vertical="top" wrapText="1"/>
    </xf>
    <xf numFmtId="0" fontId="2" fillId="0" borderId="0" xfId="0" applyFont="1" applyAlignment="1">
      <alignment wrapText="1"/>
    </xf>
    <xf numFmtId="0" fontId="2" fillId="0" borderId="0" xfId="0" applyFont="1"/>
    <xf numFmtId="0" fontId="6" fillId="0" borderId="0" xfId="0" applyFont="1" applyAlignment="1">
      <alignment vertical="top" wrapText="1"/>
    </xf>
    <xf numFmtId="0" fontId="0" fillId="0" borderId="0" xfId="0" applyAlignment="1">
      <alignment horizontal="left" vertical="top" wrapText="1"/>
    </xf>
    <xf numFmtId="0" fontId="0" fillId="0" borderId="0" xfId="0" applyAlignment="1">
      <alignment horizontal="left" vertical="top" wrapText="1" indent="2"/>
    </xf>
    <xf numFmtId="0" fontId="0" fillId="0" borderId="0" xfId="0" applyAlignment="1">
      <alignment horizontal="left" vertical="top" wrapText="1" indent="4"/>
    </xf>
    <xf numFmtId="0" fontId="0" fillId="0" borderId="0" xfId="0" applyAlignment="1">
      <alignment horizontal="left" vertical="top" wrapText="1" indent="6"/>
    </xf>
    <xf numFmtId="0" fontId="7" fillId="0" borderId="0" xfId="0" applyFont="1" applyAlignment="1">
      <alignment vertical="top" wrapText="1"/>
    </xf>
    <xf numFmtId="0" fontId="7" fillId="0" borderId="0" xfId="0" applyFont="1" applyAlignment="1">
      <alignment horizontal="left" vertical="top" wrapText="1"/>
    </xf>
    <xf numFmtId="0" fontId="7" fillId="0" borderId="0" xfId="0" applyFont="1" applyAlignment="1">
      <alignment wrapText="1"/>
    </xf>
    <xf numFmtId="0" fontId="8" fillId="0" borderId="0" xfId="0" applyFont="1" applyAlignment="1">
      <alignment vertical="top" wrapText="1"/>
    </xf>
    <xf numFmtId="0" fontId="9" fillId="0" borderId="0" xfId="0" applyFont="1" applyAlignment="1">
      <alignment vertical="top" wrapText="1"/>
    </xf>
    <xf numFmtId="0" fontId="2" fillId="0" borderId="0" xfId="0" applyFont="1" applyAlignment="1">
      <alignment horizontal="left" vertical="top" wrapText="1"/>
    </xf>
    <xf numFmtId="0" fontId="0" fillId="0" borderId="0" xfId="0" applyFont="1" applyAlignment="1">
      <alignment horizontal="left" vertical="top" wrapText="1" indent="1"/>
    </xf>
    <xf numFmtId="0" fontId="7" fillId="0" borderId="0" xfId="0" applyFont="1"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vertical="center"/>
    </xf>
    <xf numFmtId="0" fontId="2" fillId="0" borderId="0" xfId="0" applyFont="1" applyAlignment="1">
      <alignment vertical="top" wrapText="1"/>
    </xf>
    <xf numFmtId="0" fontId="12" fillId="0" borderId="0" xfId="0" applyFont="1" applyAlignment="1">
      <alignment horizontal="left" vertical="top" wrapText="1" indent="1"/>
    </xf>
    <xf numFmtId="0" fontId="0" fillId="0" borderId="0" xfId="0" applyAlignment="1">
      <alignment vertical="top"/>
    </xf>
    <xf numFmtId="0" fontId="0" fillId="0" borderId="0" xfId="0"/>
    <xf numFmtId="0" fontId="4" fillId="0" borderId="1" xfId="0" applyFont="1" applyBorder="1" applyAlignment="1">
      <alignment vertical="top" wrapText="1"/>
    </xf>
    <xf numFmtId="0" fontId="0" fillId="0" borderId="0" xfId="0" applyAlignment="1">
      <alignment wrapText="1"/>
    </xf>
    <xf numFmtId="0" fontId="0" fillId="0" borderId="0" xfId="0" applyAlignment="1">
      <alignment vertical="top" wrapText="1"/>
    </xf>
    <xf numFmtId="0" fontId="6" fillId="0" borderId="0" xfId="0" applyFont="1" applyAlignment="1">
      <alignment vertical="top" wrapText="1"/>
    </xf>
    <xf numFmtId="0" fontId="0" fillId="0" borderId="0" xfId="0" applyAlignment="1">
      <alignment horizontal="left" vertical="top" wrapText="1"/>
    </xf>
    <xf numFmtId="0" fontId="0" fillId="0" borderId="0" xfId="0" applyAlignment="1">
      <alignment horizontal="left" vertical="top" wrapText="1" indent="2"/>
    </xf>
    <xf numFmtId="0" fontId="0" fillId="0" borderId="0" xfId="0" applyAlignment="1">
      <alignment horizontal="left" vertical="top" wrapText="1" indent="4"/>
    </xf>
    <xf numFmtId="0" fontId="0" fillId="0" borderId="0" xfId="0" applyAlignment="1">
      <alignment horizontal="left" vertical="top" wrapText="1" indent="8"/>
    </xf>
    <xf numFmtId="0" fontId="9" fillId="0" borderId="0" xfId="0" applyFont="1" applyAlignment="1">
      <alignment vertical="top" wrapText="1"/>
    </xf>
    <xf numFmtId="0" fontId="0" fillId="0" borderId="0" xfId="0" applyAlignment="1">
      <alignment horizontal="left" vertical="top" wrapText="1" indent="6"/>
    </xf>
    <xf numFmtId="0" fontId="7" fillId="0" borderId="0" xfId="0" applyNumberFormat="1" applyFont="1" applyAlignment="1">
      <alignment wrapText="1"/>
    </xf>
    <xf numFmtId="0" fontId="0" fillId="0" borderId="0" xfId="0" applyNumberFormat="1" applyAlignment="1">
      <alignment wrapText="1"/>
    </xf>
    <xf numFmtId="0" fontId="0" fillId="0" borderId="0" xfId="0" applyAlignment="1">
      <alignment horizontal="center" vertical="top" wrapText="1"/>
    </xf>
    <xf numFmtId="0" fontId="16" fillId="0" borderId="5" xfId="0" applyFont="1" applyBorder="1" applyAlignment="1">
      <alignment horizontal="left" vertical="top" wrapText="1" indent="1"/>
    </xf>
    <xf numFmtId="0" fontId="15" fillId="0" borderId="0" xfId="0" applyFont="1" applyAlignment="1">
      <alignment vertical="top" wrapText="1"/>
    </xf>
    <xf numFmtId="0" fontId="15" fillId="0" borderId="6" xfId="0" applyFont="1" applyBorder="1" applyAlignment="1">
      <alignment vertical="top" wrapText="1"/>
    </xf>
    <xf numFmtId="0" fontId="15" fillId="0" borderId="0" xfId="0" applyFont="1" applyBorder="1" applyAlignment="1">
      <alignment vertical="top" wrapText="1"/>
    </xf>
    <xf numFmtId="0" fontId="18" fillId="0" borderId="0" xfId="0" applyFont="1" applyAlignment="1">
      <alignment horizontal="left" vertical="top" wrapText="1"/>
    </xf>
    <xf numFmtId="0" fontId="4" fillId="0" borderId="3" xfId="0" applyFont="1" applyBorder="1"/>
    <xf numFmtId="0" fontId="4" fillId="0" borderId="4" xfId="0" applyFont="1" applyBorder="1"/>
    <xf numFmtId="0" fontId="19" fillId="0" borderId="4" xfId="0" applyFont="1" applyBorder="1" applyAlignment="1">
      <alignment horizontal="center"/>
    </xf>
    <xf numFmtId="0" fontId="4" fillId="0" borderId="4" xfId="0" applyFont="1" applyBorder="1" applyAlignment="1">
      <alignment horizontal="center"/>
    </xf>
    <xf numFmtId="0" fontId="4" fillId="0" borderId="1" xfId="0" applyFont="1" applyBorder="1"/>
    <xf numFmtId="0" fontId="4" fillId="0" borderId="1" xfId="0" applyFont="1" applyBorder="1" applyAlignment="1">
      <alignment wrapText="1"/>
    </xf>
    <xf numFmtId="0" fontId="4" fillId="0" borderId="2" xfId="0" applyFont="1" applyBorder="1"/>
    <xf numFmtId="14" fontId="4" fillId="0" borderId="1" xfId="0" applyNumberFormat="1" applyFont="1" applyBorder="1" applyAlignment="1">
      <alignment wrapText="1"/>
    </xf>
    <xf numFmtId="14" fontId="0" fillId="0" borderId="1" xfId="0" applyNumberFormat="1" applyBorder="1" applyAlignment="1">
      <alignment horizontal="left" vertical="top" wrapText="1"/>
    </xf>
    <xf numFmtId="0" fontId="20" fillId="0" borderId="0" xfId="0" applyFont="1" applyAlignment="1">
      <alignment horizontal="left" vertical="top" wrapText="1" indent="4"/>
    </xf>
    <xf numFmtId="0" fontId="21" fillId="0" borderId="0" xfId="0" applyFont="1" applyAlignment="1">
      <alignment horizontal="left" vertical="top" wrapText="1" indent="4"/>
    </xf>
    <xf numFmtId="0" fontId="9" fillId="0" borderId="0" xfId="0" applyFont="1" applyAlignment="1">
      <alignment horizontal="left" vertical="top" wrapText="1" indent="2"/>
    </xf>
    <xf numFmtId="0" fontId="9" fillId="0" borderId="0" xfId="0" applyFont="1" applyAlignment="1">
      <alignment wrapText="1"/>
    </xf>
    <xf numFmtId="0" fontId="20" fillId="0" borderId="0" xfId="0" applyFont="1" applyAlignment="1">
      <alignment horizontal="left" vertical="top" wrapText="1" indent="6"/>
    </xf>
    <xf numFmtId="0" fontId="21" fillId="0" borderId="0" xfId="0" applyFont="1" applyAlignment="1">
      <alignment horizontal="left" vertical="top" wrapText="1" indent="6"/>
    </xf>
    <xf numFmtId="0" fontId="4" fillId="0" borderId="1" xfId="0" applyFont="1" applyFill="1" applyBorder="1" applyAlignment="1">
      <alignment vertical="top" wrapText="1"/>
    </xf>
    <xf numFmtId="0" fontId="0" fillId="0" borderId="1" xfId="0" applyBorder="1" applyAlignment="1">
      <alignment wrapText="1"/>
    </xf>
    <xf numFmtId="0" fontId="5" fillId="0" borderId="1" xfId="1" applyFont="1" applyFill="1" applyBorder="1" applyAlignment="1">
      <alignment horizontal="center" vertical="center"/>
    </xf>
  </cellXfs>
  <cellStyles count="2">
    <cellStyle name="Normal" xfId="0" builtinId="0"/>
    <cellStyle name="Normal_Sheet1" xfId="1" xr:uid="{00000000-0005-0000-0000-000001000000}"/>
  </cellStyles>
  <dxfs count="267">
    <dxf>
      <font>
        <b/>
        <i val="0"/>
      </font>
    </dxf>
    <dxf>
      <font>
        <color rgb="FF0070C0"/>
      </font>
    </dxf>
    <dxf>
      <font>
        <color rgb="FFFF0000"/>
      </font>
    </dxf>
    <dxf>
      <font>
        <color rgb="FF0070C0"/>
      </font>
    </dxf>
    <dxf>
      <font>
        <color rgb="FFFF0000"/>
      </font>
    </dxf>
    <dxf>
      <font>
        <b/>
        <i val="0"/>
      </font>
    </dxf>
    <dxf>
      <font>
        <color theme="9" tint="-0.24994659260841701"/>
      </font>
    </dxf>
    <dxf>
      <font>
        <color rgb="FF0070C0"/>
      </font>
    </dxf>
    <dxf>
      <font>
        <color theme="9" tint="-0.24994659260841701"/>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color theme="9" tint="-0.24994659260841701"/>
      </font>
    </dxf>
    <dxf>
      <font>
        <color rgb="FF0070C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b/>
        <i val="0"/>
      </font>
    </dxf>
    <dxf>
      <font>
        <strike/>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b/>
        <i val="0"/>
      </font>
    </dxf>
    <dxf>
      <font>
        <strike/>
      </font>
    </dxf>
    <dxf>
      <font>
        <color rgb="FFFF0000"/>
      </font>
    </dxf>
    <dxf>
      <font>
        <b/>
        <i val="0"/>
      </font>
    </dxf>
    <dxf>
      <font>
        <strike/>
      </font>
    </dxf>
    <dxf>
      <font>
        <color theme="9" tint="-0.24994659260841701"/>
      </font>
    </dxf>
    <dxf>
      <font>
        <color rgb="FF0070C0"/>
      </font>
    </dxf>
    <dxf>
      <font>
        <b/>
        <i val="0"/>
      </font>
    </dxf>
    <dxf>
      <font>
        <strike/>
      </font>
    </dxf>
    <dxf>
      <font>
        <b/>
        <i val="0"/>
      </font>
    </dxf>
    <dxf>
      <font>
        <strike/>
      </font>
    </dxf>
    <dxf>
      <font>
        <b/>
        <i val="0"/>
      </font>
    </dxf>
    <dxf>
      <font>
        <strike/>
      </font>
    </dxf>
    <dxf>
      <font>
        <color theme="9" tint="-0.24994659260841701"/>
      </font>
    </dxf>
    <dxf>
      <font>
        <color rgb="FF0070C0"/>
      </font>
    </dxf>
    <dxf>
      <font>
        <color rgb="FFFF0000"/>
      </font>
    </dxf>
    <dxf>
      <font>
        <b/>
        <i val="0"/>
      </font>
    </dxf>
    <dxf>
      <font>
        <color rgb="FFFF0000"/>
      </font>
    </dxf>
    <dxf>
      <font>
        <strike/>
      </font>
    </dxf>
    <dxf>
      <font>
        <strike/>
      </font>
    </dxf>
    <dxf>
      <font>
        <strike/>
      </font>
    </dxf>
    <dxf>
      <font>
        <color theme="9" tint="-0.24994659260841701"/>
      </font>
    </dxf>
    <dxf>
      <font>
        <color rgb="FF0070C0"/>
      </font>
    </dxf>
    <dxf>
      <font>
        <b/>
        <i val="0"/>
      </font>
    </dxf>
    <dxf>
      <font>
        <color rgb="FFFF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0070C0"/>
      </font>
    </dxf>
    <dxf>
      <font>
        <color theme="9" tint="-0.24994659260841701"/>
      </font>
    </dxf>
    <dxf>
      <font>
        <color rgb="FF0070C0"/>
      </font>
    </dxf>
    <dxf>
      <font>
        <strike/>
      </font>
    </dxf>
    <dxf>
      <font>
        <color theme="9" tint="-0.24994659260841701"/>
      </font>
    </dxf>
    <dxf>
      <font>
        <color rgb="FF0070C0"/>
      </font>
    </dxf>
    <dxf>
      <font>
        <strike/>
      </font>
    </dxf>
    <dxf>
      <font>
        <color theme="9" tint="-0.24994659260841701"/>
      </font>
    </dxf>
    <dxf>
      <font>
        <color rgb="FF0070C0"/>
      </font>
    </dxf>
    <dxf>
      <font>
        <b/>
        <i val="0"/>
      </font>
    </dxf>
    <dxf>
      <font>
        <strike/>
      </font>
    </dxf>
    <dxf>
      <font>
        <color theme="9" tint="-0.24994659260841701"/>
      </font>
    </dxf>
    <dxf>
      <font>
        <color rgb="FF0070C0"/>
      </font>
    </dxf>
    <dxf>
      <font>
        <b/>
        <i val="0"/>
      </font>
    </dxf>
    <dxf>
      <font>
        <strike/>
      </font>
    </dxf>
    <dxf>
      <font>
        <color theme="9" tint="-0.24994659260841701"/>
      </font>
    </dxf>
    <dxf>
      <font>
        <color rgb="FF0070C0"/>
      </font>
    </dxf>
    <dxf>
      <font>
        <b/>
        <i val="0"/>
      </font>
    </dxf>
    <dxf>
      <font>
        <strike/>
      </font>
    </dxf>
    <dxf>
      <font>
        <strike/>
      </font>
    </dxf>
    <dxf>
      <font>
        <color theme="9" tint="-0.24994659260841701"/>
      </font>
    </dxf>
    <dxf>
      <font>
        <color rgb="FF0070C0"/>
      </font>
    </dxf>
    <dxf>
      <font>
        <b/>
        <i val="0"/>
      </font>
    </dxf>
    <dxf>
      <font>
        <strike/>
      </font>
    </dxf>
    <dxf>
      <font>
        <strike/>
      </font>
    </dxf>
    <dxf>
      <font>
        <strike/>
      </font>
    </dxf>
    <dxf>
      <font>
        <color theme="9" tint="-0.24994659260841701"/>
      </font>
    </dxf>
    <dxf>
      <font>
        <color rgb="FF0070C0"/>
      </font>
    </dxf>
    <dxf>
      <font>
        <b/>
        <i val="0"/>
      </font>
    </dxf>
    <dxf>
      <font>
        <strike/>
      </font>
    </dxf>
    <dxf>
      <font>
        <strike/>
      </font>
    </dxf>
    <dxf>
      <font>
        <strike/>
      </font>
    </dxf>
    <dxf>
      <font>
        <strike/>
      </font>
    </dxf>
    <dxf>
      <font>
        <color theme="9" tint="-0.24994659260841701"/>
      </font>
    </dxf>
    <dxf>
      <font>
        <color rgb="FF0070C0"/>
      </font>
    </dxf>
    <dxf>
      <font>
        <b/>
        <i val="0"/>
      </font>
    </dxf>
    <dxf>
      <font>
        <strike/>
      </font>
    </dxf>
    <dxf>
      <font>
        <color theme="9" tint="-0.24994659260841701"/>
      </font>
    </dxf>
    <dxf>
      <font>
        <color rgb="FF0070C0"/>
      </font>
    </dxf>
    <dxf>
      <font>
        <b/>
        <i val="0"/>
      </font>
    </dxf>
    <dxf>
      <font>
        <color theme="9" tint="-0.24994659260841701"/>
      </font>
    </dxf>
    <dxf>
      <font>
        <color rgb="FF0070C0"/>
      </font>
    </dxf>
    <dxf>
      <font>
        <strike/>
      </font>
    </dxf>
    <dxf>
      <font>
        <b/>
        <i val="0"/>
      </font>
    </dxf>
    <dxf>
      <font>
        <strike/>
      </font>
    </dxf>
    <dxf>
      <font>
        <color theme="9" tint="-0.24994659260841701"/>
      </font>
    </dxf>
    <dxf>
      <font>
        <color theme="9" tint="-0.24994659260841701"/>
      </font>
    </dxf>
    <dxf>
      <font>
        <color rgb="FF0070C0"/>
      </font>
    </dxf>
    <dxf>
      <font>
        <color rgb="FFFF0000"/>
      </font>
    </dxf>
    <dxf>
      <font>
        <b/>
        <i val="0"/>
      </font>
    </dxf>
    <dxf>
      <font>
        <b/>
        <i val="0"/>
      </font>
    </dxf>
    <dxf>
      <font>
        <strike/>
      </font>
    </dxf>
    <dxf>
      <font>
        <b/>
        <i val="0"/>
      </font>
    </dxf>
    <dxf>
      <font>
        <strike/>
      </font>
    </dxf>
    <dxf>
      <font>
        <color theme="9" tint="-0.24994659260841701"/>
      </font>
    </dxf>
    <dxf>
      <font>
        <color theme="9" tint="-0.24994659260841701"/>
      </font>
    </dxf>
    <dxf>
      <font>
        <color rgb="FF0070C0"/>
      </font>
    </dxf>
    <dxf>
      <font>
        <color rgb="FFFF0000"/>
      </font>
    </dxf>
    <dxf>
      <font>
        <b/>
        <i val="0"/>
      </font>
    </dxf>
    <dxf>
      <font>
        <strike/>
      </font>
    </dxf>
    <dxf>
      <font>
        <color theme="9" tint="-0.24994659260841701"/>
      </font>
    </dxf>
    <dxf>
      <font>
        <color theme="9" tint="-0.24994659260841701"/>
      </font>
    </dxf>
    <dxf>
      <font>
        <color rgb="FF0070C0"/>
      </font>
    </dxf>
    <dxf>
      <font>
        <color rgb="FFFF0000"/>
      </font>
    </dxf>
    <dxf>
      <font>
        <b/>
        <i val="0"/>
      </font>
    </dxf>
    <dxf>
      <font>
        <strike/>
      </font>
    </dxf>
    <dxf>
      <font>
        <color theme="9" tint="-0.24994659260841701"/>
      </font>
    </dxf>
    <dxf>
      <font>
        <color theme="9" tint="-0.24994659260841701"/>
      </font>
    </dxf>
    <dxf>
      <font>
        <color rgb="FF0070C0"/>
      </font>
    </dxf>
    <dxf>
      <font>
        <color rgb="FFFF0000"/>
      </font>
    </dxf>
    <dxf>
      <font>
        <b/>
        <i val="0"/>
      </font>
    </dxf>
    <dxf>
      <font>
        <color rgb="FF0070C0"/>
      </font>
    </dxf>
    <dxf>
      <font>
        <color rgb="FFFF0000"/>
      </font>
    </dxf>
    <dxf>
      <font>
        <b/>
        <i val="0"/>
      </font>
    </dxf>
    <dxf>
      <font>
        <color theme="9" tint="-0.24994659260841701"/>
      </font>
    </dxf>
    <dxf>
      <font>
        <color rgb="FFFF0000"/>
      </font>
    </dxf>
    <dxf>
      <font>
        <color theme="9" tint="-0.24994659260841701"/>
      </font>
    </dxf>
    <dxf>
      <font>
        <color rgb="FF0070C0"/>
      </font>
    </dxf>
    <dxf>
      <font>
        <b/>
        <i val="0"/>
      </font>
    </dxf>
    <dxf>
      <font>
        <b/>
        <i val="0"/>
      </font>
    </dxf>
    <dxf>
      <font>
        <b/>
        <i val="0"/>
      </font>
    </dxf>
    <dxf>
      <font>
        <color rgb="FFFF0000"/>
      </font>
    </dxf>
    <dxf>
      <font>
        <color rgb="FF0070C0"/>
      </font>
    </dxf>
    <dxf>
      <font>
        <b/>
        <i val="0"/>
      </font>
    </dxf>
    <dxf>
      <font>
        <color theme="9" tint="-0.24994659260841701"/>
      </font>
    </dxf>
    <dxf>
      <font>
        <color theme="9" tint="-0.24994659260841701"/>
      </font>
    </dxf>
    <dxf>
      <font>
        <color theme="9" tint="-0.24994659260841701"/>
      </font>
    </dxf>
    <dxf>
      <font>
        <color rgb="FFFF0000"/>
      </font>
    </dxf>
    <dxf>
      <font>
        <color rgb="FF0070C0"/>
      </font>
    </dxf>
    <dxf>
      <font>
        <b/>
        <i val="0"/>
      </font>
    </dxf>
    <dxf>
      <font>
        <color theme="9" tint="-0.24994659260841701"/>
      </font>
    </dxf>
    <dxf>
      <font>
        <color theme="9" tint="-0.24994659260841701"/>
      </font>
    </dxf>
    <dxf>
      <font>
        <color rgb="FFFF0000"/>
      </font>
    </dxf>
    <dxf>
      <font>
        <color rgb="FF0070C0"/>
      </font>
    </dxf>
    <dxf>
      <font>
        <b/>
        <i val="0"/>
      </font>
    </dxf>
    <dxf>
      <font>
        <b/>
        <i val="0"/>
      </font>
    </dxf>
    <dxf>
      <font>
        <color theme="9" tint="-0.24994659260841701"/>
      </font>
    </dxf>
    <dxf>
      <font>
        <color rgb="FF0070C0"/>
      </font>
    </dxf>
    <dxf>
      <font>
        <color theme="9" tint="-0.24994659260841701"/>
      </font>
    </dxf>
    <dxf>
      <font>
        <color rgb="FF0070C0"/>
      </font>
    </dxf>
    <dxf>
      <font>
        <b/>
        <i val="0"/>
      </font>
    </dxf>
    <dxf>
      <font>
        <color theme="9" tint="-0.24994659260841701"/>
      </font>
    </dxf>
    <dxf>
      <font>
        <color theme="9" tint="-0.24994659260841701"/>
      </font>
    </dxf>
    <dxf>
      <font>
        <color theme="9" tint="-0.24994659260841701"/>
      </font>
    </dxf>
    <dxf>
      <font>
        <color rgb="FFFF0000"/>
      </font>
    </dxf>
    <dxf>
      <font>
        <color rgb="FF0070C0"/>
      </font>
    </dxf>
    <dxf>
      <font>
        <b/>
        <i val="0"/>
      </font>
    </dxf>
    <dxf>
      <font>
        <b/>
        <i val="0"/>
      </font>
    </dxf>
    <dxf>
      <font>
        <b/>
        <i val="0"/>
      </font>
    </dxf>
    <dxf>
      <font>
        <color theme="9" tint="-0.24994659260841701"/>
      </font>
    </dxf>
    <dxf>
      <font>
        <color theme="9" tint="-0.24994659260841701"/>
      </font>
    </dxf>
    <dxf>
      <font>
        <color rgb="FFFF0000"/>
      </font>
    </dxf>
    <dxf>
      <font>
        <color rgb="FF0070C0"/>
      </font>
    </dxf>
    <dxf>
      <font>
        <b/>
        <i val="0"/>
      </font>
    </dxf>
    <dxf>
      <font>
        <b/>
        <i val="0"/>
      </font>
    </dxf>
    <dxf>
      <font>
        <color theme="9" tint="-0.24994659260841701"/>
      </font>
    </dxf>
    <dxf>
      <font>
        <color rgb="FF0070C0"/>
      </font>
    </dxf>
    <dxf>
      <font>
        <color theme="9" tint="-0.24994659260841701"/>
      </font>
    </dxf>
    <dxf>
      <font>
        <color rgb="FF0070C0"/>
      </font>
    </dxf>
    <dxf>
      <font>
        <b/>
        <i val="0"/>
      </font>
    </dxf>
    <dxf>
      <font>
        <color theme="9" tint="-0.24994659260841701"/>
      </font>
    </dxf>
    <dxf>
      <font>
        <color rgb="FF0070C0"/>
      </font>
    </dxf>
    <dxf>
      <font>
        <b/>
        <i val="0"/>
      </font>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2218504</xdr:colOff>
      <xdr:row>0</xdr:row>
      <xdr:rowOff>143435</xdr:rowOff>
    </xdr:from>
    <xdr:to>
      <xdr:col>2</xdr:col>
      <xdr:colOff>5218879</xdr:colOff>
      <xdr:row>3</xdr:row>
      <xdr:rowOff>170778</xdr:rowOff>
    </xdr:to>
    <xdr:pic>
      <xdr:nvPicPr>
        <xdr:cNvPr id="4" name="Picture 3" descr="arrislogo_2013">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1" cstate="print"/>
        <a:stretch>
          <a:fillRect/>
        </a:stretch>
      </xdr:blipFill>
      <xdr:spPr>
        <a:xfrm>
          <a:off x="6443122" y="143435"/>
          <a:ext cx="3000375" cy="84940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23"/>
  <sheetViews>
    <sheetView tabSelected="1" zoomScale="85" zoomScaleNormal="85" workbookViewId="0">
      <selection activeCell="A6" sqref="A6"/>
    </sheetView>
  </sheetViews>
  <sheetFormatPr defaultRowHeight="15" x14ac:dyDescent="0.25"/>
  <cols>
    <col min="1" max="1" width="28.42578125" style="1" customWidth="1"/>
    <col min="2" max="2" width="35" style="2" customWidth="1"/>
    <col min="3" max="3" width="115" style="1" customWidth="1"/>
  </cols>
  <sheetData>
    <row r="1" spans="1:3" ht="31.5" x14ac:dyDescent="0.25">
      <c r="A1" s="3" t="s">
        <v>0</v>
      </c>
      <c r="B1" s="4" t="s">
        <v>3668</v>
      </c>
      <c r="C1" s="47"/>
    </row>
    <row r="2" spans="1:3" ht="15.75" x14ac:dyDescent="0.25">
      <c r="A2" s="3" t="s">
        <v>1</v>
      </c>
      <c r="B2" s="5" t="s">
        <v>2229</v>
      </c>
      <c r="C2" s="48"/>
    </row>
    <row r="3" spans="1:3" ht="15.75" x14ac:dyDescent="0.25">
      <c r="A3" s="3" t="s">
        <v>2</v>
      </c>
      <c r="B3" s="4" t="s">
        <v>4196</v>
      </c>
      <c r="C3" s="48"/>
    </row>
    <row r="4" spans="1:3" ht="32.450000000000003" customHeight="1" x14ac:dyDescent="0.25">
      <c r="A4" s="3" t="s">
        <v>3</v>
      </c>
      <c r="B4" s="3" t="s">
        <v>4036</v>
      </c>
      <c r="C4" s="49" t="s">
        <v>7</v>
      </c>
    </row>
    <row r="5" spans="1:3" ht="15.75" x14ac:dyDescent="0.25">
      <c r="A5" s="3" t="s">
        <v>4</v>
      </c>
      <c r="B5" s="4" t="s">
        <v>4167</v>
      </c>
      <c r="C5" s="48"/>
    </row>
    <row r="6" spans="1:3" ht="15.75" x14ac:dyDescent="0.25">
      <c r="A6" s="3" t="s">
        <v>5</v>
      </c>
      <c r="B6" s="4">
        <v>2</v>
      </c>
      <c r="C6" s="50" t="s">
        <v>3858</v>
      </c>
    </row>
    <row r="7" spans="1:3" s="1" customFormat="1" ht="15.75" x14ac:dyDescent="0.25">
      <c r="A7" s="51"/>
      <c r="B7" s="52"/>
      <c r="C7" s="53"/>
    </row>
    <row r="8" spans="1:3" s="1" customFormat="1" ht="15.75" x14ac:dyDescent="0.25">
      <c r="A8" s="51" t="s">
        <v>2230</v>
      </c>
      <c r="B8" s="52"/>
      <c r="C8" s="51"/>
    </row>
    <row r="9" spans="1:3" ht="15.75" x14ac:dyDescent="0.25">
      <c r="A9" s="64" t="s">
        <v>6</v>
      </c>
      <c r="B9" s="64"/>
      <c r="C9" s="64"/>
    </row>
    <row r="10" spans="1:3" ht="15.75" x14ac:dyDescent="0.25">
      <c r="A10" s="29" t="s">
        <v>132</v>
      </c>
      <c r="B10" s="29" t="s">
        <v>2225</v>
      </c>
      <c r="C10" s="29" t="s">
        <v>2726</v>
      </c>
    </row>
    <row r="11" spans="1:3" ht="47.25" x14ac:dyDescent="0.25">
      <c r="A11" s="29" t="s">
        <v>3439</v>
      </c>
      <c r="B11" s="29" t="s">
        <v>2225</v>
      </c>
      <c r="C11" s="29" t="s">
        <v>3438</v>
      </c>
    </row>
    <row r="12" spans="1:3" ht="78.75" x14ac:dyDescent="0.25">
      <c r="A12" s="29" t="s">
        <v>3440</v>
      </c>
      <c r="B12" s="29" t="s">
        <v>2225</v>
      </c>
      <c r="C12" s="29" t="s">
        <v>3442</v>
      </c>
    </row>
    <row r="13" spans="1:3" ht="73.150000000000006" customHeight="1" x14ac:dyDescent="0.25">
      <c r="A13" s="29" t="s">
        <v>3561</v>
      </c>
      <c r="B13" s="29" t="s">
        <v>2225</v>
      </c>
      <c r="C13" s="54" t="s">
        <v>3560</v>
      </c>
    </row>
    <row r="14" spans="1:3" ht="63" x14ac:dyDescent="0.25">
      <c r="A14" s="29" t="s">
        <v>3569</v>
      </c>
      <c r="B14" s="29" t="s">
        <v>2225</v>
      </c>
      <c r="C14" s="54" t="s">
        <v>3572</v>
      </c>
    </row>
    <row r="15" spans="1:3" ht="31.5" x14ac:dyDescent="0.25">
      <c r="A15" s="29" t="s">
        <v>3570</v>
      </c>
      <c r="B15" s="29" t="s">
        <v>2225</v>
      </c>
      <c r="C15" s="54" t="s">
        <v>3571</v>
      </c>
    </row>
    <row r="16" spans="1:3" ht="31.5" x14ac:dyDescent="0.25">
      <c r="A16" s="29" t="s">
        <v>3669</v>
      </c>
      <c r="B16" s="29" t="s">
        <v>2225</v>
      </c>
      <c r="C16" s="54" t="s">
        <v>3670</v>
      </c>
    </row>
    <row r="17" spans="1:3" ht="47.25" x14ac:dyDescent="0.25">
      <c r="A17" s="29" t="s">
        <v>3857</v>
      </c>
      <c r="B17" s="29" t="s">
        <v>2225</v>
      </c>
      <c r="C17" s="54" t="s">
        <v>3861</v>
      </c>
    </row>
    <row r="18" spans="1:3" s="28" customFormat="1" ht="31.5" x14ac:dyDescent="0.25">
      <c r="A18" s="29" t="s">
        <v>3981</v>
      </c>
      <c r="B18" s="29" t="s">
        <v>2225</v>
      </c>
      <c r="C18" s="54" t="s">
        <v>3982</v>
      </c>
    </row>
    <row r="19" spans="1:3" ht="63" x14ac:dyDescent="0.25">
      <c r="A19" s="29" t="s">
        <v>4033</v>
      </c>
      <c r="B19" s="29" t="s">
        <v>4034</v>
      </c>
      <c r="C19" s="54" t="s">
        <v>4037</v>
      </c>
    </row>
    <row r="20" spans="1:3" ht="45" x14ac:dyDescent="0.25">
      <c r="A20" s="29" t="s">
        <v>4060</v>
      </c>
      <c r="B20" s="29" t="s">
        <v>4034</v>
      </c>
      <c r="C20" s="55" t="s">
        <v>4061</v>
      </c>
    </row>
    <row r="21" spans="1:3" ht="45" x14ac:dyDescent="0.25">
      <c r="A21" s="62" t="s">
        <v>4165</v>
      </c>
      <c r="B21" s="63" t="s">
        <v>4034</v>
      </c>
      <c r="C21" s="63" t="s">
        <v>4191</v>
      </c>
    </row>
    <row r="22" spans="1:3" ht="81.599999999999994" customHeight="1" x14ac:dyDescent="0.25">
      <c r="A22" s="62" t="s">
        <v>4192</v>
      </c>
      <c r="B22" s="63" t="s">
        <v>4034</v>
      </c>
      <c r="C22" s="63" t="s">
        <v>4195</v>
      </c>
    </row>
    <row r="23" spans="1:3" ht="105" x14ac:dyDescent="0.25">
      <c r="A23" s="62" t="s">
        <v>4193</v>
      </c>
      <c r="B23" s="63" t="s">
        <v>4034</v>
      </c>
      <c r="C23" s="63" t="s">
        <v>4194</v>
      </c>
    </row>
  </sheetData>
  <mergeCells count="1">
    <mergeCell ref="A9:C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96"/>
  <sheetViews>
    <sheetView zoomScale="50" zoomScaleNormal="50" workbookViewId="0">
      <selection activeCell="C4" sqref="C4"/>
    </sheetView>
  </sheetViews>
  <sheetFormatPr defaultRowHeight="15" x14ac:dyDescent="0.25"/>
  <cols>
    <col min="1" max="1" width="17.7109375" customWidth="1"/>
    <col min="2" max="3" width="8.85546875" customWidth="1"/>
    <col min="4" max="4" width="75.28515625" customWidth="1"/>
    <col min="5" max="5" width="6.28515625" customWidth="1"/>
    <col min="6" max="6" width="10.28515625" customWidth="1"/>
    <col min="7" max="7" width="12.140625" customWidth="1"/>
    <col min="8" max="8" width="74.140625" customWidth="1"/>
  </cols>
  <sheetData>
    <row r="1" spans="1:11" ht="60" x14ac:dyDescent="0.25">
      <c r="A1" s="15" t="s">
        <v>502</v>
      </c>
      <c r="B1" s="15" t="s">
        <v>635</v>
      </c>
      <c r="C1" s="15" t="e">
        <v>#VALUE!</v>
      </c>
      <c r="D1" s="16" t="s">
        <v>634</v>
      </c>
      <c r="E1" s="15" t="s">
        <v>3434</v>
      </c>
      <c r="F1" s="15" t="s">
        <v>8</v>
      </c>
      <c r="G1" s="15" t="s">
        <v>633</v>
      </c>
      <c r="H1" s="15" t="s">
        <v>2231</v>
      </c>
      <c r="I1" s="15" t="s">
        <v>122</v>
      </c>
      <c r="J1" s="17" t="s">
        <v>2228</v>
      </c>
      <c r="K1" s="15"/>
    </row>
    <row r="2" spans="1:11" ht="180" x14ac:dyDescent="0.25">
      <c r="A2" s="32" t="s">
        <v>224</v>
      </c>
      <c r="B2" s="31" t="b">
        <v>1</v>
      </c>
      <c r="C2" s="31">
        <v>0</v>
      </c>
      <c r="D2" s="31" t="s">
        <v>2334</v>
      </c>
      <c r="E2" s="31" t="s">
        <v>2328</v>
      </c>
      <c r="F2" s="31" t="s">
        <v>139</v>
      </c>
      <c r="G2" s="37" t="s">
        <v>210</v>
      </c>
      <c r="H2" s="37" t="s">
        <v>2232</v>
      </c>
      <c r="I2" s="31" t="s">
        <v>2328</v>
      </c>
      <c r="J2" s="30" t="s">
        <v>226</v>
      </c>
      <c r="K2" s="31" t="s">
        <v>2328</v>
      </c>
    </row>
    <row r="3" spans="1:11" ht="409.5" x14ac:dyDescent="0.25">
      <c r="A3" s="32" t="s">
        <v>216</v>
      </c>
      <c r="B3" s="31" t="b">
        <v>0</v>
      </c>
      <c r="C3" s="31">
        <v>2</v>
      </c>
      <c r="D3" s="34" t="s">
        <v>217</v>
      </c>
      <c r="E3" s="31" t="s">
        <v>2328</v>
      </c>
      <c r="F3" s="31" t="s">
        <v>131</v>
      </c>
      <c r="G3" s="37" t="s">
        <v>210</v>
      </c>
      <c r="H3" s="37" t="s">
        <v>2232</v>
      </c>
      <c r="I3" s="31" t="s">
        <v>2328</v>
      </c>
      <c r="J3" s="30" t="s">
        <v>2443</v>
      </c>
      <c r="K3" s="31" t="s">
        <v>2328</v>
      </c>
    </row>
    <row r="4" spans="1:11" ht="409.5" x14ac:dyDescent="0.25">
      <c r="A4" s="32" t="s">
        <v>252</v>
      </c>
      <c r="B4" s="31" t="b">
        <v>0</v>
      </c>
      <c r="C4" s="31">
        <v>4</v>
      </c>
      <c r="D4" s="35" t="s">
        <v>253</v>
      </c>
      <c r="E4" s="31" t="s">
        <v>2328</v>
      </c>
      <c r="F4" s="31" t="s">
        <v>131</v>
      </c>
      <c r="G4" s="37" t="s">
        <v>210</v>
      </c>
      <c r="H4" s="37" t="s">
        <v>2232</v>
      </c>
      <c r="I4" s="31" t="s">
        <v>2328</v>
      </c>
      <c r="J4" s="30" t="s">
        <v>3399</v>
      </c>
      <c r="K4" s="31" t="s">
        <v>2328</v>
      </c>
    </row>
    <row r="5" spans="1:11" ht="409.5" x14ac:dyDescent="0.25">
      <c r="A5" s="32" t="s">
        <v>495</v>
      </c>
      <c r="B5" s="31" t="b">
        <v>0</v>
      </c>
      <c r="C5" s="31">
        <v>2</v>
      </c>
      <c r="D5" s="34" t="s">
        <v>496</v>
      </c>
      <c r="E5" s="31" t="s">
        <v>2328</v>
      </c>
      <c r="F5" s="31" t="s">
        <v>131</v>
      </c>
      <c r="G5" s="37" t="s">
        <v>210</v>
      </c>
      <c r="H5" s="37" t="s">
        <v>2232</v>
      </c>
      <c r="I5" s="31" t="s">
        <v>2328</v>
      </c>
      <c r="J5" s="30" t="s">
        <v>2502</v>
      </c>
      <c r="K5" s="28"/>
    </row>
    <row r="6" spans="1:11" ht="409.5" x14ac:dyDescent="0.25">
      <c r="A6" s="32" t="s">
        <v>495</v>
      </c>
      <c r="B6" s="31" t="b">
        <v>0</v>
      </c>
      <c r="C6" s="31">
        <v>2</v>
      </c>
      <c r="D6" s="34" t="s">
        <v>496</v>
      </c>
      <c r="E6" s="31" t="s">
        <v>2328</v>
      </c>
      <c r="F6" s="31" t="s">
        <v>131</v>
      </c>
      <c r="G6" s="37" t="s">
        <v>210</v>
      </c>
      <c r="H6" s="37" t="s">
        <v>2232</v>
      </c>
      <c r="I6" s="31" t="s">
        <v>2328</v>
      </c>
      <c r="J6" s="30" t="s">
        <v>2502</v>
      </c>
      <c r="K6" s="28"/>
    </row>
    <row r="7" spans="1:11" ht="409.5" x14ac:dyDescent="0.25">
      <c r="A7" s="32" t="s">
        <v>256</v>
      </c>
      <c r="B7" s="31" t="b">
        <v>0</v>
      </c>
      <c r="C7" s="31">
        <v>4</v>
      </c>
      <c r="D7" s="35" t="s">
        <v>257</v>
      </c>
      <c r="E7" s="31" t="s">
        <v>2328</v>
      </c>
      <c r="F7" s="31" t="s">
        <v>131</v>
      </c>
      <c r="G7" s="37" t="s">
        <v>210</v>
      </c>
      <c r="H7" s="37" t="s">
        <v>2232</v>
      </c>
      <c r="I7" s="31" t="s">
        <v>2328</v>
      </c>
      <c r="J7" s="30" t="s">
        <v>3400</v>
      </c>
      <c r="K7" s="31" t="s">
        <v>2328</v>
      </c>
    </row>
    <row r="8" spans="1:11" ht="409.5" x14ac:dyDescent="0.25">
      <c r="A8" s="32" t="s">
        <v>270</v>
      </c>
      <c r="B8" s="31" t="b">
        <v>0</v>
      </c>
      <c r="C8" s="31">
        <v>2</v>
      </c>
      <c r="D8" s="34" t="s">
        <v>271</v>
      </c>
      <c r="E8" s="31" t="s">
        <v>2328</v>
      </c>
      <c r="F8" s="31" t="s">
        <v>131</v>
      </c>
      <c r="G8" s="37" t="s">
        <v>210</v>
      </c>
      <c r="H8" s="37" t="s">
        <v>2232</v>
      </c>
      <c r="I8" s="31" t="s">
        <v>2328</v>
      </c>
      <c r="J8" s="30" t="s">
        <v>3405</v>
      </c>
      <c r="K8" s="31" t="s">
        <v>2328</v>
      </c>
    </row>
    <row r="9" spans="1:11" x14ac:dyDescent="0.25">
      <c r="A9" s="32" t="s">
        <v>274</v>
      </c>
      <c r="B9" s="31" t="b">
        <v>1</v>
      </c>
      <c r="C9" s="31">
        <v>0</v>
      </c>
      <c r="D9" s="31" t="s">
        <v>2342</v>
      </c>
      <c r="E9" s="31" t="s">
        <v>2328</v>
      </c>
      <c r="F9" s="31" t="s">
        <v>139</v>
      </c>
      <c r="G9" s="37" t="s">
        <v>210</v>
      </c>
      <c r="H9" s="37" t="s">
        <v>2232</v>
      </c>
      <c r="I9" s="31" t="s">
        <v>2328</v>
      </c>
      <c r="J9" s="30" t="s">
        <v>2328</v>
      </c>
      <c r="K9" s="31" t="s">
        <v>2328</v>
      </c>
    </row>
    <row r="10" spans="1:11" x14ac:dyDescent="0.25">
      <c r="A10" s="32" t="s">
        <v>276</v>
      </c>
      <c r="B10" s="31" t="b">
        <v>1</v>
      </c>
      <c r="C10" s="31">
        <v>2</v>
      </c>
      <c r="D10" s="34" t="s">
        <v>2343</v>
      </c>
      <c r="E10" s="31" t="s">
        <v>2328</v>
      </c>
      <c r="F10" s="31" t="s">
        <v>139</v>
      </c>
      <c r="G10" s="37" t="s">
        <v>210</v>
      </c>
      <c r="H10" s="37" t="s">
        <v>2232</v>
      </c>
      <c r="I10" s="31" t="s">
        <v>2328</v>
      </c>
      <c r="J10" s="30" t="s">
        <v>2328</v>
      </c>
      <c r="K10" s="31" t="s">
        <v>2328</v>
      </c>
    </row>
    <row r="11" spans="1:11" ht="409.5" x14ac:dyDescent="0.25">
      <c r="A11" s="32" t="s">
        <v>278</v>
      </c>
      <c r="B11" s="31" t="b">
        <v>0</v>
      </c>
      <c r="C11" s="31">
        <v>4</v>
      </c>
      <c r="D11" s="35" t="s">
        <v>279</v>
      </c>
      <c r="E11" s="31" t="s">
        <v>2328</v>
      </c>
      <c r="F11" s="31" t="s">
        <v>131</v>
      </c>
      <c r="G11" s="37" t="s">
        <v>210</v>
      </c>
      <c r="H11" s="37" t="s">
        <v>2232</v>
      </c>
      <c r="I11" s="31" t="s">
        <v>2328</v>
      </c>
      <c r="J11" s="30" t="s">
        <v>2448</v>
      </c>
      <c r="K11" s="31" t="s">
        <v>2328</v>
      </c>
    </row>
    <row r="12" spans="1:11" x14ac:dyDescent="0.25">
      <c r="A12" s="32" t="s">
        <v>280</v>
      </c>
      <c r="B12" s="31" t="b">
        <v>1</v>
      </c>
      <c r="C12" s="31">
        <v>2</v>
      </c>
      <c r="D12" s="34" t="s">
        <v>2344</v>
      </c>
      <c r="E12" s="31" t="s">
        <v>2328</v>
      </c>
      <c r="F12" s="31" t="s">
        <v>139</v>
      </c>
      <c r="G12" s="37" t="s">
        <v>210</v>
      </c>
      <c r="H12" s="37" t="s">
        <v>2232</v>
      </c>
      <c r="I12" s="31" t="s">
        <v>2328</v>
      </c>
      <c r="J12" s="30" t="s">
        <v>2328</v>
      </c>
      <c r="K12" s="31" t="s">
        <v>2328</v>
      </c>
    </row>
    <row r="13" spans="1:11" ht="240" x14ac:dyDescent="0.25">
      <c r="A13" s="32" t="s">
        <v>282</v>
      </c>
      <c r="B13" s="31" t="b">
        <v>0</v>
      </c>
      <c r="C13" s="31">
        <v>4</v>
      </c>
      <c r="D13" s="35" t="s">
        <v>283</v>
      </c>
      <c r="E13" s="31" t="s">
        <v>2328</v>
      </c>
      <c r="F13" s="31" t="s">
        <v>131</v>
      </c>
      <c r="G13" s="37" t="s">
        <v>210</v>
      </c>
      <c r="H13" s="37" t="s">
        <v>2232</v>
      </c>
      <c r="I13" s="31" t="s">
        <v>2328</v>
      </c>
      <c r="J13" s="30" t="s">
        <v>284</v>
      </c>
      <c r="K13" s="31" t="s">
        <v>2328</v>
      </c>
    </row>
    <row r="14" spans="1:11" ht="409.5" x14ac:dyDescent="0.25">
      <c r="A14" s="32" t="s">
        <v>290</v>
      </c>
      <c r="B14" s="31" t="b">
        <v>0</v>
      </c>
      <c r="C14" s="31">
        <v>4</v>
      </c>
      <c r="D14" s="35" t="s">
        <v>291</v>
      </c>
      <c r="E14" s="31" t="s">
        <v>2328</v>
      </c>
      <c r="F14" s="31" t="s">
        <v>131</v>
      </c>
      <c r="G14" s="37" t="s">
        <v>210</v>
      </c>
      <c r="H14" s="37" t="s">
        <v>2232</v>
      </c>
      <c r="I14" s="31" t="s">
        <v>2328</v>
      </c>
      <c r="J14" s="30" t="s">
        <v>2451</v>
      </c>
      <c r="K14" s="31" t="s">
        <v>2328</v>
      </c>
    </row>
    <row r="15" spans="1:11" ht="409.5" x14ac:dyDescent="0.25">
      <c r="A15" s="32" t="s">
        <v>286</v>
      </c>
      <c r="B15" s="31" t="b">
        <v>0</v>
      </c>
      <c r="C15" s="31">
        <v>4</v>
      </c>
      <c r="D15" s="35" t="s">
        <v>287</v>
      </c>
      <c r="E15" s="31" t="s">
        <v>2328</v>
      </c>
      <c r="F15" s="31" t="s">
        <v>131</v>
      </c>
      <c r="G15" s="37" t="s">
        <v>210</v>
      </c>
      <c r="H15" s="37" t="s">
        <v>2232</v>
      </c>
      <c r="I15" s="31" t="s">
        <v>2328</v>
      </c>
      <c r="J15" s="30" t="s">
        <v>2449</v>
      </c>
      <c r="K15" s="31" t="s">
        <v>2328</v>
      </c>
    </row>
    <row r="16" spans="1:11" ht="75" x14ac:dyDescent="0.25">
      <c r="A16" s="32" t="s">
        <v>227</v>
      </c>
      <c r="B16" s="31" t="b">
        <v>1</v>
      </c>
      <c r="C16" s="31">
        <v>2</v>
      </c>
      <c r="D16" s="34" t="s">
        <v>2335</v>
      </c>
      <c r="E16" s="31" t="s">
        <v>2328</v>
      </c>
      <c r="F16" s="31" t="s">
        <v>139</v>
      </c>
      <c r="G16" s="37" t="s">
        <v>210</v>
      </c>
      <c r="H16" s="37" t="s">
        <v>2232</v>
      </c>
      <c r="I16" s="31" t="s">
        <v>2328</v>
      </c>
      <c r="J16" s="30" t="s">
        <v>229</v>
      </c>
      <c r="K16" s="31" t="s">
        <v>2328</v>
      </c>
    </row>
    <row r="17" spans="1:11" ht="225" x14ac:dyDescent="0.25">
      <c r="A17" s="32" t="s">
        <v>230</v>
      </c>
      <c r="B17" s="31" t="b">
        <v>0</v>
      </c>
      <c r="C17" s="31">
        <v>4</v>
      </c>
      <c r="D17" s="35" t="s">
        <v>2444</v>
      </c>
      <c r="E17" s="31" t="s">
        <v>2328</v>
      </c>
      <c r="F17" s="31" t="s">
        <v>131</v>
      </c>
      <c r="G17" s="37" t="s">
        <v>210</v>
      </c>
      <c r="H17" s="37" t="s">
        <v>2232</v>
      </c>
      <c r="I17" s="31" t="s">
        <v>2328</v>
      </c>
      <c r="J17" s="30" t="s">
        <v>2445</v>
      </c>
      <c r="K17" s="31" t="s">
        <v>2328</v>
      </c>
    </row>
    <row r="18" spans="1:11" ht="120" x14ac:dyDescent="0.25">
      <c r="A18" s="32" t="s">
        <v>298</v>
      </c>
      <c r="B18" s="31" t="b">
        <v>1</v>
      </c>
      <c r="C18" s="31">
        <v>0</v>
      </c>
      <c r="D18" s="31" t="s">
        <v>2347</v>
      </c>
      <c r="E18" s="31" t="s">
        <v>2328</v>
      </c>
      <c r="F18" s="31" t="s">
        <v>139</v>
      </c>
      <c r="G18" s="37" t="s">
        <v>210</v>
      </c>
      <c r="H18" s="37" t="s">
        <v>2232</v>
      </c>
      <c r="I18" s="31" t="s">
        <v>2328</v>
      </c>
      <c r="J18" s="30" t="s">
        <v>300</v>
      </c>
      <c r="K18" s="31" t="s">
        <v>2328</v>
      </c>
    </row>
    <row r="19" spans="1:11" ht="409.5" x14ac:dyDescent="0.25">
      <c r="A19" s="32" t="s">
        <v>307</v>
      </c>
      <c r="B19" s="31" t="b">
        <v>0</v>
      </c>
      <c r="C19" s="31">
        <v>4</v>
      </c>
      <c r="D19" s="35" t="s">
        <v>308</v>
      </c>
      <c r="E19" s="31" t="s">
        <v>2328</v>
      </c>
      <c r="F19" s="31" t="s">
        <v>131</v>
      </c>
      <c r="G19" s="37" t="s">
        <v>210</v>
      </c>
      <c r="H19" s="37" t="s">
        <v>2232</v>
      </c>
      <c r="I19" s="31" t="s">
        <v>2328</v>
      </c>
      <c r="J19" s="30" t="s">
        <v>2455</v>
      </c>
      <c r="K19" s="31" t="s">
        <v>2328</v>
      </c>
    </row>
    <row r="20" spans="1:11" ht="409.5" x14ac:dyDescent="0.25">
      <c r="A20" s="32" t="s">
        <v>309</v>
      </c>
      <c r="B20" s="31" t="b">
        <v>0</v>
      </c>
      <c r="C20" s="31">
        <v>4</v>
      </c>
      <c r="D20" s="35" t="s">
        <v>2251</v>
      </c>
      <c r="E20" s="31" t="s">
        <v>2328</v>
      </c>
      <c r="F20" s="31" t="s">
        <v>131</v>
      </c>
      <c r="G20" s="37" t="s">
        <v>210</v>
      </c>
      <c r="H20" s="37" t="s">
        <v>2232</v>
      </c>
      <c r="I20" s="31" t="s">
        <v>2328</v>
      </c>
      <c r="J20" s="30" t="s">
        <v>2457</v>
      </c>
      <c r="K20" s="31" t="s">
        <v>2328</v>
      </c>
    </row>
    <row r="21" spans="1:11" x14ac:dyDescent="0.25">
      <c r="A21" s="32" t="s">
        <v>310</v>
      </c>
      <c r="B21" s="31" t="b">
        <v>1</v>
      </c>
      <c r="C21" s="31">
        <v>2</v>
      </c>
      <c r="D21" s="34" t="s">
        <v>2349</v>
      </c>
      <c r="E21" s="31" t="s">
        <v>2328</v>
      </c>
      <c r="F21" s="31" t="s">
        <v>139</v>
      </c>
      <c r="G21" s="37" t="s">
        <v>210</v>
      </c>
      <c r="H21" s="37" t="s">
        <v>2232</v>
      </c>
      <c r="I21" s="31" t="s">
        <v>2328</v>
      </c>
      <c r="J21" s="30" t="s">
        <v>2328</v>
      </c>
      <c r="K21" s="31" t="s">
        <v>2328</v>
      </c>
    </row>
    <row r="22" spans="1:11" ht="409.5" x14ac:dyDescent="0.25">
      <c r="A22" s="32" t="s">
        <v>312</v>
      </c>
      <c r="B22" s="31" t="b">
        <v>0</v>
      </c>
      <c r="C22" s="31">
        <v>4</v>
      </c>
      <c r="D22" s="35" t="s">
        <v>313</v>
      </c>
      <c r="E22" s="31" t="s">
        <v>2328</v>
      </c>
      <c r="F22" s="31" t="s">
        <v>131</v>
      </c>
      <c r="G22" s="37" t="s">
        <v>210</v>
      </c>
      <c r="H22" s="37" t="s">
        <v>2232</v>
      </c>
      <c r="I22" s="31" t="s">
        <v>2328</v>
      </c>
      <c r="J22" s="30" t="s">
        <v>2458</v>
      </c>
      <c r="K22" s="31" t="s">
        <v>2328</v>
      </c>
    </row>
    <row r="23" spans="1:11" x14ac:dyDescent="0.25">
      <c r="A23" s="32" t="s">
        <v>301</v>
      </c>
      <c r="B23" s="31" t="b">
        <v>1</v>
      </c>
      <c r="C23" s="31">
        <v>2</v>
      </c>
      <c r="D23" s="34" t="s">
        <v>2348</v>
      </c>
      <c r="E23" s="31" t="s">
        <v>2328</v>
      </c>
      <c r="F23" s="31" t="s">
        <v>139</v>
      </c>
      <c r="G23" s="37" t="s">
        <v>210</v>
      </c>
      <c r="H23" s="37" t="s">
        <v>2232</v>
      </c>
      <c r="I23" s="31" t="s">
        <v>2328</v>
      </c>
      <c r="J23" s="30" t="s">
        <v>2328</v>
      </c>
      <c r="K23" s="31" t="s">
        <v>2328</v>
      </c>
    </row>
    <row r="24" spans="1:11" ht="409.5" x14ac:dyDescent="0.25">
      <c r="A24" s="32" t="s">
        <v>303</v>
      </c>
      <c r="B24" s="31" t="b">
        <v>0</v>
      </c>
      <c r="C24" s="31">
        <v>4</v>
      </c>
      <c r="D24" s="35" t="s">
        <v>304</v>
      </c>
      <c r="E24" s="31" t="s">
        <v>2328</v>
      </c>
      <c r="F24" s="31" t="s">
        <v>131</v>
      </c>
      <c r="G24" s="37" t="s">
        <v>210</v>
      </c>
      <c r="H24" s="37" t="s">
        <v>2232</v>
      </c>
      <c r="I24" s="31" t="s">
        <v>2328</v>
      </c>
      <c r="J24" s="30" t="s">
        <v>3407</v>
      </c>
      <c r="K24" s="31" t="s">
        <v>2328</v>
      </c>
    </row>
    <row r="25" spans="1:11" ht="409.5" x14ac:dyDescent="0.25">
      <c r="A25" s="32" t="s">
        <v>305</v>
      </c>
      <c r="B25" s="31" t="b">
        <v>0</v>
      </c>
      <c r="C25" s="31">
        <v>4</v>
      </c>
      <c r="D25" s="35" t="s">
        <v>306</v>
      </c>
      <c r="E25" s="31" t="s">
        <v>2328</v>
      </c>
      <c r="F25" s="31" t="s">
        <v>131</v>
      </c>
      <c r="G25" s="37" t="s">
        <v>210</v>
      </c>
      <c r="H25" s="37" t="s">
        <v>2232</v>
      </c>
      <c r="I25" s="31" t="s">
        <v>2328</v>
      </c>
      <c r="J25" s="30" t="s">
        <v>3401</v>
      </c>
      <c r="K25" s="31" t="s">
        <v>2328</v>
      </c>
    </row>
    <row r="26" spans="1:11" ht="45" x14ac:dyDescent="0.25">
      <c r="A26" s="32" t="s">
        <v>323</v>
      </c>
      <c r="B26" s="31" t="b">
        <v>1</v>
      </c>
      <c r="C26" s="31">
        <v>0</v>
      </c>
      <c r="D26" s="33" t="s">
        <v>2352</v>
      </c>
      <c r="E26" s="31" t="s">
        <v>2328</v>
      </c>
      <c r="F26" s="31" t="s">
        <v>139</v>
      </c>
      <c r="G26" s="37" t="s">
        <v>210</v>
      </c>
      <c r="H26" s="37" t="s">
        <v>2232</v>
      </c>
      <c r="I26" s="31" t="s">
        <v>2328</v>
      </c>
      <c r="J26" s="30" t="s">
        <v>324</v>
      </c>
      <c r="K26" s="31" t="s">
        <v>2328</v>
      </c>
    </row>
    <row r="27" spans="1:11" ht="120" x14ac:dyDescent="0.25">
      <c r="A27" s="32" t="s">
        <v>327</v>
      </c>
      <c r="B27" s="31" t="b">
        <v>1</v>
      </c>
      <c r="C27" s="31">
        <v>2</v>
      </c>
      <c r="D27" s="34" t="s">
        <v>2353</v>
      </c>
      <c r="E27" s="31" t="s">
        <v>2328</v>
      </c>
      <c r="F27" s="31" t="s">
        <v>139</v>
      </c>
      <c r="G27" s="37" t="s">
        <v>210</v>
      </c>
      <c r="H27" s="37" t="s">
        <v>2232</v>
      </c>
      <c r="I27" s="31" t="s">
        <v>2328</v>
      </c>
      <c r="J27" s="30" t="s">
        <v>328</v>
      </c>
      <c r="K27" s="31" t="s">
        <v>2328</v>
      </c>
    </row>
    <row r="28" spans="1:11" ht="409.5" x14ac:dyDescent="0.25">
      <c r="A28" s="32" t="s">
        <v>331</v>
      </c>
      <c r="B28" s="31" t="b">
        <v>0</v>
      </c>
      <c r="C28" s="31">
        <v>4</v>
      </c>
      <c r="D28" s="35" t="s">
        <v>332</v>
      </c>
      <c r="E28" s="31" t="s">
        <v>2328</v>
      </c>
      <c r="F28" s="31" t="s">
        <v>131</v>
      </c>
      <c r="G28" s="37" t="s">
        <v>210</v>
      </c>
      <c r="H28" s="37" t="s">
        <v>2232</v>
      </c>
      <c r="I28" s="31" t="s">
        <v>2328</v>
      </c>
      <c r="J28" s="30" t="s">
        <v>2465</v>
      </c>
      <c r="K28" s="31" t="s">
        <v>2328</v>
      </c>
    </row>
    <row r="29" spans="1:11" ht="120" x14ac:dyDescent="0.25">
      <c r="A29" s="32" t="s">
        <v>333</v>
      </c>
      <c r="B29" s="31" t="b">
        <v>1</v>
      </c>
      <c r="C29" s="31">
        <v>2</v>
      </c>
      <c r="D29" s="34" t="s">
        <v>2354</v>
      </c>
      <c r="E29" s="31" t="s">
        <v>2328</v>
      </c>
      <c r="F29" s="31" t="s">
        <v>139</v>
      </c>
      <c r="G29" s="37" t="s">
        <v>210</v>
      </c>
      <c r="H29" s="37" t="s">
        <v>2232</v>
      </c>
      <c r="I29" s="31" t="s">
        <v>2328</v>
      </c>
      <c r="J29" s="30" t="s">
        <v>334</v>
      </c>
      <c r="K29" s="31" t="s">
        <v>2328</v>
      </c>
    </row>
    <row r="30" spans="1:11" ht="409.5" x14ac:dyDescent="0.25">
      <c r="A30" s="32" t="s">
        <v>1304</v>
      </c>
      <c r="B30" s="31" t="b">
        <v>0</v>
      </c>
      <c r="C30" s="31">
        <v>4</v>
      </c>
      <c r="D30" s="35" t="s">
        <v>2466</v>
      </c>
      <c r="E30" s="31" t="s">
        <v>2328</v>
      </c>
      <c r="F30" s="31" t="s">
        <v>131</v>
      </c>
      <c r="G30" s="37" t="s">
        <v>210</v>
      </c>
      <c r="H30" s="37" t="s">
        <v>2232</v>
      </c>
      <c r="I30" s="31" t="s">
        <v>2328</v>
      </c>
      <c r="J30" s="30" t="s">
        <v>3402</v>
      </c>
      <c r="K30" s="31" t="s">
        <v>2328</v>
      </c>
    </row>
    <row r="31" spans="1:11" ht="105" x14ac:dyDescent="0.25">
      <c r="A31" s="32" t="s">
        <v>337</v>
      </c>
      <c r="B31" s="31" t="b">
        <v>1</v>
      </c>
      <c r="C31" s="31">
        <v>2</v>
      </c>
      <c r="D31" s="34" t="s">
        <v>2355</v>
      </c>
      <c r="E31" s="31" t="s">
        <v>2328</v>
      </c>
      <c r="F31" s="31" t="s">
        <v>139</v>
      </c>
      <c r="G31" s="37" t="s">
        <v>210</v>
      </c>
      <c r="H31" s="37" t="s">
        <v>2232</v>
      </c>
      <c r="I31" s="31" t="s">
        <v>2328</v>
      </c>
      <c r="J31" s="30" t="s">
        <v>339</v>
      </c>
      <c r="K31" s="31" t="s">
        <v>2328</v>
      </c>
    </row>
    <row r="32" spans="1:11" ht="60" x14ac:dyDescent="0.25">
      <c r="A32" s="32" t="s">
        <v>340</v>
      </c>
      <c r="B32" s="31" t="b">
        <v>1</v>
      </c>
      <c r="C32" s="31">
        <v>4</v>
      </c>
      <c r="D32" s="35" t="s">
        <v>2356</v>
      </c>
      <c r="E32" s="31" t="s">
        <v>2328</v>
      </c>
      <c r="F32" s="31" t="s">
        <v>139</v>
      </c>
      <c r="G32" s="37" t="s">
        <v>210</v>
      </c>
      <c r="H32" s="37" t="s">
        <v>2232</v>
      </c>
      <c r="I32" s="31" t="s">
        <v>2328</v>
      </c>
      <c r="J32" s="30" t="s">
        <v>342</v>
      </c>
      <c r="K32" s="31" t="s">
        <v>2328</v>
      </c>
    </row>
    <row r="33" spans="1:11" ht="409.5" x14ac:dyDescent="0.25">
      <c r="A33" s="32" t="s">
        <v>343</v>
      </c>
      <c r="B33" s="31" t="b">
        <v>0</v>
      </c>
      <c r="C33" s="31">
        <v>6</v>
      </c>
      <c r="D33" s="38" t="s">
        <v>344</v>
      </c>
      <c r="E33" s="31" t="s">
        <v>2328</v>
      </c>
      <c r="F33" s="31" t="s">
        <v>131</v>
      </c>
      <c r="G33" s="37" t="s">
        <v>210</v>
      </c>
      <c r="H33" s="37" t="s">
        <v>2232</v>
      </c>
      <c r="I33" s="31" t="s">
        <v>2328</v>
      </c>
      <c r="J33" s="30" t="s">
        <v>2467</v>
      </c>
      <c r="K33" s="31" t="s">
        <v>2328</v>
      </c>
    </row>
    <row r="34" spans="1:11" x14ac:dyDescent="0.25">
      <c r="A34" s="32" t="s">
        <v>345</v>
      </c>
      <c r="B34" s="31" t="b">
        <v>0</v>
      </c>
      <c r="C34" s="31">
        <v>6</v>
      </c>
      <c r="D34" s="38" t="s">
        <v>346</v>
      </c>
      <c r="E34" s="31" t="s">
        <v>2328</v>
      </c>
      <c r="F34" s="31" t="s">
        <v>131</v>
      </c>
      <c r="G34" s="37" t="s">
        <v>210</v>
      </c>
      <c r="H34" s="37" t="s">
        <v>2232</v>
      </c>
      <c r="I34" s="31" t="s">
        <v>2328</v>
      </c>
      <c r="J34" s="30" t="s">
        <v>2328</v>
      </c>
      <c r="K34" s="31" t="s">
        <v>2328</v>
      </c>
    </row>
    <row r="35" spans="1:11" ht="60" x14ac:dyDescent="0.25">
      <c r="A35" s="32" t="s">
        <v>347</v>
      </c>
      <c r="B35" s="31" t="b">
        <v>1</v>
      </c>
      <c r="C35" s="31">
        <v>4</v>
      </c>
      <c r="D35" s="35" t="s">
        <v>2357</v>
      </c>
      <c r="E35" s="31" t="s">
        <v>2328</v>
      </c>
      <c r="F35" s="31" t="s">
        <v>139</v>
      </c>
      <c r="G35" s="37" t="s">
        <v>210</v>
      </c>
      <c r="H35" s="37" t="s">
        <v>2232</v>
      </c>
      <c r="I35" s="31" t="s">
        <v>2328</v>
      </c>
      <c r="J35" s="30" t="s">
        <v>349</v>
      </c>
      <c r="K35" s="31" t="s">
        <v>2328</v>
      </c>
    </row>
    <row r="36" spans="1:11" ht="315" x14ac:dyDescent="0.25">
      <c r="A36" s="32" t="s">
        <v>350</v>
      </c>
      <c r="B36" s="31" t="b">
        <v>0</v>
      </c>
      <c r="C36" s="31">
        <v>6</v>
      </c>
      <c r="D36" s="38" t="s">
        <v>351</v>
      </c>
      <c r="E36" s="31" t="s">
        <v>2328</v>
      </c>
      <c r="F36" s="31" t="s">
        <v>131</v>
      </c>
      <c r="G36" s="37" t="s">
        <v>210</v>
      </c>
      <c r="H36" s="37" t="s">
        <v>2232</v>
      </c>
      <c r="I36" s="31" t="s">
        <v>2328</v>
      </c>
      <c r="J36" s="30" t="s">
        <v>352</v>
      </c>
      <c r="K36" s="31" t="s">
        <v>2328</v>
      </c>
    </row>
    <row r="37" spans="1:11" x14ac:dyDescent="0.25">
      <c r="A37" s="32" t="s">
        <v>353</v>
      </c>
      <c r="B37" s="31" t="b">
        <v>1</v>
      </c>
      <c r="C37" s="31">
        <v>4</v>
      </c>
      <c r="D37" s="35" t="s">
        <v>2358</v>
      </c>
      <c r="E37" s="31" t="s">
        <v>2328</v>
      </c>
      <c r="F37" s="31" t="s">
        <v>139</v>
      </c>
      <c r="G37" s="37" t="s">
        <v>210</v>
      </c>
      <c r="H37" s="37" t="s">
        <v>2232</v>
      </c>
      <c r="I37" s="31" t="s">
        <v>2328</v>
      </c>
      <c r="J37" s="30" t="s">
        <v>2328</v>
      </c>
      <c r="K37" s="31" t="s">
        <v>2328</v>
      </c>
    </row>
    <row r="38" spans="1:11" ht="409.5" x14ac:dyDescent="0.25">
      <c r="A38" s="32" t="s">
        <v>355</v>
      </c>
      <c r="B38" s="31" t="b">
        <v>0</v>
      </c>
      <c r="C38" s="31">
        <v>6</v>
      </c>
      <c r="D38" s="38" t="s">
        <v>62</v>
      </c>
      <c r="E38" s="31" t="s">
        <v>2328</v>
      </c>
      <c r="F38" s="31" t="s">
        <v>131</v>
      </c>
      <c r="G38" s="37" t="s">
        <v>210</v>
      </c>
      <c r="H38" s="37" t="s">
        <v>2232</v>
      </c>
      <c r="I38" s="31" t="s">
        <v>2328</v>
      </c>
      <c r="J38" s="30" t="s">
        <v>2468</v>
      </c>
      <c r="K38" s="31" t="s">
        <v>2328</v>
      </c>
    </row>
    <row r="39" spans="1:11" ht="75" x14ac:dyDescent="0.25">
      <c r="A39" s="32" t="s">
        <v>356</v>
      </c>
      <c r="B39" s="31" t="b">
        <v>1</v>
      </c>
      <c r="C39" s="31">
        <v>4</v>
      </c>
      <c r="D39" s="35" t="s">
        <v>2359</v>
      </c>
      <c r="E39" s="31" t="s">
        <v>2328</v>
      </c>
      <c r="F39" s="31" t="s">
        <v>139</v>
      </c>
      <c r="G39" s="37" t="s">
        <v>210</v>
      </c>
      <c r="H39" s="37" t="s">
        <v>2232</v>
      </c>
      <c r="I39" s="31" t="s">
        <v>2328</v>
      </c>
      <c r="J39" s="30" t="s">
        <v>358</v>
      </c>
      <c r="K39" s="31" t="s">
        <v>2328</v>
      </c>
    </row>
    <row r="40" spans="1:11" ht="409.5" x14ac:dyDescent="0.25">
      <c r="A40" s="32" t="s">
        <v>359</v>
      </c>
      <c r="B40" s="31" t="b">
        <v>0</v>
      </c>
      <c r="C40" s="31">
        <v>6</v>
      </c>
      <c r="D40" s="38" t="s">
        <v>360</v>
      </c>
      <c r="E40" s="31" t="s">
        <v>2328</v>
      </c>
      <c r="F40" s="31" t="s">
        <v>131</v>
      </c>
      <c r="G40" s="37" t="s">
        <v>210</v>
      </c>
      <c r="H40" s="37" t="s">
        <v>2232</v>
      </c>
      <c r="I40" s="31" t="s">
        <v>2328</v>
      </c>
      <c r="J40" s="30" t="s">
        <v>2469</v>
      </c>
      <c r="K40" s="31" t="s">
        <v>2328</v>
      </c>
    </row>
    <row r="41" spans="1:11" ht="60" x14ac:dyDescent="0.25">
      <c r="A41" s="32" t="s">
        <v>368</v>
      </c>
      <c r="B41" s="31" t="b">
        <v>1</v>
      </c>
      <c r="C41" s="31">
        <v>0</v>
      </c>
      <c r="D41" s="33" t="s">
        <v>2361</v>
      </c>
      <c r="E41" s="31" t="s">
        <v>2328</v>
      </c>
      <c r="F41" s="31" t="s">
        <v>139</v>
      </c>
      <c r="G41" s="37" t="s">
        <v>210</v>
      </c>
      <c r="H41" s="37" t="s">
        <v>2232</v>
      </c>
      <c r="I41" s="31" t="s">
        <v>2328</v>
      </c>
      <c r="J41" s="30" t="s">
        <v>370</v>
      </c>
      <c r="K41" s="31" t="s">
        <v>2328</v>
      </c>
    </row>
    <row r="42" spans="1:11" ht="409.5" x14ac:dyDescent="0.25">
      <c r="A42" s="32" t="s">
        <v>371</v>
      </c>
      <c r="B42" s="31" t="b">
        <v>0</v>
      </c>
      <c r="C42" s="31">
        <v>2</v>
      </c>
      <c r="D42" s="34" t="s">
        <v>372</v>
      </c>
      <c r="E42" s="31" t="s">
        <v>2328</v>
      </c>
      <c r="F42" s="31" t="s">
        <v>131</v>
      </c>
      <c r="G42" s="37" t="s">
        <v>210</v>
      </c>
      <c r="H42" s="37" t="s">
        <v>2232</v>
      </c>
      <c r="I42" s="31" t="s">
        <v>2328</v>
      </c>
      <c r="J42" s="30" t="s">
        <v>2474</v>
      </c>
      <c r="K42" s="31" t="s">
        <v>2328</v>
      </c>
    </row>
    <row r="43" spans="1:11" ht="409.5" x14ac:dyDescent="0.25">
      <c r="A43" s="32" t="s">
        <v>386</v>
      </c>
      <c r="B43" s="31" t="b">
        <v>0</v>
      </c>
      <c r="C43" s="31">
        <v>2</v>
      </c>
      <c r="D43" s="34" t="s">
        <v>387</v>
      </c>
      <c r="E43" s="31" t="s">
        <v>2328</v>
      </c>
      <c r="F43" s="31" t="s">
        <v>131</v>
      </c>
      <c r="G43" s="37" t="s">
        <v>210</v>
      </c>
      <c r="H43" s="37" t="s">
        <v>2232</v>
      </c>
      <c r="I43" s="31" t="s">
        <v>2328</v>
      </c>
      <c r="J43" s="30" t="s">
        <v>2476</v>
      </c>
      <c r="K43" s="31" t="s">
        <v>2328</v>
      </c>
    </row>
    <row r="44" spans="1:11" x14ac:dyDescent="0.25">
      <c r="A44" s="32" t="s">
        <v>394</v>
      </c>
      <c r="B44" s="31" t="b">
        <v>1</v>
      </c>
      <c r="C44" s="31">
        <v>0</v>
      </c>
      <c r="D44" s="33" t="s">
        <v>2366</v>
      </c>
      <c r="E44" s="31" t="s">
        <v>2328</v>
      </c>
      <c r="F44" s="31" t="s">
        <v>139</v>
      </c>
      <c r="G44" s="37" t="s">
        <v>210</v>
      </c>
      <c r="H44" s="37" t="s">
        <v>2232</v>
      </c>
      <c r="I44" s="31" t="s">
        <v>2328</v>
      </c>
      <c r="J44" s="30" t="s">
        <v>2328</v>
      </c>
      <c r="K44" s="31" t="s">
        <v>2328</v>
      </c>
    </row>
    <row r="45" spans="1:11" x14ac:dyDescent="0.25">
      <c r="A45" s="32" t="s">
        <v>396</v>
      </c>
      <c r="B45" s="31" t="b">
        <v>1</v>
      </c>
      <c r="C45" s="31">
        <v>2</v>
      </c>
      <c r="D45" s="34" t="s">
        <v>2367</v>
      </c>
      <c r="E45" s="31" t="s">
        <v>2328</v>
      </c>
      <c r="F45" s="31" t="s">
        <v>139</v>
      </c>
      <c r="G45" s="37" t="s">
        <v>210</v>
      </c>
      <c r="H45" s="37" t="s">
        <v>2232</v>
      </c>
      <c r="I45" s="31" t="s">
        <v>2328</v>
      </c>
      <c r="J45" s="30" t="s">
        <v>2328</v>
      </c>
      <c r="K45" s="31" t="s">
        <v>2328</v>
      </c>
    </row>
    <row r="46" spans="1:11" ht="409.5" x14ac:dyDescent="0.25">
      <c r="A46" s="32" t="s">
        <v>398</v>
      </c>
      <c r="B46" s="31" t="b">
        <v>0</v>
      </c>
      <c r="C46" s="31">
        <v>4</v>
      </c>
      <c r="D46" s="35" t="s">
        <v>2477</v>
      </c>
      <c r="E46" s="31" t="s">
        <v>2328</v>
      </c>
      <c r="F46" s="31" t="s">
        <v>131</v>
      </c>
      <c r="G46" s="37" t="s">
        <v>210</v>
      </c>
      <c r="H46" s="37" t="s">
        <v>2232</v>
      </c>
      <c r="I46" s="31" t="s">
        <v>2328</v>
      </c>
      <c r="J46" s="30" t="s">
        <v>2724</v>
      </c>
      <c r="K46" s="31" t="s">
        <v>2328</v>
      </c>
    </row>
    <row r="47" spans="1:11" ht="90" x14ac:dyDescent="0.25">
      <c r="A47" s="32" t="s">
        <v>383</v>
      </c>
      <c r="B47" s="31" t="b">
        <v>1</v>
      </c>
      <c r="C47" s="31">
        <v>0</v>
      </c>
      <c r="D47" s="33" t="s">
        <v>2365</v>
      </c>
      <c r="E47" s="31" t="s">
        <v>2328</v>
      </c>
      <c r="F47" s="31" t="s">
        <v>139</v>
      </c>
      <c r="G47" s="37" t="s">
        <v>210</v>
      </c>
      <c r="H47" s="37" t="s">
        <v>2232</v>
      </c>
      <c r="I47" s="31" t="s">
        <v>2328</v>
      </c>
      <c r="J47" s="30" t="s">
        <v>385</v>
      </c>
      <c r="K47" s="31" t="s">
        <v>2328</v>
      </c>
    </row>
    <row r="48" spans="1:11" ht="330" x14ac:dyDescent="0.25">
      <c r="A48" s="32" t="s">
        <v>388</v>
      </c>
      <c r="B48" s="31" t="b">
        <v>0</v>
      </c>
      <c r="C48" s="31">
        <v>2</v>
      </c>
      <c r="D48" s="34" t="s">
        <v>389</v>
      </c>
      <c r="E48" s="31" t="s">
        <v>2328</v>
      </c>
      <c r="F48" s="31" t="s">
        <v>131</v>
      </c>
      <c r="G48" s="37" t="s">
        <v>210</v>
      </c>
      <c r="H48" s="37" t="s">
        <v>2232</v>
      </c>
      <c r="I48" s="31" t="s">
        <v>2328</v>
      </c>
      <c r="J48" s="30" t="s">
        <v>390</v>
      </c>
      <c r="K48" s="31" t="s">
        <v>2328</v>
      </c>
    </row>
    <row r="49" spans="1:11" ht="285" x14ac:dyDescent="0.25">
      <c r="A49" s="32" t="s">
        <v>391</v>
      </c>
      <c r="B49" s="31" t="b">
        <v>0</v>
      </c>
      <c r="C49" s="31">
        <v>2</v>
      </c>
      <c r="D49" s="34" t="s">
        <v>392</v>
      </c>
      <c r="E49" s="31" t="s">
        <v>2328</v>
      </c>
      <c r="F49" s="31" t="s">
        <v>131</v>
      </c>
      <c r="G49" s="37" t="s">
        <v>210</v>
      </c>
      <c r="H49" s="37" t="s">
        <v>2232</v>
      </c>
      <c r="I49" s="31" t="s">
        <v>2328</v>
      </c>
      <c r="J49" s="30" t="s">
        <v>393</v>
      </c>
      <c r="K49" s="31" t="s">
        <v>2328</v>
      </c>
    </row>
    <row r="50" spans="1:11" ht="60" x14ac:dyDescent="0.25">
      <c r="A50" s="32" t="s">
        <v>399</v>
      </c>
      <c r="B50" s="31" t="b">
        <v>1</v>
      </c>
      <c r="C50" s="31">
        <v>0</v>
      </c>
      <c r="D50" s="33" t="s">
        <v>2368</v>
      </c>
      <c r="E50" s="31" t="s">
        <v>2328</v>
      </c>
      <c r="F50" s="31" t="s">
        <v>139</v>
      </c>
      <c r="G50" s="37" t="s">
        <v>210</v>
      </c>
      <c r="H50" s="37" t="s">
        <v>2232</v>
      </c>
      <c r="I50" s="31" t="s">
        <v>2328</v>
      </c>
      <c r="J50" s="30" t="s">
        <v>401</v>
      </c>
      <c r="K50" s="31" t="s">
        <v>2328</v>
      </c>
    </row>
    <row r="51" spans="1:11" ht="409.5" x14ac:dyDescent="0.25">
      <c r="A51" s="32" t="s">
        <v>402</v>
      </c>
      <c r="B51" s="31" t="b">
        <v>0</v>
      </c>
      <c r="C51" s="31">
        <v>2</v>
      </c>
      <c r="D51" s="34" t="s">
        <v>403</v>
      </c>
      <c r="E51" s="31" t="s">
        <v>2328</v>
      </c>
      <c r="F51" s="31" t="s">
        <v>131</v>
      </c>
      <c r="G51" s="37" t="s">
        <v>210</v>
      </c>
      <c r="H51" s="37" t="s">
        <v>2232</v>
      </c>
      <c r="I51" s="31" t="s">
        <v>2328</v>
      </c>
      <c r="J51" s="30" t="s">
        <v>2478</v>
      </c>
      <c r="K51" s="31" t="s">
        <v>2328</v>
      </c>
    </row>
    <row r="52" spans="1:11" ht="409.5" x14ac:dyDescent="0.25">
      <c r="A52" s="32" t="s">
        <v>404</v>
      </c>
      <c r="B52" s="31" t="b">
        <v>0</v>
      </c>
      <c r="C52" s="31">
        <v>2</v>
      </c>
      <c r="D52" s="34" t="s">
        <v>405</v>
      </c>
      <c r="E52" s="31" t="s">
        <v>2328</v>
      </c>
      <c r="F52" s="31" t="s">
        <v>131</v>
      </c>
      <c r="G52" s="37" t="s">
        <v>210</v>
      </c>
      <c r="H52" s="37" t="s">
        <v>2232</v>
      </c>
      <c r="I52" s="31" t="s">
        <v>2328</v>
      </c>
      <c r="J52" s="30" t="s">
        <v>2479</v>
      </c>
      <c r="K52" s="31" t="s">
        <v>2328</v>
      </c>
    </row>
    <row r="53" spans="1:11" ht="105" x14ac:dyDescent="0.25">
      <c r="A53" s="32" t="s">
        <v>406</v>
      </c>
      <c r="B53" s="31" t="b">
        <v>1</v>
      </c>
      <c r="C53" s="31">
        <v>0</v>
      </c>
      <c r="D53" s="33" t="s">
        <v>2369</v>
      </c>
      <c r="E53" s="31" t="s">
        <v>2328</v>
      </c>
      <c r="F53" s="31" t="s">
        <v>139</v>
      </c>
      <c r="G53" s="37" t="s">
        <v>210</v>
      </c>
      <c r="H53" s="37" t="s">
        <v>2232</v>
      </c>
      <c r="I53" s="31" t="s">
        <v>2328</v>
      </c>
      <c r="J53" s="30" t="s">
        <v>407</v>
      </c>
      <c r="K53" s="31" t="s">
        <v>2328</v>
      </c>
    </row>
    <row r="54" spans="1:11" ht="409.5" x14ac:dyDescent="0.25">
      <c r="A54" s="32" t="s">
        <v>408</v>
      </c>
      <c r="B54" s="31" t="b">
        <v>0</v>
      </c>
      <c r="C54" s="31">
        <v>2</v>
      </c>
      <c r="D54" s="34" t="s">
        <v>92</v>
      </c>
      <c r="E54" s="31" t="s">
        <v>2328</v>
      </c>
      <c r="F54" s="31" t="s">
        <v>131</v>
      </c>
      <c r="G54" s="37" t="s">
        <v>210</v>
      </c>
      <c r="H54" s="37" t="s">
        <v>2232</v>
      </c>
      <c r="I54" s="31" t="s">
        <v>2328</v>
      </c>
      <c r="J54" s="30" t="s">
        <v>2480</v>
      </c>
      <c r="K54" s="31" t="s">
        <v>2328</v>
      </c>
    </row>
    <row r="55" spans="1:11" ht="409.5" x14ac:dyDescent="0.25">
      <c r="A55" s="32" t="s">
        <v>409</v>
      </c>
      <c r="B55" s="31" t="b">
        <v>0</v>
      </c>
      <c r="C55" s="31">
        <v>2</v>
      </c>
      <c r="D55" s="34" t="s">
        <v>86</v>
      </c>
      <c r="E55" s="31" t="s">
        <v>2328</v>
      </c>
      <c r="F55" s="31" t="s">
        <v>131</v>
      </c>
      <c r="G55" s="37" t="s">
        <v>210</v>
      </c>
      <c r="H55" s="37" t="s">
        <v>2232</v>
      </c>
      <c r="I55" s="31" t="s">
        <v>2328</v>
      </c>
      <c r="J55" s="30" t="s">
        <v>410</v>
      </c>
      <c r="K55" s="31" t="s">
        <v>2328</v>
      </c>
    </row>
    <row r="56" spans="1:11" ht="409.5" x14ac:dyDescent="0.25">
      <c r="A56" s="32" t="s">
        <v>411</v>
      </c>
      <c r="B56" s="31" t="b">
        <v>0</v>
      </c>
      <c r="C56" s="31">
        <v>2</v>
      </c>
      <c r="D56" s="34" t="s">
        <v>412</v>
      </c>
      <c r="E56" s="31" t="s">
        <v>2328</v>
      </c>
      <c r="F56" s="31" t="s">
        <v>131</v>
      </c>
      <c r="G56" s="37" t="s">
        <v>210</v>
      </c>
      <c r="H56" s="37" t="s">
        <v>2232</v>
      </c>
      <c r="I56" s="31" t="s">
        <v>2328</v>
      </c>
      <c r="J56" s="30" t="s">
        <v>3411</v>
      </c>
      <c r="K56" s="31" t="s">
        <v>2328</v>
      </c>
    </row>
    <row r="57" spans="1:11" ht="409.5" x14ac:dyDescent="0.25">
      <c r="A57" s="32" t="s">
        <v>414</v>
      </c>
      <c r="B57" s="31" t="b">
        <v>0</v>
      </c>
      <c r="C57" s="31">
        <v>2</v>
      </c>
      <c r="D57" s="34" t="s">
        <v>415</v>
      </c>
      <c r="E57" s="31" t="s">
        <v>2328</v>
      </c>
      <c r="F57" s="31" t="s">
        <v>131</v>
      </c>
      <c r="G57" s="37" t="s">
        <v>210</v>
      </c>
      <c r="H57" s="37" t="s">
        <v>2232</v>
      </c>
      <c r="I57" s="31" t="s">
        <v>2328</v>
      </c>
      <c r="J57" s="30" t="s">
        <v>2481</v>
      </c>
      <c r="K57" s="31" t="s">
        <v>2328</v>
      </c>
    </row>
    <row r="58" spans="1:11" ht="409.5" x14ac:dyDescent="0.25">
      <c r="A58" s="32" t="s">
        <v>416</v>
      </c>
      <c r="B58" s="31" t="b">
        <v>0</v>
      </c>
      <c r="C58" s="31">
        <v>2</v>
      </c>
      <c r="D58" s="34" t="s">
        <v>417</v>
      </c>
      <c r="E58" s="31" t="s">
        <v>2328</v>
      </c>
      <c r="F58" s="31" t="s">
        <v>131</v>
      </c>
      <c r="G58" s="37" t="s">
        <v>210</v>
      </c>
      <c r="H58" s="37" t="s">
        <v>2232</v>
      </c>
      <c r="I58" s="31" t="s">
        <v>2328</v>
      </c>
      <c r="J58" s="30" t="s">
        <v>2482</v>
      </c>
      <c r="K58" s="31" t="s">
        <v>2328</v>
      </c>
    </row>
    <row r="59" spans="1:11" x14ac:dyDescent="0.25">
      <c r="A59" s="32" t="s">
        <v>418</v>
      </c>
      <c r="B59" s="31" t="b">
        <v>1</v>
      </c>
      <c r="C59" s="31">
        <v>2</v>
      </c>
      <c r="D59" s="34" t="s">
        <v>2370</v>
      </c>
      <c r="E59" s="31" t="s">
        <v>2328</v>
      </c>
      <c r="F59" s="31" t="s">
        <v>139</v>
      </c>
      <c r="G59" s="37" t="s">
        <v>210</v>
      </c>
      <c r="H59" s="37" t="s">
        <v>2232</v>
      </c>
      <c r="I59" s="31" t="s">
        <v>2328</v>
      </c>
      <c r="J59" s="30" t="s">
        <v>2328</v>
      </c>
      <c r="K59" s="31" t="s">
        <v>2328</v>
      </c>
    </row>
    <row r="60" spans="1:11" ht="409.5" x14ac:dyDescent="0.25">
      <c r="A60" s="32" t="s">
        <v>420</v>
      </c>
      <c r="B60" s="31" t="b">
        <v>0</v>
      </c>
      <c r="C60" s="31">
        <v>4</v>
      </c>
      <c r="D60" s="35" t="s">
        <v>421</v>
      </c>
      <c r="E60" s="31" t="s">
        <v>2328</v>
      </c>
      <c r="F60" s="31" t="s">
        <v>131</v>
      </c>
      <c r="G60" s="37" t="s">
        <v>210</v>
      </c>
      <c r="H60" s="37" t="s">
        <v>2232</v>
      </c>
      <c r="I60" s="31" t="s">
        <v>2328</v>
      </c>
      <c r="J60" s="30" t="s">
        <v>2483</v>
      </c>
      <c r="K60" s="31" t="s">
        <v>2328</v>
      </c>
    </row>
    <row r="61" spans="1:11" ht="409.5" x14ac:dyDescent="0.25">
      <c r="A61" s="32" t="s">
        <v>422</v>
      </c>
      <c r="B61" s="31" t="b">
        <v>0</v>
      </c>
      <c r="C61" s="31">
        <v>4</v>
      </c>
      <c r="D61" s="35" t="s">
        <v>423</v>
      </c>
      <c r="E61" s="31" t="s">
        <v>2328</v>
      </c>
      <c r="F61" s="31" t="s">
        <v>131</v>
      </c>
      <c r="G61" s="37" t="s">
        <v>210</v>
      </c>
      <c r="H61" s="37" t="s">
        <v>2232</v>
      </c>
      <c r="I61" s="31" t="s">
        <v>2328</v>
      </c>
      <c r="J61" s="30" t="s">
        <v>2484</v>
      </c>
      <c r="K61" s="31" t="s">
        <v>2328</v>
      </c>
    </row>
    <row r="62" spans="1:11" ht="75" x14ac:dyDescent="0.25">
      <c r="A62" s="32" t="s">
        <v>424</v>
      </c>
      <c r="B62" s="31" t="b">
        <v>1</v>
      </c>
      <c r="C62" s="31">
        <v>0</v>
      </c>
      <c r="D62" s="33" t="s">
        <v>2371</v>
      </c>
      <c r="E62" s="31" t="s">
        <v>2328</v>
      </c>
      <c r="F62" s="31" t="s">
        <v>139</v>
      </c>
      <c r="G62" s="37" t="s">
        <v>210</v>
      </c>
      <c r="H62" s="37" t="s">
        <v>2232</v>
      </c>
      <c r="I62" s="31" t="s">
        <v>2328</v>
      </c>
      <c r="J62" s="30" t="s">
        <v>426</v>
      </c>
      <c r="K62" s="31" t="s">
        <v>2328</v>
      </c>
    </row>
    <row r="63" spans="1:11" ht="409.5" x14ac:dyDescent="0.25">
      <c r="A63" s="32" t="s">
        <v>427</v>
      </c>
      <c r="B63" s="31" t="b">
        <v>0</v>
      </c>
      <c r="C63" s="31">
        <v>2</v>
      </c>
      <c r="D63" s="34" t="s">
        <v>3435</v>
      </c>
      <c r="E63" s="31" t="s">
        <v>428</v>
      </c>
      <c r="F63" s="31" t="s">
        <v>131</v>
      </c>
      <c r="G63" s="37" t="s">
        <v>210</v>
      </c>
      <c r="H63" s="37" t="s">
        <v>2235</v>
      </c>
      <c r="I63" s="31" t="s">
        <v>2328</v>
      </c>
      <c r="J63" s="30" t="s">
        <v>3433</v>
      </c>
      <c r="K63" s="31" t="s">
        <v>2328</v>
      </c>
    </row>
    <row r="64" spans="1:11" ht="409.5" x14ac:dyDescent="0.25">
      <c r="A64" s="32" t="s">
        <v>429</v>
      </c>
      <c r="B64" s="31" t="b">
        <v>0</v>
      </c>
      <c r="C64" s="31">
        <v>2</v>
      </c>
      <c r="D64" s="34" t="s">
        <v>430</v>
      </c>
      <c r="E64" s="31" t="s">
        <v>2328</v>
      </c>
      <c r="F64" s="31" t="s">
        <v>131</v>
      </c>
      <c r="G64" s="37" t="s">
        <v>210</v>
      </c>
      <c r="H64" s="37" t="s">
        <v>2232</v>
      </c>
      <c r="I64" s="31" t="s">
        <v>2328</v>
      </c>
      <c r="J64" s="30" t="s">
        <v>2485</v>
      </c>
      <c r="K64" s="31" t="s">
        <v>2328</v>
      </c>
    </row>
    <row r="65" spans="1:11" x14ac:dyDescent="0.25">
      <c r="A65" s="32" t="s">
        <v>433</v>
      </c>
      <c r="B65" s="31" t="b">
        <v>1</v>
      </c>
      <c r="C65" s="31">
        <v>0</v>
      </c>
      <c r="D65" s="33" t="s">
        <v>2372</v>
      </c>
      <c r="E65" s="31" t="s">
        <v>2328</v>
      </c>
      <c r="F65" s="31" t="s">
        <v>139</v>
      </c>
      <c r="G65" s="37" t="s">
        <v>210</v>
      </c>
      <c r="H65" s="37" t="s">
        <v>2232</v>
      </c>
      <c r="I65" s="31" t="s">
        <v>2328</v>
      </c>
      <c r="J65" s="30" t="s">
        <v>2328</v>
      </c>
      <c r="K65" s="31" t="s">
        <v>2328</v>
      </c>
    </row>
    <row r="66" spans="1:11" ht="409.5" x14ac:dyDescent="0.25">
      <c r="A66" s="32" t="s">
        <v>435</v>
      </c>
      <c r="B66" s="31" t="b">
        <v>0</v>
      </c>
      <c r="C66" s="31">
        <v>2</v>
      </c>
      <c r="D66" s="34" t="s">
        <v>436</v>
      </c>
      <c r="E66" s="31" t="s">
        <v>2328</v>
      </c>
      <c r="F66" s="31" t="s">
        <v>131</v>
      </c>
      <c r="G66" s="37" t="s">
        <v>210</v>
      </c>
      <c r="H66" s="37" t="s">
        <v>2232</v>
      </c>
      <c r="I66" s="31" t="s">
        <v>2328</v>
      </c>
      <c r="J66" s="30" t="s">
        <v>2487</v>
      </c>
      <c r="K66" s="31" t="s">
        <v>2328</v>
      </c>
    </row>
    <row r="67" spans="1:11" ht="75" x14ac:dyDescent="0.25">
      <c r="A67" s="32" t="s">
        <v>437</v>
      </c>
      <c r="B67" s="31" t="b">
        <v>1</v>
      </c>
      <c r="C67" s="31">
        <v>0</v>
      </c>
      <c r="D67" s="33" t="s">
        <v>2373</v>
      </c>
      <c r="E67" s="31" t="s">
        <v>2328</v>
      </c>
      <c r="F67" s="31" t="s">
        <v>139</v>
      </c>
      <c r="G67" s="37" t="s">
        <v>210</v>
      </c>
      <c r="H67" s="37" t="s">
        <v>2232</v>
      </c>
      <c r="I67" s="31" t="s">
        <v>2328</v>
      </c>
      <c r="J67" s="30" t="s">
        <v>439</v>
      </c>
      <c r="K67" s="31" t="s">
        <v>2328</v>
      </c>
    </row>
    <row r="68" spans="1:11" ht="165" x14ac:dyDescent="0.25">
      <c r="A68" s="32" t="s">
        <v>440</v>
      </c>
      <c r="B68" s="31" t="b">
        <v>0</v>
      </c>
      <c r="C68" s="31">
        <v>2</v>
      </c>
      <c r="D68" s="34" t="s">
        <v>441</v>
      </c>
      <c r="E68" s="31" t="s">
        <v>2328</v>
      </c>
      <c r="F68" s="31" t="s">
        <v>131</v>
      </c>
      <c r="G68" s="37" t="s">
        <v>210</v>
      </c>
      <c r="H68" s="37" t="s">
        <v>2232</v>
      </c>
      <c r="I68" s="31" t="s">
        <v>2328</v>
      </c>
      <c r="J68" s="30" t="s">
        <v>442</v>
      </c>
      <c r="K68" s="31" t="s">
        <v>2328</v>
      </c>
    </row>
    <row r="69" spans="1:11" ht="75" x14ac:dyDescent="0.25">
      <c r="A69" s="32" t="s">
        <v>443</v>
      </c>
      <c r="B69" s="31" t="b">
        <v>1</v>
      </c>
      <c r="C69" s="31">
        <v>0</v>
      </c>
      <c r="D69" s="33" t="s">
        <v>2374</v>
      </c>
      <c r="E69" s="31" t="s">
        <v>2328</v>
      </c>
      <c r="F69" s="31" t="s">
        <v>139</v>
      </c>
      <c r="G69" s="37" t="s">
        <v>210</v>
      </c>
      <c r="H69" s="37" t="s">
        <v>2232</v>
      </c>
      <c r="I69" s="31" t="s">
        <v>2328</v>
      </c>
      <c r="J69" s="30" t="s">
        <v>445</v>
      </c>
      <c r="K69" s="28"/>
    </row>
    <row r="70" spans="1:11" ht="409.5" x14ac:dyDescent="0.25">
      <c r="A70" s="32" t="s">
        <v>446</v>
      </c>
      <c r="B70" s="31" t="b">
        <v>0</v>
      </c>
      <c r="C70" s="31">
        <v>2</v>
      </c>
      <c r="D70" s="34" t="s">
        <v>447</v>
      </c>
      <c r="E70" s="31" t="s">
        <v>2328</v>
      </c>
      <c r="F70" s="31" t="s">
        <v>131</v>
      </c>
      <c r="G70" s="37" t="s">
        <v>210</v>
      </c>
      <c r="H70" s="37" t="s">
        <v>2232</v>
      </c>
      <c r="I70" s="31" t="s">
        <v>2328</v>
      </c>
      <c r="J70" s="30" t="s">
        <v>3410</v>
      </c>
      <c r="K70" s="28"/>
    </row>
    <row r="71" spans="1:11" ht="409.5" x14ac:dyDescent="0.25">
      <c r="A71" s="32" t="s">
        <v>448</v>
      </c>
      <c r="B71" s="31" t="b">
        <v>0</v>
      </c>
      <c r="C71" s="31">
        <v>2</v>
      </c>
      <c r="D71" s="34" t="s">
        <v>449</v>
      </c>
      <c r="E71" s="31" t="s">
        <v>2328</v>
      </c>
      <c r="F71" s="31" t="s">
        <v>131</v>
      </c>
      <c r="G71" s="37" t="s">
        <v>210</v>
      </c>
      <c r="H71" s="37" t="s">
        <v>2232</v>
      </c>
      <c r="I71" s="31" t="s">
        <v>2328</v>
      </c>
      <c r="J71" s="30" t="s">
        <v>2488</v>
      </c>
      <c r="K71" s="28"/>
    </row>
    <row r="72" spans="1:11" ht="409.5" x14ac:dyDescent="0.25">
      <c r="A72" s="32" t="s">
        <v>450</v>
      </c>
      <c r="B72" s="31" t="b">
        <v>0</v>
      </c>
      <c r="C72" s="31">
        <v>2</v>
      </c>
      <c r="D72" s="34" t="s">
        <v>451</v>
      </c>
      <c r="E72" s="31" t="s">
        <v>2328</v>
      </c>
      <c r="F72" s="31" t="s">
        <v>131</v>
      </c>
      <c r="G72" s="37" t="s">
        <v>210</v>
      </c>
      <c r="H72" s="37" t="s">
        <v>2232</v>
      </c>
      <c r="I72" s="31" t="s">
        <v>2328</v>
      </c>
      <c r="J72" s="30" t="s">
        <v>2489</v>
      </c>
      <c r="K72" s="28"/>
    </row>
    <row r="73" spans="1:11" ht="75" x14ac:dyDescent="0.25">
      <c r="A73" s="32" t="s">
        <v>452</v>
      </c>
      <c r="B73" s="31" t="b">
        <v>1</v>
      </c>
      <c r="C73" s="31">
        <v>0</v>
      </c>
      <c r="D73" s="33" t="s">
        <v>2375</v>
      </c>
      <c r="E73" s="31" t="s">
        <v>2328</v>
      </c>
      <c r="F73" s="31" t="s">
        <v>139</v>
      </c>
      <c r="G73" s="37" t="s">
        <v>210</v>
      </c>
      <c r="H73" s="37" t="s">
        <v>2232</v>
      </c>
      <c r="I73" s="31" t="s">
        <v>2328</v>
      </c>
      <c r="J73" s="30" t="s">
        <v>453</v>
      </c>
      <c r="K73" s="28"/>
    </row>
    <row r="74" spans="1:11" ht="105" x14ac:dyDescent="0.25">
      <c r="A74" s="32" t="s">
        <v>454</v>
      </c>
      <c r="B74" s="31" t="b">
        <v>1</v>
      </c>
      <c r="C74" s="31">
        <v>2</v>
      </c>
      <c r="D74" s="34" t="s">
        <v>2376</v>
      </c>
      <c r="E74" s="31" t="s">
        <v>2328</v>
      </c>
      <c r="F74" s="31" t="s">
        <v>139</v>
      </c>
      <c r="G74" s="37" t="s">
        <v>210</v>
      </c>
      <c r="H74" s="37" t="s">
        <v>2232</v>
      </c>
      <c r="I74" s="31" t="s">
        <v>2328</v>
      </c>
      <c r="J74" s="30" t="s">
        <v>455</v>
      </c>
      <c r="K74" s="28"/>
    </row>
    <row r="75" spans="1:11" ht="409.5" x14ac:dyDescent="0.25">
      <c r="A75" s="32" t="s">
        <v>456</v>
      </c>
      <c r="B75" s="31" t="b">
        <v>0</v>
      </c>
      <c r="C75" s="31">
        <v>4</v>
      </c>
      <c r="D75" s="35" t="s">
        <v>457</v>
      </c>
      <c r="E75" s="31" t="s">
        <v>2328</v>
      </c>
      <c r="F75" s="31" t="s">
        <v>131</v>
      </c>
      <c r="G75" s="37" t="s">
        <v>210</v>
      </c>
      <c r="H75" s="37" t="s">
        <v>2232</v>
      </c>
      <c r="I75" s="31" t="s">
        <v>2328</v>
      </c>
      <c r="J75" s="30" t="s">
        <v>2490</v>
      </c>
      <c r="K75" s="28"/>
    </row>
    <row r="76" spans="1:11" ht="409.5" x14ac:dyDescent="0.25">
      <c r="A76" s="32" t="s">
        <v>458</v>
      </c>
      <c r="B76" s="31" t="b">
        <v>0</v>
      </c>
      <c r="C76" s="31">
        <v>4</v>
      </c>
      <c r="D76" s="35" t="s">
        <v>52</v>
      </c>
      <c r="E76" s="31" t="s">
        <v>2328</v>
      </c>
      <c r="F76" s="31" t="s">
        <v>131</v>
      </c>
      <c r="G76" s="37" t="s">
        <v>210</v>
      </c>
      <c r="H76" s="37" t="s">
        <v>2232</v>
      </c>
      <c r="I76" s="31" t="s">
        <v>2328</v>
      </c>
      <c r="J76" s="30" t="s">
        <v>2491</v>
      </c>
      <c r="K76" s="28"/>
    </row>
    <row r="77" spans="1:11" x14ac:dyDescent="0.25">
      <c r="A77" s="32" t="s">
        <v>459</v>
      </c>
      <c r="B77" s="31" t="b">
        <v>1</v>
      </c>
      <c r="C77" s="31">
        <v>2</v>
      </c>
      <c r="D77" s="34" t="s">
        <v>2377</v>
      </c>
      <c r="E77" s="31" t="s">
        <v>2328</v>
      </c>
      <c r="F77" s="31" t="s">
        <v>139</v>
      </c>
      <c r="G77" s="37" t="s">
        <v>210</v>
      </c>
      <c r="H77" s="37" t="s">
        <v>2232</v>
      </c>
      <c r="I77" s="31" t="s">
        <v>2328</v>
      </c>
      <c r="J77" s="30" t="s">
        <v>2328</v>
      </c>
      <c r="K77" s="28"/>
    </row>
    <row r="78" spans="1:11" ht="409.5" x14ac:dyDescent="0.25">
      <c r="A78" s="32" t="s">
        <v>460</v>
      </c>
      <c r="B78" s="31" t="b">
        <v>0</v>
      </c>
      <c r="C78" s="31">
        <v>4</v>
      </c>
      <c r="D78" s="35" t="s">
        <v>461</v>
      </c>
      <c r="E78" s="31" t="s">
        <v>2328</v>
      </c>
      <c r="F78" s="31" t="s">
        <v>131</v>
      </c>
      <c r="G78" s="37" t="s">
        <v>210</v>
      </c>
      <c r="H78" s="37" t="s">
        <v>2232</v>
      </c>
      <c r="I78" s="31" t="s">
        <v>2328</v>
      </c>
      <c r="J78" s="30" t="s">
        <v>3403</v>
      </c>
      <c r="K78" s="28"/>
    </row>
    <row r="79" spans="1:11" x14ac:dyDescent="0.25">
      <c r="A79" s="32" t="s">
        <v>462</v>
      </c>
      <c r="B79" s="31" t="b">
        <v>1</v>
      </c>
      <c r="C79" s="31">
        <v>0</v>
      </c>
      <c r="D79" s="33" t="s">
        <v>2378</v>
      </c>
      <c r="E79" s="31" t="s">
        <v>2328</v>
      </c>
      <c r="F79" s="31" t="s">
        <v>139</v>
      </c>
      <c r="G79" s="37" t="s">
        <v>210</v>
      </c>
      <c r="H79" s="37" t="s">
        <v>2232</v>
      </c>
      <c r="I79" s="31" t="s">
        <v>2328</v>
      </c>
      <c r="J79" s="30" t="s">
        <v>2328</v>
      </c>
      <c r="K79" s="28"/>
    </row>
    <row r="80" spans="1:11" ht="75" x14ac:dyDescent="0.25">
      <c r="A80" s="32" t="s">
        <v>468</v>
      </c>
      <c r="B80" s="31" t="b">
        <v>1</v>
      </c>
      <c r="C80" s="31">
        <v>0</v>
      </c>
      <c r="D80" s="33" t="s">
        <v>2379</v>
      </c>
      <c r="E80" s="31" t="s">
        <v>2328</v>
      </c>
      <c r="F80" s="31" t="s">
        <v>139</v>
      </c>
      <c r="G80" s="37" t="s">
        <v>210</v>
      </c>
      <c r="H80" s="37" t="s">
        <v>2232</v>
      </c>
      <c r="I80" s="31" t="s">
        <v>2328</v>
      </c>
      <c r="J80" s="30" t="s">
        <v>470</v>
      </c>
      <c r="K80" s="28"/>
    </row>
    <row r="81" spans="1:11" x14ac:dyDescent="0.25">
      <c r="A81" s="32" t="s">
        <v>471</v>
      </c>
      <c r="B81" s="31" t="b">
        <v>1</v>
      </c>
      <c r="C81" s="31">
        <v>2</v>
      </c>
      <c r="D81" s="34" t="s">
        <v>2380</v>
      </c>
      <c r="E81" s="31" t="s">
        <v>2328</v>
      </c>
      <c r="F81" s="31" t="s">
        <v>139</v>
      </c>
      <c r="G81" s="37" t="s">
        <v>210</v>
      </c>
      <c r="H81" s="37" t="s">
        <v>2232</v>
      </c>
      <c r="I81" s="31" t="s">
        <v>2328</v>
      </c>
      <c r="J81" s="30" t="s">
        <v>2328</v>
      </c>
      <c r="K81" s="28"/>
    </row>
    <row r="82" spans="1:11" ht="409.5" x14ac:dyDescent="0.25">
      <c r="A82" s="32" t="s">
        <v>472</v>
      </c>
      <c r="B82" s="31" t="b">
        <v>0</v>
      </c>
      <c r="C82" s="31">
        <v>4</v>
      </c>
      <c r="D82" s="35" t="s">
        <v>83</v>
      </c>
      <c r="E82" s="31" t="s">
        <v>2328</v>
      </c>
      <c r="F82" s="31" t="s">
        <v>131</v>
      </c>
      <c r="G82" s="37" t="s">
        <v>210</v>
      </c>
      <c r="H82" s="37" t="s">
        <v>2232</v>
      </c>
      <c r="I82" s="31" t="s">
        <v>2328</v>
      </c>
      <c r="J82" s="30" t="s">
        <v>2493</v>
      </c>
      <c r="K82" s="28"/>
    </row>
    <row r="83" spans="1:11" x14ac:dyDescent="0.25">
      <c r="A83" s="32" t="s">
        <v>473</v>
      </c>
      <c r="B83" s="31" t="b">
        <v>1</v>
      </c>
      <c r="C83" s="31">
        <v>2</v>
      </c>
      <c r="D83" s="34" t="s">
        <v>2381</v>
      </c>
      <c r="E83" s="31" t="s">
        <v>2328</v>
      </c>
      <c r="F83" s="31" t="s">
        <v>139</v>
      </c>
      <c r="G83" s="37" t="s">
        <v>210</v>
      </c>
      <c r="H83" s="37" t="s">
        <v>2232</v>
      </c>
      <c r="I83" s="31" t="s">
        <v>2328</v>
      </c>
      <c r="J83" s="30" t="s">
        <v>2328</v>
      </c>
      <c r="K83" s="28"/>
    </row>
    <row r="84" spans="1:11" ht="409.5" x14ac:dyDescent="0.25">
      <c r="A84" s="32" t="s">
        <v>474</v>
      </c>
      <c r="B84" s="31" t="b">
        <v>0</v>
      </c>
      <c r="C84" s="31">
        <v>4</v>
      </c>
      <c r="D84" s="35" t="s">
        <v>78</v>
      </c>
      <c r="E84" s="31" t="s">
        <v>2328</v>
      </c>
      <c r="F84" s="31" t="s">
        <v>131</v>
      </c>
      <c r="G84" s="37" t="s">
        <v>210</v>
      </c>
      <c r="H84" s="37" t="s">
        <v>2232</v>
      </c>
      <c r="I84" s="31" t="s">
        <v>2328</v>
      </c>
      <c r="J84" s="30" t="s">
        <v>2494</v>
      </c>
      <c r="K84" s="28"/>
    </row>
    <row r="85" spans="1:11" x14ac:dyDescent="0.25">
      <c r="A85" s="32" t="s">
        <v>475</v>
      </c>
      <c r="B85" s="31" t="b">
        <v>1</v>
      </c>
      <c r="C85" s="31">
        <v>2</v>
      </c>
      <c r="D85" s="34" t="s">
        <v>2382</v>
      </c>
      <c r="E85" s="31" t="s">
        <v>2328</v>
      </c>
      <c r="F85" s="31" t="s">
        <v>139</v>
      </c>
      <c r="G85" s="37" t="s">
        <v>210</v>
      </c>
      <c r="H85" s="37" t="s">
        <v>2232</v>
      </c>
      <c r="I85" s="31" t="s">
        <v>2328</v>
      </c>
      <c r="J85" s="30" t="s">
        <v>2328</v>
      </c>
      <c r="K85" s="28"/>
    </row>
    <row r="86" spans="1:11" ht="409.5" x14ac:dyDescent="0.25">
      <c r="A86" s="32" t="s">
        <v>476</v>
      </c>
      <c r="B86" s="31" t="b">
        <v>0</v>
      </c>
      <c r="C86" s="31">
        <v>4</v>
      </c>
      <c r="D86" s="35" t="s">
        <v>74</v>
      </c>
      <c r="E86" s="31" t="s">
        <v>2328</v>
      </c>
      <c r="F86" s="31" t="s">
        <v>131</v>
      </c>
      <c r="G86" s="37" t="s">
        <v>210</v>
      </c>
      <c r="H86" s="37" t="s">
        <v>2232</v>
      </c>
      <c r="I86" s="31" t="s">
        <v>2328</v>
      </c>
      <c r="J86" s="30" t="s">
        <v>2495</v>
      </c>
      <c r="K86" s="28"/>
    </row>
    <row r="87" spans="1:11" x14ac:dyDescent="0.25">
      <c r="A87" s="32" t="s">
        <v>477</v>
      </c>
      <c r="B87" s="31" t="b">
        <v>1</v>
      </c>
      <c r="C87" s="31">
        <v>2</v>
      </c>
      <c r="D87" s="34" t="s">
        <v>2383</v>
      </c>
      <c r="E87" s="31" t="s">
        <v>2328</v>
      </c>
      <c r="F87" s="31" t="s">
        <v>139</v>
      </c>
      <c r="G87" s="37" t="s">
        <v>210</v>
      </c>
      <c r="H87" s="37" t="s">
        <v>2232</v>
      </c>
      <c r="I87" s="31" t="s">
        <v>2328</v>
      </c>
      <c r="J87" s="30" t="s">
        <v>2328</v>
      </c>
      <c r="K87" s="28"/>
    </row>
    <row r="88" spans="1:11" ht="409.5" x14ac:dyDescent="0.25">
      <c r="A88" s="32" t="s">
        <v>478</v>
      </c>
      <c r="B88" s="31" t="b">
        <v>0</v>
      </c>
      <c r="C88" s="31">
        <v>4</v>
      </c>
      <c r="D88" s="35" t="s">
        <v>70</v>
      </c>
      <c r="E88" s="31" t="s">
        <v>2328</v>
      </c>
      <c r="F88" s="31" t="s">
        <v>131</v>
      </c>
      <c r="G88" s="37" t="s">
        <v>210</v>
      </c>
      <c r="H88" s="37" t="s">
        <v>2232</v>
      </c>
      <c r="I88" s="31" t="s">
        <v>2328</v>
      </c>
      <c r="J88" s="30" t="s">
        <v>2496</v>
      </c>
      <c r="K88" s="28"/>
    </row>
    <row r="89" spans="1:11" ht="409.5" x14ac:dyDescent="0.25">
      <c r="A89" s="32" t="s">
        <v>479</v>
      </c>
      <c r="B89" s="31" t="b">
        <v>0</v>
      </c>
      <c r="C89" s="31">
        <v>4</v>
      </c>
      <c r="D89" s="35" t="s">
        <v>65</v>
      </c>
      <c r="E89" s="31" t="s">
        <v>2328</v>
      </c>
      <c r="F89" s="31" t="s">
        <v>131</v>
      </c>
      <c r="G89" s="37" t="s">
        <v>210</v>
      </c>
      <c r="H89" s="37" t="s">
        <v>2232</v>
      </c>
      <c r="I89" s="31" t="s">
        <v>2328</v>
      </c>
      <c r="J89" s="30" t="s">
        <v>2497</v>
      </c>
      <c r="K89" s="28"/>
    </row>
    <row r="90" spans="1:11" ht="409.5" x14ac:dyDescent="0.25">
      <c r="A90" s="32" t="s">
        <v>480</v>
      </c>
      <c r="B90" s="31" t="b">
        <v>0</v>
      </c>
      <c r="C90" s="31">
        <v>4</v>
      </c>
      <c r="D90" s="35" t="s">
        <v>481</v>
      </c>
      <c r="E90" s="31" t="s">
        <v>2328</v>
      </c>
      <c r="F90" s="31" t="s">
        <v>131</v>
      </c>
      <c r="G90" s="37" t="s">
        <v>210</v>
      </c>
      <c r="H90" s="37" t="s">
        <v>2232</v>
      </c>
      <c r="I90" s="31" t="s">
        <v>2328</v>
      </c>
      <c r="J90" s="30" t="s">
        <v>2498</v>
      </c>
      <c r="K90" s="28"/>
    </row>
    <row r="91" spans="1:11" x14ac:dyDescent="0.25">
      <c r="A91" s="32" t="s">
        <v>482</v>
      </c>
      <c r="B91" s="31" t="b">
        <v>1</v>
      </c>
      <c r="C91" s="31">
        <v>0</v>
      </c>
      <c r="D91" s="33" t="s">
        <v>2384</v>
      </c>
      <c r="E91" s="31" t="s">
        <v>2328</v>
      </c>
      <c r="F91" s="31" t="s">
        <v>139</v>
      </c>
      <c r="G91" s="37" t="s">
        <v>210</v>
      </c>
      <c r="H91" s="37" t="s">
        <v>2232</v>
      </c>
      <c r="I91" s="31" t="s">
        <v>2328</v>
      </c>
      <c r="J91" s="30" t="s">
        <v>2328</v>
      </c>
      <c r="K91" s="28"/>
    </row>
    <row r="92" spans="1:11" ht="409.5" x14ac:dyDescent="0.25">
      <c r="A92" s="32" t="s">
        <v>484</v>
      </c>
      <c r="B92" s="31" t="b">
        <v>0</v>
      </c>
      <c r="C92" s="31">
        <v>2</v>
      </c>
      <c r="D92" s="34" t="s">
        <v>485</v>
      </c>
      <c r="E92" s="31" t="s">
        <v>2328</v>
      </c>
      <c r="F92" s="31" t="s">
        <v>131</v>
      </c>
      <c r="G92" s="37" t="s">
        <v>210</v>
      </c>
      <c r="H92" s="37" t="s">
        <v>2232</v>
      </c>
      <c r="I92" s="31" t="s">
        <v>2328</v>
      </c>
      <c r="J92" s="30" t="s">
        <v>2499</v>
      </c>
      <c r="K92" s="28"/>
    </row>
    <row r="93" spans="1:11" ht="75" x14ac:dyDescent="0.25">
      <c r="A93" s="32" t="s">
        <v>488</v>
      </c>
      <c r="B93" s="31" t="b">
        <v>1</v>
      </c>
      <c r="C93" s="31">
        <v>0</v>
      </c>
      <c r="D93" s="33" t="s">
        <v>2385</v>
      </c>
      <c r="E93" s="31" t="s">
        <v>2328</v>
      </c>
      <c r="F93" s="31" t="s">
        <v>139</v>
      </c>
      <c r="G93" s="37" t="s">
        <v>210</v>
      </c>
      <c r="H93" s="37" t="s">
        <v>2232</v>
      </c>
      <c r="I93" s="31" t="s">
        <v>2328</v>
      </c>
      <c r="J93" s="30" t="s">
        <v>490</v>
      </c>
      <c r="K93" s="28"/>
    </row>
    <row r="94" spans="1:11" ht="409.5" x14ac:dyDescent="0.25">
      <c r="A94" s="32" t="s">
        <v>491</v>
      </c>
      <c r="B94" s="31" t="b">
        <v>0</v>
      </c>
      <c r="C94" s="31">
        <v>2</v>
      </c>
      <c r="D94" s="34" t="s">
        <v>492</v>
      </c>
      <c r="E94" s="31" t="s">
        <v>2328</v>
      </c>
      <c r="F94" s="31" t="s">
        <v>131</v>
      </c>
      <c r="G94" s="37" t="s">
        <v>210</v>
      </c>
      <c r="H94" s="37" t="s">
        <v>2232</v>
      </c>
      <c r="I94" s="31" t="s">
        <v>2328</v>
      </c>
      <c r="J94" s="30" t="s">
        <v>2500</v>
      </c>
      <c r="K94" s="28"/>
    </row>
    <row r="95" spans="1:11" ht="409.5" x14ac:dyDescent="0.25">
      <c r="A95" s="32" t="s">
        <v>493</v>
      </c>
      <c r="B95" s="31" t="b">
        <v>0</v>
      </c>
      <c r="C95" s="31">
        <v>2</v>
      </c>
      <c r="D95" s="34" t="s">
        <v>494</v>
      </c>
      <c r="E95" s="31" t="s">
        <v>2328</v>
      </c>
      <c r="F95" s="31" t="s">
        <v>131</v>
      </c>
      <c r="G95" s="37" t="s">
        <v>210</v>
      </c>
      <c r="H95" s="37" t="s">
        <v>2232</v>
      </c>
      <c r="I95" s="31" t="s">
        <v>2328</v>
      </c>
      <c r="J95" s="30" t="s">
        <v>2501</v>
      </c>
      <c r="K95" s="28"/>
    </row>
    <row r="96" spans="1:11" ht="409.5" x14ac:dyDescent="0.25">
      <c r="A96" s="32" t="s">
        <v>493</v>
      </c>
      <c r="B96" s="31" t="b">
        <v>0</v>
      </c>
      <c r="C96" s="31">
        <v>2</v>
      </c>
      <c r="D96" s="34" t="s">
        <v>494</v>
      </c>
      <c r="E96" s="31" t="s">
        <v>2328</v>
      </c>
      <c r="F96" s="31" t="s">
        <v>131</v>
      </c>
      <c r="G96" s="37" t="s">
        <v>210</v>
      </c>
      <c r="H96" s="37" t="s">
        <v>2232</v>
      </c>
      <c r="I96" s="31" t="s">
        <v>2328</v>
      </c>
      <c r="J96" s="30" t="s">
        <v>2501</v>
      </c>
      <c r="K96" s="28"/>
    </row>
    <row r="97" spans="1:11" ht="90" x14ac:dyDescent="0.25">
      <c r="A97" s="32" t="s">
        <v>314</v>
      </c>
      <c r="B97" s="31" t="b">
        <v>1</v>
      </c>
      <c r="C97" s="31">
        <v>0</v>
      </c>
      <c r="D97" s="31" t="s">
        <v>2350</v>
      </c>
      <c r="E97" s="31" t="s">
        <v>2328</v>
      </c>
      <c r="F97" s="31" t="s">
        <v>139</v>
      </c>
      <c r="G97" s="37" t="s">
        <v>210</v>
      </c>
      <c r="H97" s="37" t="s">
        <v>2232</v>
      </c>
      <c r="I97" s="31" t="s">
        <v>2328</v>
      </c>
      <c r="J97" s="30" t="s">
        <v>316</v>
      </c>
      <c r="K97" s="31" t="s">
        <v>2328</v>
      </c>
    </row>
    <row r="98" spans="1:11" ht="409.5" x14ac:dyDescent="0.25">
      <c r="A98" s="32" t="s">
        <v>317</v>
      </c>
      <c r="B98" s="31" t="b">
        <v>0</v>
      </c>
      <c r="C98" s="31">
        <v>2</v>
      </c>
      <c r="D98" s="34" t="s">
        <v>318</v>
      </c>
      <c r="E98" s="31" t="s">
        <v>2328</v>
      </c>
      <c r="F98" s="31" t="s">
        <v>131</v>
      </c>
      <c r="G98" s="37" t="s">
        <v>210</v>
      </c>
      <c r="H98" s="37" t="s">
        <v>2232</v>
      </c>
      <c r="I98" s="31" t="s">
        <v>2328</v>
      </c>
      <c r="J98" s="30" t="s">
        <v>2463</v>
      </c>
      <c r="K98" s="31" t="s">
        <v>2328</v>
      </c>
    </row>
    <row r="99" spans="1:11" x14ac:dyDescent="0.25">
      <c r="A99" s="32" t="s">
        <v>319</v>
      </c>
      <c r="B99" s="31" t="b">
        <v>1</v>
      </c>
      <c r="C99" s="31">
        <v>2</v>
      </c>
      <c r="D99" s="34" t="s">
        <v>2351</v>
      </c>
      <c r="E99" s="31" t="s">
        <v>2328</v>
      </c>
      <c r="F99" s="31" t="s">
        <v>139</v>
      </c>
      <c r="G99" s="37" t="s">
        <v>210</v>
      </c>
      <c r="H99" s="37" t="s">
        <v>2232</v>
      </c>
      <c r="I99" s="31" t="s">
        <v>2328</v>
      </c>
      <c r="J99" s="30" t="s">
        <v>2328</v>
      </c>
      <c r="K99" s="31" t="s">
        <v>2328</v>
      </c>
    </row>
    <row r="100" spans="1:11" ht="45" x14ac:dyDescent="0.25">
      <c r="A100" s="32" t="s">
        <v>321</v>
      </c>
      <c r="B100" s="31" t="b">
        <v>0</v>
      </c>
      <c r="C100" s="31">
        <v>4</v>
      </c>
      <c r="D100" s="35" t="s">
        <v>55</v>
      </c>
      <c r="E100" s="31" t="s">
        <v>2328</v>
      </c>
      <c r="F100" s="31" t="s">
        <v>131</v>
      </c>
      <c r="G100" s="37" t="s">
        <v>210</v>
      </c>
      <c r="H100" s="37" t="s">
        <v>2232</v>
      </c>
      <c r="I100" s="31" t="s">
        <v>322</v>
      </c>
      <c r="J100" s="30" t="s">
        <v>2328</v>
      </c>
      <c r="K100" s="31" t="s">
        <v>2328</v>
      </c>
    </row>
    <row r="101" spans="1:11" x14ac:dyDescent="0.25">
      <c r="A101" s="32" t="s">
        <v>258</v>
      </c>
      <c r="B101" s="31" t="b">
        <v>1</v>
      </c>
      <c r="C101" s="31">
        <v>2</v>
      </c>
      <c r="D101" s="34" t="s">
        <v>2339</v>
      </c>
      <c r="E101" s="31" t="s">
        <v>2328</v>
      </c>
      <c r="F101" s="31" t="s">
        <v>139</v>
      </c>
      <c r="G101" s="37" t="s">
        <v>210</v>
      </c>
      <c r="H101" s="37" t="s">
        <v>2232</v>
      </c>
      <c r="I101" s="31" t="s">
        <v>2328</v>
      </c>
      <c r="J101" s="30" t="s">
        <v>2328</v>
      </c>
      <c r="K101" s="31" t="s">
        <v>2328</v>
      </c>
    </row>
    <row r="102" spans="1:11" ht="409.5" x14ac:dyDescent="0.25">
      <c r="A102" s="32" t="s">
        <v>260</v>
      </c>
      <c r="B102" s="31" t="b">
        <v>0</v>
      </c>
      <c r="C102" s="31">
        <v>4</v>
      </c>
      <c r="D102" s="35" t="s">
        <v>261</v>
      </c>
      <c r="E102" s="31" t="s">
        <v>2328</v>
      </c>
      <c r="F102" s="31" t="s">
        <v>131</v>
      </c>
      <c r="G102" s="37" t="s">
        <v>210</v>
      </c>
      <c r="H102" s="37" t="s">
        <v>2232</v>
      </c>
      <c r="I102" s="31" t="s">
        <v>2328</v>
      </c>
      <c r="J102" s="30" t="s">
        <v>2446</v>
      </c>
      <c r="K102" s="31" t="s">
        <v>2328</v>
      </c>
    </row>
    <row r="103" spans="1:11" ht="409.5" x14ac:dyDescent="0.25">
      <c r="A103" s="32" t="s">
        <v>265</v>
      </c>
      <c r="B103" s="31" t="b">
        <v>0</v>
      </c>
      <c r="C103" s="31">
        <v>4</v>
      </c>
      <c r="D103" s="35" t="s">
        <v>266</v>
      </c>
      <c r="E103" s="31" t="s">
        <v>2328</v>
      </c>
      <c r="F103" s="31" t="s">
        <v>131</v>
      </c>
      <c r="G103" s="37" t="s">
        <v>210</v>
      </c>
      <c r="H103" s="37" t="s">
        <v>2232</v>
      </c>
      <c r="I103" s="31" t="s">
        <v>2328</v>
      </c>
      <c r="J103" s="30" t="s">
        <v>2447</v>
      </c>
      <c r="K103" s="31" t="s">
        <v>2328</v>
      </c>
    </row>
    <row r="104" spans="1:11" ht="165" x14ac:dyDescent="0.25">
      <c r="A104" s="32" t="s">
        <v>209</v>
      </c>
      <c r="B104" s="31" t="b">
        <v>0</v>
      </c>
      <c r="C104" s="31">
        <v>2</v>
      </c>
      <c r="D104" s="34" t="s">
        <v>2441</v>
      </c>
      <c r="E104" s="31" t="s">
        <v>2328</v>
      </c>
      <c r="F104" s="31" t="s">
        <v>131</v>
      </c>
      <c r="G104" s="37" t="s">
        <v>210</v>
      </c>
      <c r="H104" s="37" t="s">
        <v>2232</v>
      </c>
      <c r="I104" s="31" t="s">
        <v>2328</v>
      </c>
      <c r="J104" s="30" t="s">
        <v>2442</v>
      </c>
      <c r="K104" s="31" t="s">
        <v>2328</v>
      </c>
    </row>
    <row r="105" spans="1:11" ht="165" x14ac:dyDescent="0.25">
      <c r="A105" s="32" t="s">
        <v>211</v>
      </c>
      <c r="B105" s="31" t="b">
        <v>0</v>
      </c>
      <c r="C105" s="31">
        <v>2</v>
      </c>
      <c r="D105" s="34" t="s">
        <v>212</v>
      </c>
      <c r="E105" s="31" t="s">
        <v>2328</v>
      </c>
      <c r="F105" s="31" t="s">
        <v>131</v>
      </c>
      <c r="G105" s="37" t="s">
        <v>210</v>
      </c>
      <c r="H105" s="37" t="s">
        <v>2232</v>
      </c>
      <c r="I105" s="31" t="s">
        <v>2328</v>
      </c>
      <c r="J105" s="30" t="s">
        <v>213</v>
      </c>
      <c r="K105" s="31" t="s">
        <v>2328</v>
      </c>
    </row>
    <row r="106" spans="1:11" ht="180" x14ac:dyDescent="0.25">
      <c r="A106" s="32" t="s">
        <v>249</v>
      </c>
      <c r="B106" s="31" t="b">
        <v>0</v>
      </c>
      <c r="C106" s="31">
        <v>4</v>
      </c>
      <c r="D106" s="35" t="s">
        <v>250</v>
      </c>
      <c r="E106" s="31" t="s">
        <v>2328</v>
      </c>
      <c r="F106" s="31" t="s">
        <v>131</v>
      </c>
      <c r="G106" s="37" t="s">
        <v>210</v>
      </c>
      <c r="H106" s="37" t="s">
        <v>2232</v>
      </c>
      <c r="I106" s="31" t="s">
        <v>2328</v>
      </c>
      <c r="J106" s="30" t="s">
        <v>251</v>
      </c>
      <c r="K106" s="31" t="s">
        <v>2328</v>
      </c>
    </row>
    <row r="107" spans="1:11" ht="409.5" x14ac:dyDescent="0.25">
      <c r="A107" s="32" t="s">
        <v>329</v>
      </c>
      <c r="B107" s="31" t="b">
        <v>0</v>
      </c>
      <c r="C107" s="31">
        <v>4</v>
      </c>
      <c r="D107" s="35" t="s">
        <v>330</v>
      </c>
      <c r="E107" s="31" t="s">
        <v>2328</v>
      </c>
      <c r="F107" s="31" t="s">
        <v>131</v>
      </c>
      <c r="G107" s="37" t="s">
        <v>210</v>
      </c>
      <c r="H107" s="37" t="s">
        <v>2232</v>
      </c>
      <c r="I107" s="31" t="s">
        <v>2328</v>
      </c>
      <c r="J107" s="30" t="s">
        <v>2464</v>
      </c>
      <c r="K107" s="31" t="s">
        <v>2328</v>
      </c>
    </row>
    <row r="108" spans="1:11" ht="409.5" x14ac:dyDescent="0.25">
      <c r="A108" s="32" t="s">
        <v>378</v>
      </c>
      <c r="B108" s="31" t="b">
        <v>0</v>
      </c>
      <c r="C108" s="31">
        <v>4</v>
      </c>
      <c r="D108" s="35" t="s">
        <v>379</v>
      </c>
      <c r="E108" s="31" t="s">
        <v>2328</v>
      </c>
      <c r="F108" s="31" t="s">
        <v>131</v>
      </c>
      <c r="G108" s="37" t="s">
        <v>210</v>
      </c>
      <c r="H108" s="37" t="s">
        <v>2232</v>
      </c>
      <c r="I108" s="31" t="s">
        <v>2328</v>
      </c>
      <c r="J108" s="30" t="s">
        <v>2475</v>
      </c>
      <c r="K108" s="31" t="s">
        <v>2328</v>
      </c>
    </row>
    <row r="109" spans="1:11" ht="409.5" x14ac:dyDescent="0.25">
      <c r="A109" s="32" t="s">
        <v>431</v>
      </c>
      <c r="B109" s="31" t="b">
        <v>0</v>
      </c>
      <c r="C109" s="31">
        <v>2</v>
      </c>
      <c r="D109" s="34" t="s">
        <v>432</v>
      </c>
      <c r="E109" s="31" t="s">
        <v>2328</v>
      </c>
      <c r="F109" s="31" t="s">
        <v>131</v>
      </c>
      <c r="G109" s="37" t="s">
        <v>210</v>
      </c>
      <c r="H109" s="37" t="s">
        <v>2232</v>
      </c>
      <c r="I109" s="31" t="s">
        <v>2328</v>
      </c>
      <c r="J109" s="30" t="s">
        <v>2486</v>
      </c>
      <c r="K109" s="31" t="s">
        <v>2328</v>
      </c>
    </row>
    <row r="110" spans="1:11" ht="409.5" x14ac:dyDescent="0.25">
      <c r="A110" s="32" t="s">
        <v>464</v>
      </c>
      <c r="B110" s="31" t="b">
        <v>0</v>
      </c>
      <c r="C110" s="31">
        <v>2</v>
      </c>
      <c r="D110" s="34" t="s">
        <v>465</v>
      </c>
      <c r="E110" s="31" t="s">
        <v>2328</v>
      </c>
      <c r="F110" s="31" t="s">
        <v>139</v>
      </c>
      <c r="G110" s="37" t="s">
        <v>210</v>
      </c>
      <c r="H110" s="37" t="s">
        <v>2232</v>
      </c>
      <c r="I110" s="31" t="s">
        <v>2328</v>
      </c>
      <c r="J110" s="30" t="s">
        <v>2492</v>
      </c>
      <c r="K110" s="28"/>
    </row>
    <row r="111" spans="1:11" ht="210" x14ac:dyDescent="0.25">
      <c r="A111" s="32" t="s">
        <v>221</v>
      </c>
      <c r="B111" s="31" t="b">
        <v>0</v>
      </c>
      <c r="C111" s="31">
        <v>2</v>
      </c>
      <c r="D111" s="34" t="s">
        <v>222</v>
      </c>
      <c r="E111" s="31" t="s">
        <v>2328</v>
      </c>
      <c r="F111" s="31" t="s">
        <v>131</v>
      </c>
      <c r="G111" s="37" t="s">
        <v>210</v>
      </c>
      <c r="H111" s="37" t="s">
        <v>2232</v>
      </c>
      <c r="I111" s="31" t="s">
        <v>2328</v>
      </c>
      <c r="J111" s="30" t="s">
        <v>223</v>
      </c>
      <c r="K111" s="31" t="s">
        <v>2328</v>
      </c>
    </row>
    <row r="112" spans="1:11" ht="180" x14ac:dyDescent="0.25">
      <c r="A112" s="32" t="s">
        <v>237</v>
      </c>
      <c r="B112" s="31" t="b">
        <v>0</v>
      </c>
      <c r="C112" s="31">
        <v>4</v>
      </c>
      <c r="D112" s="35" t="s">
        <v>238</v>
      </c>
      <c r="E112" s="31" t="s">
        <v>2328</v>
      </c>
      <c r="F112" s="31" t="s">
        <v>131</v>
      </c>
      <c r="G112" s="37" t="s">
        <v>210</v>
      </c>
      <c r="H112" s="37" t="s">
        <v>2232</v>
      </c>
      <c r="I112" s="31" t="s">
        <v>2328</v>
      </c>
      <c r="J112" s="30" t="s">
        <v>236</v>
      </c>
      <c r="K112" s="31" t="s">
        <v>2328</v>
      </c>
    </row>
    <row r="113" spans="1:11" ht="375" x14ac:dyDescent="0.25">
      <c r="A113" s="32" t="s">
        <v>241</v>
      </c>
      <c r="B113" s="31" t="b">
        <v>0</v>
      </c>
      <c r="C113" s="31">
        <v>4</v>
      </c>
      <c r="D113" s="35" t="s">
        <v>120</v>
      </c>
      <c r="E113" s="31" t="s">
        <v>2328</v>
      </c>
      <c r="F113" s="31" t="s">
        <v>131</v>
      </c>
      <c r="G113" s="37" t="s">
        <v>210</v>
      </c>
      <c r="H113" s="37" t="s">
        <v>2232</v>
      </c>
      <c r="I113" s="31" t="s">
        <v>2328</v>
      </c>
      <c r="J113" s="30" t="s">
        <v>242</v>
      </c>
      <c r="K113" s="31" t="s">
        <v>2328</v>
      </c>
    </row>
    <row r="114" spans="1:11" ht="120" x14ac:dyDescent="0.25">
      <c r="A114" s="32" t="s">
        <v>214</v>
      </c>
      <c r="B114" s="31" t="b">
        <v>1</v>
      </c>
      <c r="C114" s="31">
        <v>0</v>
      </c>
      <c r="D114" s="31" t="s">
        <v>2332</v>
      </c>
      <c r="E114" s="31" t="s">
        <v>2328</v>
      </c>
      <c r="F114" s="31" t="s">
        <v>139</v>
      </c>
      <c r="G114" s="37" t="s">
        <v>210</v>
      </c>
      <c r="H114" s="37" t="s">
        <v>2232</v>
      </c>
      <c r="I114" s="31" t="s">
        <v>2328</v>
      </c>
      <c r="J114" s="30" t="s">
        <v>3404</v>
      </c>
      <c r="K114" s="31" t="s">
        <v>2328</v>
      </c>
    </row>
    <row r="115" spans="1:11" ht="60" x14ac:dyDescent="0.25">
      <c r="A115" s="32" t="s">
        <v>497</v>
      </c>
      <c r="B115" s="31" t="b">
        <v>1</v>
      </c>
      <c r="C115" s="31">
        <v>0</v>
      </c>
      <c r="D115" s="33" t="s">
        <v>2386</v>
      </c>
      <c r="E115" s="31" t="s">
        <v>2328</v>
      </c>
      <c r="F115" s="31" t="s">
        <v>139</v>
      </c>
      <c r="G115" s="37" t="s">
        <v>210</v>
      </c>
      <c r="H115" s="37" t="s">
        <v>2232</v>
      </c>
      <c r="I115" s="31" t="s">
        <v>2328</v>
      </c>
      <c r="J115" s="30" t="s">
        <v>499</v>
      </c>
      <c r="K115" s="28"/>
    </row>
    <row r="116" spans="1:11" ht="60" x14ac:dyDescent="0.25">
      <c r="A116" s="32" t="s">
        <v>497</v>
      </c>
      <c r="B116" s="31" t="b">
        <v>1</v>
      </c>
      <c r="C116" s="31">
        <v>0</v>
      </c>
      <c r="D116" s="33" t="s">
        <v>2386</v>
      </c>
      <c r="E116" s="31" t="s">
        <v>2328</v>
      </c>
      <c r="F116" s="31" t="s">
        <v>139</v>
      </c>
      <c r="G116" s="37" t="s">
        <v>210</v>
      </c>
      <c r="H116" s="37" t="s">
        <v>2232</v>
      </c>
      <c r="I116" s="31" t="s">
        <v>2328</v>
      </c>
      <c r="J116" s="30" t="s">
        <v>499</v>
      </c>
      <c r="K116" s="28"/>
    </row>
    <row r="117" spans="1:11" ht="375" x14ac:dyDescent="0.25">
      <c r="A117" s="32" t="s">
        <v>500</v>
      </c>
      <c r="B117" s="31" t="b">
        <v>0</v>
      </c>
      <c r="C117" s="31">
        <v>2</v>
      </c>
      <c r="D117" s="34" t="s">
        <v>121</v>
      </c>
      <c r="E117" s="31" t="s">
        <v>2328</v>
      </c>
      <c r="F117" s="31" t="s">
        <v>131</v>
      </c>
      <c r="G117" s="37" t="s">
        <v>210</v>
      </c>
      <c r="H117" s="37" t="s">
        <v>2232</v>
      </c>
      <c r="I117" s="31" t="s">
        <v>2328</v>
      </c>
      <c r="J117" s="30" t="s">
        <v>501</v>
      </c>
      <c r="K117" s="28"/>
    </row>
    <row r="118" spans="1:11" ht="375" x14ac:dyDescent="0.25">
      <c r="A118" s="32" t="s">
        <v>500</v>
      </c>
      <c r="B118" s="31" t="b">
        <v>0</v>
      </c>
      <c r="C118" s="31">
        <v>2</v>
      </c>
      <c r="D118" s="34" t="s">
        <v>121</v>
      </c>
      <c r="E118" s="31" t="s">
        <v>2328</v>
      </c>
      <c r="F118" s="31" t="s">
        <v>131</v>
      </c>
      <c r="G118" s="37" t="s">
        <v>210</v>
      </c>
      <c r="H118" s="37" t="s">
        <v>2232</v>
      </c>
      <c r="I118" s="31" t="s">
        <v>2328</v>
      </c>
      <c r="J118" s="30" t="s">
        <v>501</v>
      </c>
      <c r="K118" s="28"/>
    </row>
    <row r="119" spans="1:11" ht="409.5" x14ac:dyDescent="0.25">
      <c r="A119" s="32" t="s">
        <v>288</v>
      </c>
      <c r="B119" s="31" t="b">
        <v>0</v>
      </c>
      <c r="C119" s="31">
        <v>4</v>
      </c>
      <c r="D119" s="35" t="s">
        <v>2450</v>
      </c>
      <c r="E119" s="31" t="s">
        <v>2328</v>
      </c>
      <c r="F119" s="31" t="s">
        <v>131</v>
      </c>
      <c r="G119" s="37" t="s">
        <v>210</v>
      </c>
      <c r="H119" s="37" t="s">
        <v>2232</v>
      </c>
      <c r="I119" s="31" t="s">
        <v>2328</v>
      </c>
      <c r="J119" s="30" t="s">
        <v>289</v>
      </c>
      <c r="K119" s="31" t="s">
        <v>2328</v>
      </c>
    </row>
    <row r="120" spans="1:11" ht="180" x14ac:dyDescent="0.25">
      <c r="A120" s="32" t="s">
        <v>234</v>
      </c>
      <c r="B120" s="31" t="b">
        <v>0</v>
      </c>
      <c r="C120" s="31">
        <v>4</v>
      </c>
      <c r="D120" s="35" t="s">
        <v>235</v>
      </c>
      <c r="E120" s="31" t="s">
        <v>2328</v>
      </c>
      <c r="F120" s="31" t="s">
        <v>131</v>
      </c>
      <c r="G120" s="37" t="s">
        <v>210</v>
      </c>
      <c r="H120" s="37" t="s">
        <v>2232</v>
      </c>
      <c r="I120" s="31" t="s">
        <v>2328</v>
      </c>
      <c r="J120" s="30" t="s">
        <v>236</v>
      </c>
      <c r="K120" s="31" t="s">
        <v>2328</v>
      </c>
    </row>
    <row r="121" spans="1:11" x14ac:dyDescent="0.25">
      <c r="A121" s="32" t="s">
        <v>325</v>
      </c>
      <c r="B121" s="31" t="b">
        <v>0</v>
      </c>
      <c r="C121" s="31">
        <v>2</v>
      </c>
      <c r="D121" s="34" t="s">
        <v>326</v>
      </c>
      <c r="E121" s="31" t="s">
        <v>2328</v>
      </c>
      <c r="F121" s="31" t="s">
        <v>139</v>
      </c>
      <c r="G121" s="37" t="s">
        <v>210</v>
      </c>
      <c r="H121" s="37" t="s">
        <v>2232</v>
      </c>
      <c r="I121" s="31" t="s">
        <v>2328</v>
      </c>
      <c r="J121" s="30" t="s">
        <v>2328</v>
      </c>
      <c r="K121" s="31" t="s">
        <v>2328</v>
      </c>
    </row>
    <row r="122" spans="1:11" x14ac:dyDescent="0.25">
      <c r="A122" s="32" t="s">
        <v>363</v>
      </c>
      <c r="B122" s="31" t="b">
        <v>1</v>
      </c>
      <c r="C122" s="31">
        <v>2</v>
      </c>
      <c r="D122" s="34" t="s">
        <v>2360</v>
      </c>
      <c r="E122" s="31" t="s">
        <v>2328</v>
      </c>
      <c r="F122" s="31" t="s">
        <v>139</v>
      </c>
      <c r="G122" s="37" t="s">
        <v>210</v>
      </c>
      <c r="H122" s="37" t="s">
        <v>2232</v>
      </c>
      <c r="I122" s="31" t="s">
        <v>2328</v>
      </c>
      <c r="J122" s="30" t="s">
        <v>2328</v>
      </c>
      <c r="K122" s="31" t="s">
        <v>2328</v>
      </c>
    </row>
    <row r="123" spans="1:11" ht="409.5" x14ac:dyDescent="0.25">
      <c r="A123" s="32" t="s">
        <v>124</v>
      </c>
      <c r="B123" s="31" t="b">
        <v>0</v>
      </c>
      <c r="C123" s="31">
        <v>4</v>
      </c>
      <c r="D123" s="35" t="s">
        <v>365</v>
      </c>
      <c r="E123" s="31" t="s">
        <v>2328</v>
      </c>
      <c r="F123" s="31" t="s">
        <v>131</v>
      </c>
      <c r="G123" s="37" t="s">
        <v>1402</v>
      </c>
      <c r="H123" s="37" t="s">
        <v>2265</v>
      </c>
      <c r="I123" s="31" t="s">
        <v>2328</v>
      </c>
      <c r="J123" s="30" t="s">
        <v>2504</v>
      </c>
      <c r="K123" s="31" t="s">
        <v>2328</v>
      </c>
    </row>
    <row r="124" spans="1:11" ht="409.5" x14ac:dyDescent="0.25">
      <c r="A124" s="32" t="s">
        <v>125</v>
      </c>
      <c r="B124" s="31" t="b">
        <v>0</v>
      </c>
      <c r="C124" s="31">
        <v>2</v>
      </c>
      <c r="D124" s="34" t="s">
        <v>413</v>
      </c>
      <c r="E124" s="31" t="s">
        <v>2328</v>
      </c>
      <c r="F124" s="31" t="s">
        <v>131</v>
      </c>
      <c r="G124" s="37" t="s">
        <v>210</v>
      </c>
      <c r="H124" s="37" t="s">
        <v>2232</v>
      </c>
      <c r="I124" s="31" t="s">
        <v>2328</v>
      </c>
      <c r="J124" s="30" t="s">
        <v>3409</v>
      </c>
      <c r="K124" s="31" t="s">
        <v>2328</v>
      </c>
    </row>
    <row r="125" spans="1:11" ht="270" x14ac:dyDescent="0.25">
      <c r="A125" s="32" t="s">
        <v>126</v>
      </c>
      <c r="B125" s="31" t="b">
        <v>0</v>
      </c>
      <c r="C125" s="31">
        <v>6</v>
      </c>
      <c r="D125" s="38" t="s">
        <v>361</v>
      </c>
      <c r="E125" s="31" t="s">
        <v>2328</v>
      </c>
      <c r="F125" s="31" t="s">
        <v>131</v>
      </c>
      <c r="G125" s="37" t="s">
        <v>210</v>
      </c>
      <c r="H125" s="37" t="s">
        <v>2232</v>
      </c>
      <c r="I125" s="31" t="s">
        <v>2328</v>
      </c>
      <c r="J125" s="30" t="s">
        <v>362</v>
      </c>
      <c r="K125" s="31" t="s">
        <v>2328</v>
      </c>
    </row>
    <row r="126" spans="1:11" ht="409.5" x14ac:dyDescent="0.25">
      <c r="A126" s="32" t="s">
        <v>272</v>
      </c>
      <c r="B126" s="31" t="b">
        <v>0</v>
      </c>
      <c r="C126" s="31">
        <v>2</v>
      </c>
      <c r="D126" s="34" t="s">
        <v>273</v>
      </c>
      <c r="E126" s="31" t="s">
        <v>2328</v>
      </c>
      <c r="F126" s="31" t="s">
        <v>139</v>
      </c>
      <c r="G126" s="37" t="s">
        <v>210</v>
      </c>
      <c r="H126" s="37" t="s">
        <v>2232</v>
      </c>
      <c r="I126" s="31" t="s">
        <v>2328</v>
      </c>
      <c r="J126" s="30" t="s">
        <v>3406</v>
      </c>
      <c r="K126" s="31" t="s">
        <v>2328</v>
      </c>
    </row>
    <row r="127" spans="1:11" x14ac:dyDescent="0.25">
      <c r="A127" s="32" t="s">
        <v>373</v>
      </c>
      <c r="B127" s="31" t="b">
        <v>1</v>
      </c>
      <c r="C127" s="31">
        <v>0</v>
      </c>
      <c r="D127" s="33" t="s">
        <v>2362</v>
      </c>
      <c r="E127" s="31" t="s">
        <v>2328</v>
      </c>
      <c r="F127" s="31" t="s">
        <v>139</v>
      </c>
      <c r="G127" s="37" t="s">
        <v>210</v>
      </c>
      <c r="H127" s="37" t="s">
        <v>2232</v>
      </c>
      <c r="I127" s="31" t="s">
        <v>2328</v>
      </c>
      <c r="J127" s="30" t="s">
        <v>2328</v>
      </c>
      <c r="K127" s="31" t="s">
        <v>2328</v>
      </c>
    </row>
    <row r="128" spans="1:11" ht="90" x14ac:dyDescent="0.25">
      <c r="A128" s="32" t="s">
        <v>375</v>
      </c>
      <c r="B128" s="31" t="b">
        <v>1</v>
      </c>
      <c r="C128" s="31">
        <v>2</v>
      </c>
      <c r="D128" s="34" t="s">
        <v>2363</v>
      </c>
      <c r="E128" s="31" t="s">
        <v>2328</v>
      </c>
      <c r="F128" s="31" t="s">
        <v>139</v>
      </c>
      <c r="G128" s="37" t="s">
        <v>210</v>
      </c>
      <c r="H128" s="37" t="s">
        <v>2232</v>
      </c>
      <c r="I128" s="31" t="s">
        <v>2328</v>
      </c>
      <c r="J128" s="30" t="s">
        <v>377</v>
      </c>
      <c r="K128" s="31" t="s">
        <v>2328</v>
      </c>
    </row>
    <row r="129" spans="1:11" ht="210" x14ac:dyDescent="0.25">
      <c r="A129" s="32" t="s">
        <v>127</v>
      </c>
      <c r="B129" s="31" t="b">
        <v>0</v>
      </c>
      <c r="C129" s="31">
        <v>2</v>
      </c>
      <c r="D129" s="34" t="s">
        <v>466</v>
      </c>
      <c r="E129" s="31" t="s">
        <v>2328</v>
      </c>
      <c r="F129" s="31" t="s">
        <v>131</v>
      </c>
      <c r="G129" s="37" t="s">
        <v>210</v>
      </c>
      <c r="H129" s="37" t="s">
        <v>2232</v>
      </c>
      <c r="I129" s="31" t="s">
        <v>2328</v>
      </c>
      <c r="J129" s="30" t="s">
        <v>467</v>
      </c>
      <c r="K129" s="28"/>
    </row>
    <row r="130" spans="1:11" ht="105" x14ac:dyDescent="0.25">
      <c r="A130" s="32" t="s">
        <v>206</v>
      </c>
      <c r="B130" s="31" t="b">
        <v>1</v>
      </c>
      <c r="C130" s="31">
        <v>0</v>
      </c>
      <c r="D130" s="31" t="s">
        <v>2331</v>
      </c>
      <c r="E130" s="31" t="s">
        <v>2328</v>
      </c>
      <c r="F130" s="31" t="s">
        <v>139</v>
      </c>
      <c r="G130" s="37" t="s">
        <v>210</v>
      </c>
      <c r="H130" s="37" t="s">
        <v>2232</v>
      </c>
      <c r="I130" s="31" t="s">
        <v>2328</v>
      </c>
      <c r="J130" s="30" t="s">
        <v>208</v>
      </c>
      <c r="K130" s="31" t="s">
        <v>2328</v>
      </c>
    </row>
    <row r="131" spans="1:11" ht="409.5" x14ac:dyDescent="0.25">
      <c r="A131" s="32" t="s">
        <v>128</v>
      </c>
      <c r="B131" s="31" t="b">
        <v>0</v>
      </c>
      <c r="C131" s="31">
        <v>4</v>
      </c>
      <c r="D131" s="35" t="s">
        <v>239</v>
      </c>
      <c r="E131" s="31" t="s">
        <v>2328</v>
      </c>
      <c r="F131" s="31" t="s">
        <v>131</v>
      </c>
      <c r="G131" s="37" t="s">
        <v>210</v>
      </c>
      <c r="H131" s="37" t="s">
        <v>2232</v>
      </c>
      <c r="I131" s="31" t="s">
        <v>2328</v>
      </c>
      <c r="J131" s="30" t="s">
        <v>240</v>
      </c>
      <c r="K131" s="31" t="s">
        <v>2328</v>
      </c>
    </row>
    <row r="132" spans="1:11" ht="90" x14ac:dyDescent="0.25">
      <c r="A132" s="32" t="s">
        <v>231</v>
      </c>
      <c r="B132" s="31" t="b">
        <v>1</v>
      </c>
      <c r="C132" s="31">
        <v>2</v>
      </c>
      <c r="D132" s="34" t="s">
        <v>2336</v>
      </c>
      <c r="E132" s="31" t="s">
        <v>2328</v>
      </c>
      <c r="F132" s="31" t="s">
        <v>139</v>
      </c>
      <c r="G132" s="37" t="s">
        <v>210</v>
      </c>
      <c r="H132" s="37" t="s">
        <v>2232</v>
      </c>
      <c r="I132" s="31" t="s">
        <v>2328</v>
      </c>
      <c r="J132" s="30" t="s">
        <v>233</v>
      </c>
      <c r="K132" s="31" t="s">
        <v>2328</v>
      </c>
    </row>
    <row r="133" spans="1:11" ht="150" x14ac:dyDescent="0.25">
      <c r="A133" s="32" t="s">
        <v>246</v>
      </c>
      <c r="B133" s="31" t="b">
        <v>1</v>
      </c>
      <c r="C133" s="31">
        <v>2</v>
      </c>
      <c r="D133" s="34" t="s">
        <v>2337</v>
      </c>
      <c r="E133" s="31" t="s">
        <v>2328</v>
      </c>
      <c r="F133" s="31" t="s">
        <v>139</v>
      </c>
      <c r="G133" s="37" t="s">
        <v>210</v>
      </c>
      <c r="H133" s="37" t="s">
        <v>2232</v>
      </c>
      <c r="I133" s="31" t="s">
        <v>2328</v>
      </c>
      <c r="J133" s="30" t="s">
        <v>248</v>
      </c>
      <c r="K133" s="31" t="s">
        <v>2328</v>
      </c>
    </row>
    <row r="134" spans="1:11" x14ac:dyDescent="0.25">
      <c r="A134" s="32" t="s">
        <v>254</v>
      </c>
      <c r="B134" s="31" t="b">
        <v>1</v>
      </c>
      <c r="C134" s="31">
        <v>2</v>
      </c>
      <c r="D134" s="34" t="s">
        <v>2338</v>
      </c>
      <c r="E134" s="31" t="s">
        <v>2328</v>
      </c>
      <c r="F134" s="31" t="s">
        <v>139</v>
      </c>
      <c r="G134" s="37" t="s">
        <v>210</v>
      </c>
      <c r="H134" s="37" t="s">
        <v>2232</v>
      </c>
      <c r="I134" s="31" t="s">
        <v>2328</v>
      </c>
      <c r="J134" s="30" t="s">
        <v>2328</v>
      </c>
      <c r="K134" s="31" t="s">
        <v>2328</v>
      </c>
    </row>
    <row r="135" spans="1:11" ht="75" x14ac:dyDescent="0.25">
      <c r="A135" s="32" t="s">
        <v>218</v>
      </c>
      <c r="B135" s="31" t="b">
        <v>1</v>
      </c>
      <c r="C135" s="31">
        <v>0</v>
      </c>
      <c r="D135" s="31" t="s">
        <v>2333</v>
      </c>
      <c r="E135" s="31" t="s">
        <v>2328</v>
      </c>
      <c r="F135" s="31" t="s">
        <v>139</v>
      </c>
      <c r="G135" s="37" t="s">
        <v>210</v>
      </c>
      <c r="H135" s="37" t="s">
        <v>2232</v>
      </c>
      <c r="I135" s="31" t="s">
        <v>2328</v>
      </c>
      <c r="J135" s="30" t="s">
        <v>220</v>
      </c>
      <c r="K135" s="31" t="s">
        <v>2328</v>
      </c>
    </row>
    <row r="136" spans="1:11" x14ac:dyDescent="0.25">
      <c r="A136" s="32" t="s">
        <v>380</v>
      </c>
      <c r="B136" s="31" t="b">
        <v>1</v>
      </c>
      <c r="C136" s="31">
        <v>0</v>
      </c>
      <c r="D136" s="31" t="s">
        <v>2364</v>
      </c>
      <c r="E136" s="31" t="s">
        <v>2328</v>
      </c>
      <c r="F136" s="31" t="s">
        <v>139</v>
      </c>
      <c r="G136" s="37" t="s">
        <v>210</v>
      </c>
      <c r="H136" s="37" t="s">
        <v>2232</v>
      </c>
      <c r="I136" s="31" t="s">
        <v>2328</v>
      </c>
      <c r="J136" s="30" t="s">
        <v>2328</v>
      </c>
      <c r="K136" s="31" t="s">
        <v>2328</v>
      </c>
    </row>
    <row r="137" spans="1:11" ht="409.5" x14ac:dyDescent="0.25">
      <c r="A137" s="32" t="s">
        <v>381</v>
      </c>
      <c r="B137" s="31" t="b">
        <v>0</v>
      </c>
      <c r="C137" s="31">
        <v>2</v>
      </c>
      <c r="D137" s="34" t="s">
        <v>382</v>
      </c>
      <c r="E137" s="31" t="s">
        <v>2328</v>
      </c>
      <c r="F137" s="31" t="s">
        <v>131</v>
      </c>
      <c r="G137" s="37" t="s">
        <v>210</v>
      </c>
      <c r="H137" s="37" t="s">
        <v>2232</v>
      </c>
      <c r="I137" s="31" t="s">
        <v>2328</v>
      </c>
      <c r="J137" s="30" t="s">
        <v>3408</v>
      </c>
      <c r="K137" s="31" t="s">
        <v>2328</v>
      </c>
    </row>
    <row r="138" spans="1:11" x14ac:dyDescent="0.25">
      <c r="A138" s="32" t="s">
        <v>285</v>
      </c>
      <c r="B138" s="31" t="b">
        <v>1</v>
      </c>
      <c r="C138" s="31">
        <v>2</v>
      </c>
      <c r="D138" s="34" t="s">
        <v>2345</v>
      </c>
      <c r="E138" s="31" t="s">
        <v>2328</v>
      </c>
      <c r="F138" s="31" t="s">
        <v>139</v>
      </c>
      <c r="G138" s="37" t="s">
        <v>210</v>
      </c>
      <c r="H138" s="37" t="s">
        <v>2232</v>
      </c>
      <c r="I138" s="31" t="s">
        <v>2328</v>
      </c>
      <c r="J138" s="30" t="s">
        <v>2328</v>
      </c>
      <c r="K138" s="31" t="s">
        <v>2328</v>
      </c>
    </row>
    <row r="139" spans="1:11" ht="195" x14ac:dyDescent="0.25">
      <c r="A139" s="32" t="s">
        <v>262</v>
      </c>
      <c r="B139" s="31" t="b">
        <v>1</v>
      </c>
      <c r="C139" s="31">
        <v>2</v>
      </c>
      <c r="D139" s="34" t="s">
        <v>2340</v>
      </c>
      <c r="E139" s="31" t="s">
        <v>2328</v>
      </c>
      <c r="F139" s="31" t="s">
        <v>139</v>
      </c>
      <c r="G139" s="37" t="s">
        <v>210</v>
      </c>
      <c r="H139" s="37" t="s">
        <v>2232</v>
      </c>
      <c r="I139" s="31" t="s">
        <v>2328</v>
      </c>
      <c r="J139" s="30" t="s">
        <v>264</v>
      </c>
      <c r="K139" s="31" t="s">
        <v>2328</v>
      </c>
    </row>
    <row r="140" spans="1:11" ht="345" x14ac:dyDescent="0.25">
      <c r="A140" s="32" t="s">
        <v>267</v>
      </c>
      <c r="B140" s="31" t="b">
        <v>1</v>
      </c>
      <c r="C140" s="31">
        <v>0</v>
      </c>
      <c r="D140" s="31" t="s">
        <v>2341</v>
      </c>
      <c r="E140" s="31" t="s">
        <v>2328</v>
      </c>
      <c r="F140" s="31" t="s">
        <v>139</v>
      </c>
      <c r="G140" s="37" t="s">
        <v>210</v>
      </c>
      <c r="H140" s="37" t="s">
        <v>2232</v>
      </c>
      <c r="I140" s="31" t="s">
        <v>2328</v>
      </c>
      <c r="J140" s="30" t="s">
        <v>269</v>
      </c>
      <c r="K140" s="31" t="s">
        <v>2328</v>
      </c>
    </row>
    <row r="141" spans="1:11" ht="300" x14ac:dyDescent="0.25">
      <c r="A141" s="32" t="s">
        <v>243</v>
      </c>
      <c r="B141" s="31" t="b">
        <v>0</v>
      </c>
      <c r="C141" s="31">
        <v>4</v>
      </c>
      <c r="D141" s="35" t="s">
        <v>244</v>
      </c>
      <c r="E141" s="31" t="s">
        <v>2328</v>
      </c>
      <c r="F141" s="31" t="s">
        <v>131</v>
      </c>
      <c r="G141" s="37" t="s">
        <v>210</v>
      </c>
      <c r="H141" s="37" t="s">
        <v>2232</v>
      </c>
      <c r="I141" s="31" t="s">
        <v>2328</v>
      </c>
      <c r="J141" s="30" t="s">
        <v>245</v>
      </c>
      <c r="K141" s="31" t="s">
        <v>2328</v>
      </c>
    </row>
    <row r="142" spans="1:11" ht="409.5" x14ac:dyDescent="0.25">
      <c r="A142" s="32" t="s">
        <v>486</v>
      </c>
      <c r="B142" s="31" t="b">
        <v>0</v>
      </c>
      <c r="C142" s="31">
        <v>2</v>
      </c>
      <c r="D142" s="34" t="s">
        <v>487</v>
      </c>
      <c r="E142" s="31" t="s">
        <v>2328</v>
      </c>
      <c r="F142" s="31" t="s">
        <v>131</v>
      </c>
      <c r="G142" s="37" t="s">
        <v>1402</v>
      </c>
      <c r="H142" s="37" t="s">
        <v>2265</v>
      </c>
      <c r="I142" s="31" t="s">
        <v>2328</v>
      </c>
      <c r="J142" s="30" t="s">
        <v>2508</v>
      </c>
      <c r="K142" s="28"/>
    </row>
    <row r="143" spans="1:11" x14ac:dyDescent="0.25">
      <c r="A143" s="32" t="s">
        <v>292</v>
      </c>
      <c r="B143" s="31" t="b">
        <v>1</v>
      </c>
      <c r="C143" s="31">
        <v>0</v>
      </c>
      <c r="D143" s="31" t="s">
        <v>2346</v>
      </c>
      <c r="E143" s="31" t="s">
        <v>2328</v>
      </c>
      <c r="F143" s="31" t="s">
        <v>139</v>
      </c>
      <c r="G143" s="37" t="s">
        <v>210</v>
      </c>
      <c r="H143" s="37" t="s">
        <v>2232</v>
      </c>
      <c r="I143" s="31" t="s">
        <v>2328</v>
      </c>
      <c r="J143" s="30" t="s">
        <v>2328</v>
      </c>
      <c r="K143" s="31" t="s">
        <v>2328</v>
      </c>
    </row>
    <row r="144" spans="1:11" ht="409.5" x14ac:dyDescent="0.25">
      <c r="A144" s="32" t="s">
        <v>294</v>
      </c>
      <c r="B144" s="31" t="b">
        <v>0</v>
      </c>
      <c r="C144" s="31">
        <v>2</v>
      </c>
      <c r="D144" s="34" t="s">
        <v>295</v>
      </c>
      <c r="E144" s="31" t="s">
        <v>2328</v>
      </c>
      <c r="F144" s="31" t="s">
        <v>131</v>
      </c>
      <c r="G144" s="37" t="s">
        <v>210</v>
      </c>
      <c r="H144" s="37" t="s">
        <v>2232</v>
      </c>
      <c r="I144" s="31" t="s">
        <v>2328</v>
      </c>
      <c r="J144" s="30" t="s">
        <v>2452</v>
      </c>
      <c r="K144" s="31" t="s">
        <v>2328</v>
      </c>
    </row>
    <row r="145" spans="1:11" ht="409.5" x14ac:dyDescent="0.25">
      <c r="A145" s="32" t="s">
        <v>296</v>
      </c>
      <c r="B145" s="31" t="b">
        <v>0</v>
      </c>
      <c r="C145" s="31">
        <v>2</v>
      </c>
      <c r="D145" s="34" t="s">
        <v>297</v>
      </c>
      <c r="E145" s="31" t="s">
        <v>2328</v>
      </c>
      <c r="F145" s="31" t="s">
        <v>131</v>
      </c>
      <c r="G145" s="37" t="s">
        <v>210</v>
      </c>
      <c r="H145" s="37" t="s">
        <v>2232</v>
      </c>
      <c r="I145" s="31" t="s">
        <v>2328</v>
      </c>
      <c r="J145" s="30" t="s">
        <v>2453</v>
      </c>
      <c r="K145" s="31" t="s">
        <v>2328</v>
      </c>
    </row>
    <row r="146" spans="1:11" x14ac:dyDescent="0.25">
      <c r="A146" s="32" t="s">
        <v>2459</v>
      </c>
      <c r="B146" s="31" t="b">
        <v>1</v>
      </c>
      <c r="C146" s="31">
        <v>0</v>
      </c>
      <c r="D146" s="33" t="s">
        <v>2436</v>
      </c>
      <c r="E146" s="31" t="s">
        <v>2328</v>
      </c>
      <c r="F146" s="31" t="s">
        <v>139</v>
      </c>
      <c r="G146" s="37" t="s">
        <v>210</v>
      </c>
      <c r="H146" s="37" t="s">
        <v>2232</v>
      </c>
      <c r="I146" s="31" t="s">
        <v>2328</v>
      </c>
      <c r="J146" s="30" t="s">
        <v>2328</v>
      </c>
      <c r="K146" s="31" t="s">
        <v>2328</v>
      </c>
    </row>
    <row r="147" spans="1:11" ht="409.5" x14ac:dyDescent="0.25">
      <c r="A147" s="32" t="s">
        <v>1261</v>
      </c>
      <c r="B147" s="31" t="b">
        <v>0</v>
      </c>
      <c r="C147" s="31">
        <v>2</v>
      </c>
      <c r="D147" s="34" t="s">
        <v>2461</v>
      </c>
      <c r="E147" s="31" t="s">
        <v>2328</v>
      </c>
      <c r="F147" s="31" t="s">
        <v>131</v>
      </c>
      <c r="G147" s="37" t="s">
        <v>210</v>
      </c>
      <c r="H147" s="37" t="s">
        <v>2232</v>
      </c>
      <c r="I147" s="31" t="s">
        <v>2328</v>
      </c>
      <c r="J147" s="30" t="s">
        <v>2462</v>
      </c>
      <c r="K147" s="31" t="s">
        <v>2328</v>
      </c>
    </row>
    <row r="148" spans="1:11" ht="409.5" x14ac:dyDescent="0.25">
      <c r="A148" s="32" t="s">
        <v>366</v>
      </c>
      <c r="B148" s="31" t="b">
        <v>0</v>
      </c>
      <c r="C148" s="31">
        <v>4</v>
      </c>
      <c r="D148" s="35" t="s">
        <v>367</v>
      </c>
      <c r="E148" s="31" t="s">
        <v>2328</v>
      </c>
      <c r="F148" s="31" t="s">
        <v>131</v>
      </c>
      <c r="G148" s="37" t="s">
        <v>1402</v>
      </c>
      <c r="H148" s="37" t="s">
        <v>2265</v>
      </c>
      <c r="I148" s="31" t="s">
        <v>2328</v>
      </c>
      <c r="J148" s="30" t="s">
        <v>2506</v>
      </c>
      <c r="K148" s="31" t="s">
        <v>2328</v>
      </c>
    </row>
    <row r="149" spans="1:11" x14ac:dyDescent="0.25">
      <c r="A149" s="32" t="s">
        <v>335</v>
      </c>
      <c r="B149" s="31" t="b">
        <v>0</v>
      </c>
      <c r="C149" s="31">
        <v>4</v>
      </c>
      <c r="D149" s="35" t="s">
        <v>336</v>
      </c>
      <c r="E149" s="31" t="s">
        <v>2328</v>
      </c>
      <c r="F149" s="31" t="s">
        <v>139</v>
      </c>
      <c r="G149" s="37" t="s">
        <v>210</v>
      </c>
      <c r="H149" s="37" t="s">
        <v>2232</v>
      </c>
      <c r="I149" s="31" t="s">
        <v>2328</v>
      </c>
      <c r="J149" s="30" t="s">
        <v>2328</v>
      </c>
      <c r="K149" s="31" t="s">
        <v>2328</v>
      </c>
    </row>
    <row r="150" spans="1:11" x14ac:dyDescent="0.25">
      <c r="A150" s="32" t="s">
        <v>2454</v>
      </c>
      <c r="B150" s="31" t="b">
        <v>1</v>
      </c>
      <c r="C150" s="31">
        <v>2</v>
      </c>
      <c r="D150" s="34" t="s">
        <v>2396</v>
      </c>
      <c r="E150" s="31" t="s">
        <v>2328</v>
      </c>
      <c r="F150" s="31" t="s">
        <v>139</v>
      </c>
      <c r="G150" s="37" t="s">
        <v>210</v>
      </c>
      <c r="H150" s="37" t="s">
        <v>2232</v>
      </c>
      <c r="I150" s="31" t="s">
        <v>2328</v>
      </c>
      <c r="J150" s="30" t="s">
        <v>2328</v>
      </c>
      <c r="K150" s="31" t="s">
        <v>2328</v>
      </c>
    </row>
    <row r="151" spans="1:11" x14ac:dyDescent="0.25">
      <c r="A151" s="32" t="s">
        <v>2456</v>
      </c>
      <c r="B151" s="31" t="b">
        <v>1</v>
      </c>
      <c r="C151" s="31">
        <v>2</v>
      </c>
      <c r="D151" s="34" t="s">
        <v>2427</v>
      </c>
      <c r="E151" s="31" t="s">
        <v>2328</v>
      </c>
      <c r="F151" s="31" t="s">
        <v>139</v>
      </c>
      <c r="G151" s="37" t="s">
        <v>210</v>
      </c>
      <c r="H151" s="37" t="s">
        <v>2232</v>
      </c>
      <c r="I151" s="31" t="s">
        <v>2328</v>
      </c>
      <c r="J151" s="30" t="s">
        <v>2328</v>
      </c>
      <c r="K151" s="31" t="s">
        <v>2328</v>
      </c>
    </row>
    <row r="152" spans="1:11" ht="409.5" x14ac:dyDescent="0.25">
      <c r="A152" s="32" t="s">
        <v>2470</v>
      </c>
      <c r="B152" s="31" t="b">
        <v>0</v>
      </c>
      <c r="C152" s="31">
        <v>4</v>
      </c>
      <c r="D152" s="35" t="s">
        <v>2471</v>
      </c>
      <c r="E152" s="31" t="s">
        <v>2328</v>
      </c>
      <c r="F152" s="31" t="s">
        <v>131</v>
      </c>
      <c r="G152" s="37" t="s">
        <v>210</v>
      </c>
      <c r="H152" s="37" t="s">
        <v>2232</v>
      </c>
      <c r="I152" s="31" t="s">
        <v>2328</v>
      </c>
      <c r="J152" s="30" t="s">
        <v>2472</v>
      </c>
      <c r="K152" s="31" t="s">
        <v>2328</v>
      </c>
    </row>
    <row r="153" spans="1:11" ht="30" x14ac:dyDescent="0.25">
      <c r="A153" s="15"/>
      <c r="B153" s="15"/>
      <c r="C153" s="15"/>
      <c r="D153" s="26" t="s">
        <v>3441</v>
      </c>
      <c r="E153" s="26"/>
      <c r="F153" s="28"/>
      <c r="G153" s="15"/>
      <c r="H153" s="15"/>
      <c r="I153" s="15"/>
      <c r="J153" s="15"/>
      <c r="K153" s="15"/>
    </row>
    <row r="154" spans="1:11" x14ac:dyDescent="0.25">
      <c r="A154" s="15"/>
      <c r="B154" s="15"/>
      <c r="C154" s="15"/>
      <c r="D154" s="20" t="s">
        <v>2327</v>
      </c>
      <c r="E154" s="20"/>
      <c r="F154" s="28"/>
      <c r="G154" s="15"/>
      <c r="H154" s="15"/>
      <c r="I154" s="15"/>
      <c r="J154" s="15"/>
      <c r="K154" s="15"/>
    </row>
    <row r="155" spans="1:11" x14ac:dyDescent="0.25">
      <c r="A155" s="15"/>
      <c r="B155" s="15"/>
      <c r="C155" s="15"/>
      <c r="D155" s="21" t="s">
        <v>3417</v>
      </c>
      <c r="E155" s="21"/>
      <c r="F155" s="28"/>
      <c r="G155" s="15"/>
      <c r="H155" s="15"/>
      <c r="I155" s="15"/>
      <c r="J155" s="15"/>
      <c r="K155" s="15"/>
    </row>
    <row r="156" spans="1:11" x14ac:dyDescent="0.25">
      <c r="A156" s="15"/>
      <c r="B156" s="15"/>
      <c r="C156" s="15"/>
      <c r="D156" s="20" t="s">
        <v>2330</v>
      </c>
      <c r="E156" s="20"/>
      <c r="F156" s="28"/>
      <c r="G156" s="15"/>
      <c r="H156" s="15"/>
      <c r="I156" s="15"/>
      <c r="J156" s="15"/>
      <c r="K156" s="15"/>
    </row>
    <row r="157" spans="1:11" x14ac:dyDescent="0.25">
      <c r="A157" s="15"/>
      <c r="B157" s="15"/>
      <c r="C157" s="15"/>
      <c r="D157" s="21" t="s">
        <v>3418</v>
      </c>
      <c r="E157" s="21"/>
      <c r="F157" s="28"/>
      <c r="G157" s="15"/>
      <c r="H157" s="15"/>
      <c r="I157" s="15"/>
      <c r="J157" s="15"/>
      <c r="K157" s="15"/>
    </row>
    <row r="158" spans="1:11" x14ac:dyDescent="0.25">
      <c r="A158" s="15"/>
      <c r="B158" s="15"/>
      <c r="C158" s="15"/>
      <c r="D158" s="20" t="s">
        <v>2388</v>
      </c>
      <c r="E158" s="20"/>
      <c r="F158" s="28"/>
      <c r="G158" s="15"/>
      <c r="H158" s="15"/>
      <c r="I158" s="15"/>
      <c r="J158" s="15"/>
      <c r="K158" s="15"/>
    </row>
    <row r="159" spans="1:11" x14ac:dyDescent="0.25">
      <c r="A159" s="15"/>
      <c r="B159" s="15"/>
      <c r="C159" s="15"/>
      <c r="D159" s="21" t="s">
        <v>3418</v>
      </c>
      <c r="E159" s="21"/>
      <c r="F159" s="28"/>
      <c r="G159" s="15"/>
      <c r="H159" s="15"/>
      <c r="I159" s="15"/>
      <c r="J159" s="15"/>
      <c r="K159" s="15"/>
    </row>
    <row r="160" spans="1:11" x14ac:dyDescent="0.25">
      <c r="A160" s="10"/>
      <c r="B160" s="7"/>
      <c r="C160" s="7"/>
      <c r="D160" s="13"/>
      <c r="E160" s="7"/>
      <c r="F160" s="18"/>
      <c r="G160" s="7"/>
      <c r="H160" s="6"/>
    </row>
    <row r="163" spans="1:8" x14ac:dyDescent="0.25">
      <c r="A163" s="10"/>
      <c r="B163" s="7"/>
      <c r="C163" s="7"/>
      <c r="D163" s="14"/>
      <c r="E163" s="7"/>
      <c r="F163" s="18"/>
      <c r="G163" s="7"/>
      <c r="H163" s="6"/>
    </row>
    <row r="164" spans="1:8" x14ac:dyDescent="0.25">
      <c r="A164" s="10"/>
      <c r="B164" s="7"/>
      <c r="C164" s="7"/>
      <c r="D164" s="13"/>
      <c r="E164" s="7"/>
      <c r="F164" s="18"/>
      <c r="G164" s="7"/>
      <c r="H164" s="6"/>
    </row>
    <row r="165" spans="1:8" x14ac:dyDescent="0.25">
      <c r="A165" s="10"/>
      <c r="B165" s="7"/>
      <c r="C165" s="7"/>
      <c r="D165" s="13"/>
      <c r="E165" s="7"/>
      <c r="F165" s="18"/>
      <c r="G165" s="7"/>
      <c r="H165" s="6"/>
    </row>
    <row r="166" spans="1:8" x14ac:dyDescent="0.25">
      <c r="A166" s="10"/>
      <c r="B166" s="7"/>
      <c r="C166" s="7"/>
      <c r="D166" s="13"/>
      <c r="E166" s="7"/>
      <c r="F166" s="18"/>
      <c r="G166" s="7"/>
      <c r="H166" s="6"/>
    </row>
    <row r="167" spans="1:8" x14ac:dyDescent="0.25">
      <c r="A167" s="10"/>
      <c r="B167" s="7"/>
      <c r="C167" s="7"/>
      <c r="D167" s="12"/>
      <c r="E167" s="7"/>
      <c r="F167" s="18"/>
      <c r="G167" s="7"/>
      <c r="H167" s="6"/>
    </row>
    <row r="168" spans="1:8" x14ac:dyDescent="0.25">
      <c r="A168" s="10"/>
      <c r="B168" s="7"/>
      <c r="C168" s="7"/>
      <c r="D168" s="12"/>
      <c r="E168" s="7"/>
      <c r="F168" s="18"/>
      <c r="G168" s="7"/>
      <c r="H168" s="6"/>
    </row>
    <row r="169" spans="1:8" x14ac:dyDescent="0.25">
      <c r="A169" s="10"/>
      <c r="B169" s="7"/>
      <c r="C169" s="7"/>
      <c r="D169" s="12"/>
      <c r="E169" s="7"/>
      <c r="F169" s="18"/>
      <c r="G169" s="7"/>
      <c r="H169" s="6"/>
    </row>
    <row r="170" spans="1:8" x14ac:dyDescent="0.25">
      <c r="A170" s="10"/>
      <c r="B170" s="7"/>
      <c r="C170" s="7"/>
      <c r="D170" s="12"/>
      <c r="E170" s="7"/>
      <c r="F170" s="18"/>
      <c r="G170" s="7"/>
      <c r="H170" s="6"/>
    </row>
    <row r="171" spans="1:8" x14ac:dyDescent="0.25">
      <c r="A171" s="10"/>
      <c r="B171" s="7"/>
      <c r="C171" s="7"/>
      <c r="D171" s="12"/>
      <c r="E171" s="7"/>
      <c r="F171" s="18"/>
      <c r="G171" s="7"/>
      <c r="H171" s="6"/>
    </row>
    <row r="172" spans="1:8" x14ac:dyDescent="0.25">
      <c r="A172" s="10"/>
      <c r="B172" s="7"/>
      <c r="C172" s="7"/>
      <c r="D172" s="13"/>
      <c r="E172" s="7"/>
      <c r="F172" s="18"/>
      <c r="G172" s="7"/>
      <c r="H172" s="6"/>
    </row>
    <row r="173" spans="1:8" x14ac:dyDescent="0.25">
      <c r="A173" s="10"/>
      <c r="B173" s="7"/>
      <c r="C173" s="7"/>
      <c r="D173" s="12"/>
      <c r="E173" s="7"/>
      <c r="F173" s="18"/>
      <c r="G173" s="7"/>
      <c r="H173" s="6"/>
    </row>
    <row r="174" spans="1:8" x14ac:dyDescent="0.25">
      <c r="A174" s="10"/>
      <c r="B174" s="7"/>
      <c r="C174" s="7"/>
      <c r="D174" s="12"/>
      <c r="E174" s="7"/>
      <c r="F174" s="18"/>
      <c r="G174" s="7"/>
      <c r="H174" s="6"/>
    </row>
    <row r="175" spans="1:8" x14ac:dyDescent="0.25">
      <c r="A175" s="10"/>
      <c r="B175" s="7"/>
      <c r="C175" s="7"/>
      <c r="D175" s="13"/>
      <c r="E175" s="7"/>
      <c r="F175" s="18"/>
      <c r="G175" s="7"/>
      <c r="H175" s="6"/>
    </row>
    <row r="176" spans="1:8" x14ac:dyDescent="0.25">
      <c r="A176" s="10"/>
      <c r="B176" s="7"/>
      <c r="C176" s="7"/>
      <c r="D176" s="12"/>
      <c r="E176" s="7"/>
      <c r="F176" s="18"/>
      <c r="G176" s="7"/>
      <c r="H176" s="6"/>
    </row>
    <row r="177" spans="1:8" x14ac:dyDescent="0.25">
      <c r="A177" s="10"/>
      <c r="B177" s="7"/>
      <c r="C177" s="7"/>
      <c r="D177" s="7"/>
      <c r="E177" s="7"/>
      <c r="F177" s="18"/>
      <c r="G177" s="7"/>
      <c r="H177" s="6"/>
    </row>
    <row r="178" spans="1:8" x14ac:dyDescent="0.25">
      <c r="A178" s="10"/>
      <c r="B178" s="7"/>
      <c r="C178" s="7"/>
      <c r="D178" s="12"/>
      <c r="E178" s="7"/>
      <c r="F178" s="18"/>
      <c r="G178" s="7"/>
      <c r="H178" s="6"/>
    </row>
    <row r="179" spans="1:8" x14ac:dyDescent="0.25">
      <c r="A179" s="10"/>
      <c r="B179" s="7"/>
      <c r="C179" s="7"/>
      <c r="D179" s="13"/>
      <c r="E179" s="7"/>
      <c r="F179" s="18"/>
      <c r="G179" s="7"/>
      <c r="H179" s="6"/>
    </row>
    <row r="180" spans="1:8" x14ac:dyDescent="0.25">
      <c r="A180" s="10"/>
      <c r="B180" s="7"/>
      <c r="C180" s="7"/>
      <c r="D180" s="13"/>
      <c r="E180" s="7"/>
      <c r="F180" s="18"/>
      <c r="G180" s="7"/>
      <c r="H180" s="6"/>
    </row>
    <row r="181" spans="1:8" x14ac:dyDescent="0.25">
      <c r="A181" s="10"/>
      <c r="B181" s="7"/>
      <c r="C181" s="7"/>
      <c r="D181" s="12"/>
      <c r="E181" s="7"/>
      <c r="F181" s="18"/>
      <c r="G181" s="7"/>
      <c r="H181" s="6"/>
    </row>
    <row r="182" spans="1:8" x14ac:dyDescent="0.25">
      <c r="A182" s="10"/>
      <c r="B182" s="7"/>
      <c r="C182" s="7"/>
      <c r="D182" s="14"/>
      <c r="E182" s="7"/>
      <c r="F182" s="18"/>
      <c r="G182" s="7"/>
      <c r="H182" s="6"/>
    </row>
    <row r="183" spans="1:8" x14ac:dyDescent="0.25">
      <c r="A183" s="10"/>
      <c r="B183" s="7"/>
      <c r="C183" s="7"/>
      <c r="D183" s="13"/>
      <c r="E183" s="7"/>
      <c r="F183" s="18"/>
      <c r="G183" s="7"/>
      <c r="H183" s="6"/>
    </row>
    <row r="184" spans="1:8" x14ac:dyDescent="0.25">
      <c r="A184" s="10"/>
      <c r="B184" s="7"/>
      <c r="C184" s="7"/>
      <c r="D184" s="12"/>
      <c r="E184" s="7"/>
      <c r="F184" s="18"/>
      <c r="G184" s="7"/>
      <c r="H184" s="6"/>
    </row>
    <row r="185" spans="1:8" x14ac:dyDescent="0.25">
      <c r="A185" s="10"/>
      <c r="B185" s="7"/>
      <c r="C185" s="7"/>
      <c r="D185" s="13"/>
      <c r="E185" s="7"/>
      <c r="F185" s="18"/>
      <c r="G185" s="7"/>
      <c r="H185" s="6"/>
    </row>
    <row r="186" spans="1:8" x14ac:dyDescent="0.25">
      <c r="A186" s="10"/>
      <c r="B186" s="7"/>
      <c r="C186" s="7"/>
      <c r="D186" s="13"/>
      <c r="E186" s="7"/>
      <c r="F186" s="18"/>
      <c r="G186" s="7"/>
      <c r="H186" s="6"/>
    </row>
    <row r="187" spans="1:8" x14ac:dyDescent="0.25">
      <c r="A187" s="10"/>
      <c r="B187" s="7"/>
      <c r="C187" s="7"/>
      <c r="D187" s="14"/>
      <c r="E187" s="7"/>
      <c r="F187" s="18"/>
      <c r="G187" s="7"/>
      <c r="H187" s="6"/>
    </row>
    <row r="188" spans="1:8" x14ac:dyDescent="0.25">
      <c r="A188" s="10"/>
      <c r="B188" s="7"/>
      <c r="C188" s="7"/>
      <c r="D188" s="7"/>
      <c r="E188" s="7"/>
      <c r="F188" s="18"/>
      <c r="G188" s="7"/>
      <c r="H188" s="6"/>
    </row>
    <row r="189" spans="1:8" x14ac:dyDescent="0.25">
      <c r="A189" s="10"/>
      <c r="B189" s="7"/>
      <c r="C189" s="7"/>
      <c r="D189" s="12"/>
      <c r="E189" s="7"/>
      <c r="F189" s="18"/>
      <c r="G189" s="7"/>
      <c r="H189" s="6"/>
    </row>
    <row r="190" spans="1:8" x14ac:dyDescent="0.25">
      <c r="A190" s="10"/>
      <c r="B190" s="7"/>
      <c r="C190" s="7"/>
      <c r="D190" s="7"/>
      <c r="E190" s="7"/>
      <c r="F190" s="18"/>
      <c r="G190" s="7"/>
      <c r="H190" s="6"/>
    </row>
    <row r="191" spans="1:8" x14ac:dyDescent="0.25">
      <c r="A191" s="10"/>
      <c r="B191" s="7"/>
      <c r="C191" s="7"/>
      <c r="D191" s="12"/>
      <c r="E191" s="7"/>
      <c r="F191" s="18"/>
      <c r="G191" s="7"/>
      <c r="H191" s="6"/>
    </row>
    <row r="192" spans="1:8" x14ac:dyDescent="0.25">
      <c r="A192" s="10"/>
      <c r="B192" s="7"/>
      <c r="C192" s="7"/>
      <c r="D192" s="13"/>
      <c r="E192" s="7"/>
      <c r="F192" s="18"/>
      <c r="G192" s="7"/>
      <c r="H192" s="6"/>
    </row>
    <row r="193" spans="1:8" x14ac:dyDescent="0.25">
      <c r="A193" s="10"/>
      <c r="B193" s="7"/>
      <c r="C193" s="7"/>
      <c r="D193" s="12"/>
      <c r="E193" s="7"/>
      <c r="F193" s="18"/>
      <c r="G193" s="7"/>
      <c r="H193" s="6"/>
    </row>
    <row r="194" spans="1:8" x14ac:dyDescent="0.25">
      <c r="A194" s="10"/>
      <c r="B194" s="7"/>
      <c r="C194" s="7"/>
      <c r="D194" s="7"/>
      <c r="E194" s="7"/>
      <c r="F194" s="18"/>
      <c r="G194" s="7"/>
      <c r="H194" s="6"/>
    </row>
    <row r="195" spans="1:8" x14ac:dyDescent="0.25">
      <c r="A195" s="10"/>
      <c r="B195" s="7"/>
      <c r="C195" s="7"/>
      <c r="D195" s="12"/>
      <c r="E195" s="7"/>
      <c r="F195" s="18"/>
      <c r="G195" s="7"/>
      <c r="H195" s="6"/>
    </row>
    <row r="196" spans="1:8" x14ac:dyDescent="0.25">
      <c r="A196" s="10"/>
      <c r="B196" s="7"/>
      <c r="C196" s="7"/>
      <c r="D196" s="13"/>
      <c r="E196" s="7"/>
      <c r="F196" s="18"/>
      <c r="G196" s="7"/>
      <c r="H196" s="6"/>
    </row>
  </sheetData>
  <sortState xmlns:xlrd2="http://schemas.microsoft.com/office/spreadsheetml/2017/richdata2" ref="A2:K196">
    <sortCondition ref="A1"/>
  </sortState>
  <conditionalFormatting sqref="D160:D191">
    <cfRule type="expression" dxfId="266" priority="16">
      <formula>$B160</formula>
    </cfRule>
  </conditionalFormatting>
  <conditionalFormatting sqref="E160:E191">
    <cfRule type="expression" dxfId="265" priority="15">
      <formula>$E160="Req"</formula>
    </cfRule>
  </conditionalFormatting>
  <conditionalFormatting sqref="G1">
    <cfRule type="cellIs" dxfId="264" priority="11" operator="equal">
      <formula>"Adara 1.1"</formula>
    </cfRule>
  </conditionalFormatting>
  <conditionalFormatting sqref="D1 K1 K9:K122">
    <cfRule type="expression" dxfId="263" priority="14">
      <formula>$B1</formula>
    </cfRule>
  </conditionalFormatting>
  <conditionalFormatting sqref="F1">
    <cfRule type="expression" dxfId="262" priority="13">
      <formula>$F1="Req"</formula>
    </cfRule>
  </conditionalFormatting>
  <conditionalFormatting sqref="H1">
    <cfRule type="cellIs" dxfId="261" priority="12" operator="equal">
      <formula>"Adara 1.1"</formula>
    </cfRule>
  </conditionalFormatting>
  <conditionalFormatting sqref="G2:G8">
    <cfRule type="cellIs" dxfId="260" priority="9" operator="equal">
      <formula>"Req"</formula>
    </cfRule>
  </conditionalFormatting>
  <conditionalFormatting sqref="J2:J8">
    <cfRule type="cellIs" dxfId="259" priority="8" operator="equal">
      <formula>"Adara 1.1"</formula>
    </cfRule>
  </conditionalFormatting>
  <conditionalFormatting sqref="E1">
    <cfRule type="expression" dxfId="258" priority="6">
      <formula>$B1</formula>
    </cfRule>
  </conditionalFormatting>
  <conditionalFormatting sqref="D9:E159">
    <cfRule type="expression" dxfId="257" priority="5">
      <formula>$B9</formula>
    </cfRule>
  </conditionalFormatting>
  <conditionalFormatting sqref="F9:F159">
    <cfRule type="expression" dxfId="256" priority="4">
      <formula>$F9="Req"</formula>
    </cfRule>
  </conditionalFormatting>
  <conditionalFormatting sqref="H9:H159">
    <cfRule type="cellIs" dxfId="255" priority="3" operator="notEqual">
      <formula>"Approved"</formula>
    </cfRule>
  </conditionalFormatting>
  <conditionalFormatting sqref="H9:H159">
    <cfRule type="cellIs" dxfId="254" priority="2" operator="equal">
      <formula>"Adara 1.1"</formula>
    </cfRule>
  </conditionalFormatting>
  <conditionalFormatting sqref="G9:G159">
    <cfRule type="cellIs" dxfId="253" priority="1" operator="equal">
      <formula>"Adara 1.1"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0" id="{BFB53BAA-DB39-4E01-90A7-E95FEBB9838D}">
            <xm:f>PFS!$C3</xm:f>
            <x14:dxf>
              <font>
                <b/>
                <i val="0"/>
              </font>
            </x14:dxf>
          </x14:cfRule>
          <xm:sqref>D2:E4</xm:sqref>
        </x14:conditionalFormatting>
        <x14:conditionalFormatting xmlns:xm="http://schemas.microsoft.com/office/excel/2006/main">
          <x14:cfRule type="expression" priority="7" id="{A7C92EDD-D634-4BD8-8F38-BBEA9E742CDC}">
            <xm:f>PFS!$B6</xm:f>
            <x14:dxf>
              <font>
                <b/>
                <i val="0"/>
              </font>
            </x14:dxf>
          </x14:cfRule>
          <xm:sqref>D5:E8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I207"/>
  <sheetViews>
    <sheetView workbookViewId="0">
      <selection activeCell="A21" sqref="A21"/>
    </sheetView>
  </sheetViews>
  <sheetFormatPr defaultRowHeight="15" x14ac:dyDescent="0.25"/>
  <cols>
    <col min="1" max="1" width="24.5703125" customWidth="1"/>
    <col min="4" max="4" width="58.85546875" customWidth="1"/>
    <col min="8" max="8" width="13.7109375" customWidth="1"/>
  </cols>
  <sheetData>
    <row r="1" spans="1:9" x14ac:dyDescent="0.25">
      <c r="A1" s="28" t="s">
        <v>133</v>
      </c>
      <c r="B1" s="28" t="s">
        <v>504</v>
      </c>
      <c r="C1" s="28" t="s">
        <v>134</v>
      </c>
      <c r="D1" s="28" t="s">
        <v>123</v>
      </c>
      <c r="E1" s="28" t="s">
        <v>8</v>
      </c>
      <c r="F1" s="28" t="s">
        <v>135</v>
      </c>
      <c r="G1" s="28" t="s">
        <v>122</v>
      </c>
      <c r="H1" s="28" t="s">
        <v>136</v>
      </c>
      <c r="I1" s="28" t="s">
        <v>2231</v>
      </c>
    </row>
    <row r="2" spans="1:9" ht="30" x14ac:dyDescent="0.25">
      <c r="A2" s="28" t="s">
        <v>137</v>
      </c>
      <c r="B2" s="28">
        <v>1</v>
      </c>
      <c r="C2" s="28">
        <v>1</v>
      </c>
      <c r="D2" s="9" t="s">
        <v>138</v>
      </c>
      <c r="E2" s="28" t="s">
        <v>139</v>
      </c>
      <c r="F2" s="30" t="s">
        <v>140</v>
      </c>
      <c r="G2" s="28"/>
      <c r="H2" s="28"/>
      <c r="I2" s="28" t="s">
        <v>2232</v>
      </c>
    </row>
    <row r="3" spans="1:9" ht="30" x14ac:dyDescent="0.25">
      <c r="A3" s="28" t="s">
        <v>141</v>
      </c>
      <c r="B3" s="28">
        <v>1.1000000000000001</v>
      </c>
      <c r="C3" s="28">
        <v>2</v>
      </c>
      <c r="D3" s="9" t="s">
        <v>142</v>
      </c>
      <c r="E3" s="28" t="s">
        <v>139</v>
      </c>
      <c r="F3" s="30" t="s">
        <v>140</v>
      </c>
      <c r="G3" s="28"/>
      <c r="H3" s="28"/>
      <c r="I3" s="28" t="s">
        <v>2232</v>
      </c>
    </row>
    <row r="4" spans="1:9" ht="30" x14ac:dyDescent="0.25">
      <c r="A4" s="28" t="s">
        <v>143</v>
      </c>
      <c r="B4" s="28" t="s">
        <v>505</v>
      </c>
      <c r="C4" s="28">
        <v>3</v>
      </c>
      <c r="D4" s="28" t="s">
        <v>144</v>
      </c>
      <c r="E4" s="28" t="s">
        <v>139</v>
      </c>
      <c r="F4" s="30" t="s">
        <v>140</v>
      </c>
      <c r="G4" s="28"/>
      <c r="H4" s="28"/>
      <c r="I4" s="28" t="s">
        <v>2232</v>
      </c>
    </row>
    <row r="5" spans="1:9" ht="30" x14ac:dyDescent="0.25">
      <c r="A5" s="28" t="s">
        <v>145</v>
      </c>
      <c r="B5" s="28" t="s">
        <v>506</v>
      </c>
      <c r="C5" s="28">
        <v>3</v>
      </c>
      <c r="D5" s="28" t="s">
        <v>117</v>
      </c>
      <c r="E5" s="28" t="s">
        <v>139</v>
      </c>
      <c r="F5" s="30" t="s">
        <v>140</v>
      </c>
      <c r="G5" s="28"/>
      <c r="H5" s="28"/>
      <c r="I5" s="28" t="s">
        <v>2232</v>
      </c>
    </row>
    <row r="6" spans="1:9" ht="30" x14ac:dyDescent="0.25">
      <c r="A6" s="28" t="s">
        <v>146</v>
      </c>
      <c r="B6" s="28" t="s">
        <v>507</v>
      </c>
      <c r="C6" s="28">
        <v>3</v>
      </c>
      <c r="D6" s="28" t="s">
        <v>147</v>
      </c>
      <c r="E6" s="28" t="s">
        <v>139</v>
      </c>
      <c r="F6" s="30" t="s">
        <v>140</v>
      </c>
      <c r="G6" s="28"/>
      <c r="H6" s="28"/>
      <c r="I6" s="28" t="s">
        <v>2232</v>
      </c>
    </row>
    <row r="7" spans="1:9" ht="30" x14ac:dyDescent="0.25">
      <c r="A7" s="28" t="s">
        <v>148</v>
      </c>
      <c r="B7" s="28" t="s">
        <v>508</v>
      </c>
      <c r="C7" s="28">
        <v>3</v>
      </c>
      <c r="D7" s="28" t="s">
        <v>116</v>
      </c>
      <c r="E7" s="28" t="s">
        <v>139</v>
      </c>
      <c r="F7" s="30" t="s">
        <v>140</v>
      </c>
      <c r="G7" s="28"/>
      <c r="H7" s="28"/>
      <c r="I7" s="28" t="s">
        <v>2232</v>
      </c>
    </row>
    <row r="8" spans="1:9" ht="30" x14ac:dyDescent="0.25">
      <c r="A8" s="28" t="s">
        <v>149</v>
      </c>
      <c r="B8" s="28" t="s">
        <v>509</v>
      </c>
      <c r="C8" s="28">
        <v>3</v>
      </c>
      <c r="D8" s="28" t="s">
        <v>150</v>
      </c>
      <c r="E8" s="28" t="s">
        <v>139</v>
      </c>
      <c r="F8" s="30" t="s">
        <v>140</v>
      </c>
      <c r="G8" s="28"/>
      <c r="H8" s="28"/>
      <c r="I8" s="28" t="s">
        <v>2232</v>
      </c>
    </row>
    <row r="9" spans="1:9" ht="30" x14ac:dyDescent="0.25">
      <c r="A9" s="28" t="s">
        <v>151</v>
      </c>
      <c r="B9" s="28" t="s">
        <v>510</v>
      </c>
      <c r="C9" s="28">
        <v>3</v>
      </c>
      <c r="D9" s="28" t="s">
        <v>115</v>
      </c>
      <c r="E9" s="28" t="s">
        <v>139</v>
      </c>
      <c r="F9" s="30" t="s">
        <v>140</v>
      </c>
      <c r="G9" s="28"/>
      <c r="H9" s="28"/>
      <c r="I9" s="28" t="s">
        <v>2232</v>
      </c>
    </row>
    <row r="10" spans="1:9" ht="30" x14ac:dyDescent="0.25">
      <c r="A10" s="28" t="s">
        <v>152</v>
      </c>
      <c r="B10" s="28" t="s">
        <v>511</v>
      </c>
      <c r="C10" s="28">
        <v>3</v>
      </c>
      <c r="D10" s="28" t="s">
        <v>114</v>
      </c>
      <c r="E10" s="28" t="s">
        <v>139</v>
      </c>
      <c r="F10" s="30" t="s">
        <v>140</v>
      </c>
      <c r="G10" s="28"/>
      <c r="H10" s="28"/>
      <c r="I10" s="28" t="s">
        <v>2232</v>
      </c>
    </row>
    <row r="11" spans="1:9" ht="30" x14ac:dyDescent="0.25">
      <c r="A11" s="28" t="s">
        <v>153</v>
      </c>
      <c r="B11" s="28" t="s">
        <v>512</v>
      </c>
      <c r="C11" s="28">
        <v>3</v>
      </c>
      <c r="D11" s="28" t="s">
        <v>113</v>
      </c>
      <c r="E11" s="28" t="s">
        <v>139</v>
      </c>
      <c r="F11" s="30" t="s">
        <v>140</v>
      </c>
      <c r="G11" s="28"/>
      <c r="H11" s="28"/>
      <c r="I11" s="28" t="s">
        <v>2232</v>
      </c>
    </row>
    <row r="12" spans="1:9" ht="30" x14ac:dyDescent="0.25">
      <c r="A12" s="28" t="s">
        <v>154</v>
      </c>
      <c r="B12" s="28" t="s">
        <v>513</v>
      </c>
      <c r="C12" s="28">
        <v>3</v>
      </c>
      <c r="D12" s="28" t="s">
        <v>112</v>
      </c>
      <c r="E12" s="28" t="s">
        <v>139</v>
      </c>
      <c r="F12" s="30" t="s">
        <v>140</v>
      </c>
      <c r="G12" s="28"/>
      <c r="H12" s="28"/>
      <c r="I12" s="28" t="s">
        <v>2232</v>
      </c>
    </row>
    <row r="13" spans="1:9" ht="30" x14ac:dyDescent="0.25">
      <c r="A13" s="28" t="s">
        <v>155</v>
      </c>
      <c r="B13" s="28" t="s">
        <v>514</v>
      </c>
      <c r="C13" s="28">
        <v>3</v>
      </c>
      <c r="D13" s="28" t="s">
        <v>111</v>
      </c>
      <c r="E13" s="28" t="s">
        <v>139</v>
      </c>
      <c r="F13" s="30" t="s">
        <v>140</v>
      </c>
      <c r="G13" s="28"/>
      <c r="H13" s="28"/>
      <c r="I13" s="28" t="s">
        <v>2232</v>
      </c>
    </row>
    <row r="14" spans="1:9" ht="30" x14ac:dyDescent="0.25">
      <c r="A14" s="28" t="s">
        <v>156</v>
      </c>
      <c r="B14" s="28" t="s">
        <v>515</v>
      </c>
      <c r="C14" s="28">
        <v>3</v>
      </c>
      <c r="D14" s="28" t="s">
        <v>110</v>
      </c>
      <c r="E14" s="28" t="s">
        <v>139</v>
      </c>
      <c r="F14" s="30" t="s">
        <v>140</v>
      </c>
      <c r="G14" s="28"/>
      <c r="H14" s="28"/>
      <c r="I14" s="28" t="s">
        <v>2232</v>
      </c>
    </row>
    <row r="15" spans="1:9" ht="30" x14ac:dyDescent="0.25">
      <c r="A15" s="28" t="s">
        <v>157</v>
      </c>
      <c r="B15" s="28" t="s">
        <v>516</v>
      </c>
      <c r="C15" s="28">
        <v>3</v>
      </c>
      <c r="D15" s="28" t="s">
        <v>158</v>
      </c>
      <c r="E15" s="28" t="s">
        <v>139</v>
      </c>
      <c r="F15" s="30" t="s">
        <v>140</v>
      </c>
      <c r="G15" s="28"/>
      <c r="H15" s="28"/>
      <c r="I15" s="28" t="s">
        <v>2232</v>
      </c>
    </row>
    <row r="16" spans="1:9" ht="30" x14ac:dyDescent="0.25">
      <c r="A16" s="28" t="s">
        <v>159</v>
      </c>
      <c r="B16" s="28" t="s">
        <v>517</v>
      </c>
      <c r="C16" s="28">
        <v>3</v>
      </c>
      <c r="D16" s="28" t="s">
        <v>109</v>
      </c>
      <c r="E16" s="28" t="s">
        <v>139</v>
      </c>
      <c r="F16" s="30" t="s">
        <v>140</v>
      </c>
      <c r="G16" s="28"/>
      <c r="H16" s="28"/>
      <c r="I16" s="28" t="s">
        <v>2232</v>
      </c>
    </row>
    <row r="17" spans="1:9" ht="30" x14ac:dyDescent="0.25">
      <c r="A17" s="28" t="s">
        <v>160</v>
      </c>
      <c r="B17" s="28" t="s">
        <v>518</v>
      </c>
      <c r="C17" s="28">
        <v>3</v>
      </c>
      <c r="D17" s="28" t="s">
        <v>108</v>
      </c>
      <c r="E17" s="28" t="s">
        <v>139</v>
      </c>
      <c r="F17" s="30" t="s">
        <v>140</v>
      </c>
      <c r="G17" s="28"/>
      <c r="H17" s="28"/>
      <c r="I17" s="28" t="s">
        <v>2232</v>
      </c>
    </row>
    <row r="18" spans="1:9" ht="30" x14ac:dyDescent="0.25">
      <c r="A18" s="28" t="s">
        <v>161</v>
      </c>
      <c r="B18" s="28" t="s">
        <v>519</v>
      </c>
      <c r="C18" s="28">
        <v>3</v>
      </c>
      <c r="D18" s="28" t="s">
        <v>162</v>
      </c>
      <c r="E18" s="28" t="s">
        <v>139</v>
      </c>
      <c r="F18" s="30" t="s">
        <v>140</v>
      </c>
      <c r="G18" s="28"/>
      <c r="H18" s="28"/>
      <c r="I18" s="28" t="s">
        <v>2232</v>
      </c>
    </row>
    <row r="19" spans="1:9" ht="30" x14ac:dyDescent="0.25">
      <c r="A19" s="28" t="s">
        <v>163</v>
      </c>
      <c r="B19" s="28" t="s">
        <v>520</v>
      </c>
      <c r="C19" s="28">
        <v>3</v>
      </c>
      <c r="D19" s="28" t="s">
        <v>164</v>
      </c>
      <c r="E19" s="28" t="s">
        <v>139</v>
      </c>
      <c r="F19" s="30" t="s">
        <v>140</v>
      </c>
      <c r="G19" s="28"/>
      <c r="H19" s="28"/>
      <c r="I19" s="28" t="s">
        <v>2232</v>
      </c>
    </row>
    <row r="20" spans="1:9" ht="30" x14ac:dyDescent="0.25">
      <c r="A20" s="28" t="s">
        <v>165</v>
      </c>
      <c r="B20" s="28" t="s">
        <v>521</v>
      </c>
      <c r="C20" s="28">
        <v>3</v>
      </c>
      <c r="D20" s="28" t="s">
        <v>166</v>
      </c>
      <c r="E20" s="28" t="s">
        <v>139</v>
      </c>
      <c r="F20" s="30" t="s">
        <v>140</v>
      </c>
      <c r="G20" s="28"/>
      <c r="H20" s="28"/>
      <c r="I20" s="28" t="s">
        <v>2232</v>
      </c>
    </row>
    <row r="21" spans="1:9" ht="30" x14ac:dyDescent="0.25">
      <c r="A21" s="28" t="s">
        <v>167</v>
      </c>
      <c r="B21" s="28">
        <v>1.2</v>
      </c>
      <c r="C21" s="28">
        <v>2</v>
      </c>
      <c r="D21" s="9" t="s">
        <v>168</v>
      </c>
      <c r="E21" s="28" t="s">
        <v>139</v>
      </c>
      <c r="F21" s="30" t="s">
        <v>140</v>
      </c>
      <c r="G21" s="28"/>
      <c r="H21" s="28"/>
      <c r="I21" s="28" t="s">
        <v>2232</v>
      </c>
    </row>
    <row r="22" spans="1:9" ht="30" x14ac:dyDescent="0.25">
      <c r="A22" s="28" t="s">
        <v>169</v>
      </c>
      <c r="B22" s="28" t="s">
        <v>522</v>
      </c>
      <c r="C22" s="28">
        <v>3</v>
      </c>
      <c r="D22" s="28" t="s">
        <v>107</v>
      </c>
      <c r="E22" s="28" t="s">
        <v>139</v>
      </c>
      <c r="F22" s="30" t="s">
        <v>140</v>
      </c>
      <c r="G22" s="28"/>
      <c r="H22" s="28"/>
      <c r="I22" s="28" t="s">
        <v>2232</v>
      </c>
    </row>
    <row r="23" spans="1:9" ht="30" x14ac:dyDescent="0.25">
      <c r="A23" s="28" t="s">
        <v>170</v>
      </c>
      <c r="B23" s="28" t="s">
        <v>523</v>
      </c>
      <c r="C23" s="28">
        <v>3</v>
      </c>
      <c r="D23" s="28" t="s">
        <v>106</v>
      </c>
      <c r="E23" s="28" t="s">
        <v>139</v>
      </c>
      <c r="F23" s="30" t="s">
        <v>140</v>
      </c>
      <c r="G23" s="28"/>
      <c r="H23" s="28"/>
      <c r="I23" s="28" t="s">
        <v>2232</v>
      </c>
    </row>
    <row r="24" spans="1:9" ht="30" x14ac:dyDescent="0.25">
      <c r="A24" s="28" t="s">
        <v>171</v>
      </c>
      <c r="B24" s="28" t="s">
        <v>524</v>
      </c>
      <c r="C24" s="28">
        <v>3</v>
      </c>
      <c r="D24" s="28" t="s">
        <v>105</v>
      </c>
      <c r="E24" s="28" t="s">
        <v>139</v>
      </c>
      <c r="F24" s="30" t="s">
        <v>140</v>
      </c>
      <c r="G24" s="28"/>
      <c r="H24" s="28"/>
      <c r="I24" s="28" t="s">
        <v>2232</v>
      </c>
    </row>
    <row r="25" spans="1:9" ht="30" x14ac:dyDescent="0.25">
      <c r="A25" s="28" t="s">
        <v>172</v>
      </c>
      <c r="B25" s="28" t="s">
        <v>525</v>
      </c>
      <c r="C25" s="28">
        <v>3</v>
      </c>
      <c r="D25" s="28" t="s">
        <v>104</v>
      </c>
      <c r="E25" s="28" t="s">
        <v>139</v>
      </c>
      <c r="F25" s="30" t="s">
        <v>140</v>
      </c>
      <c r="G25" s="28"/>
      <c r="H25" s="28"/>
      <c r="I25" s="28" t="s">
        <v>2232</v>
      </c>
    </row>
    <row r="26" spans="1:9" ht="30" x14ac:dyDescent="0.25">
      <c r="A26" s="28" t="s">
        <v>173</v>
      </c>
      <c r="B26" s="28" t="s">
        <v>526</v>
      </c>
      <c r="C26" s="28">
        <v>3</v>
      </c>
      <c r="D26" s="28" t="s">
        <v>103</v>
      </c>
      <c r="E26" s="28" t="s">
        <v>139</v>
      </c>
      <c r="F26" s="30" t="s">
        <v>140</v>
      </c>
      <c r="G26" s="28"/>
      <c r="H26" s="28"/>
      <c r="I26" s="28" t="s">
        <v>2232</v>
      </c>
    </row>
    <row r="27" spans="1:9" ht="30" x14ac:dyDescent="0.25">
      <c r="A27" s="28" t="s">
        <v>174</v>
      </c>
      <c r="B27" s="28" t="s">
        <v>527</v>
      </c>
      <c r="C27" s="28">
        <v>3</v>
      </c>
      <c r="D27" s="28" t="s">
        <v>102</v>
      </c>
      <c r="E27" s="28" t="s">
        <v>139</v>
      </c>
      <c r="F27" s="30" t="s">
        <v>140</v>
      </c>
      <c r="G27" s="28"/>
      <c r="H27" s="28"/>
      <c r="I27" s="28" t="s">
        <v>2232</v>
      </c>
    </row>
    <row r="28" spans="1:9" ht="30" x14ac:dyDescent="0.25">
      <c r="A28" s="28" t="s">
        <v>175</v>
      </c>
      <c r="B28" s="28" t="s">
        <v>528</v>
      </c>
      <c r="C28" s="28">
        <v>3</v>
      </c>
      <c r="D28" s="28" t="s">
        <v>101</v>
      </c>
      <c r="E28" s="28" t="s">
        <v>139</v>
      </c>
      <c r="F28" s="30" t="s">
        <v>140</v>
      </c>
      <c r="G28" s="28"/>
      <c r="H28" s="28"/>
      <c r="I28" s="28" t="s">
        <v>2232</v>
      </c>
    </row>
    <row r="29" spans="1:9" ht="30" x14ac:dyDescent="0.25">
      <c r="A29" s="28" t="s">
        <v>176</v>
      </c>
      <c r="B29" s="28" t="s">
        <v>529</v>
      </c>
      <c r="C29" s="28">
        <v>3</v>
      </c>
      <c r="D29" s="28" t="s">
        <v>100</v>
      </c>
      <c r="E29" s="28" t="s">
        <v>139</v>
      </c>
      <c r="F29" s="30" t="s">
        <v>140</v>
      </c>
      <c r="G29" s="28"/>
      <c r="H29" s="28"/>
      <c r="I29" s="28" t="s">
        <v>2232</v>
      </c>
    </row>
    <row r="30" spans="1:9" ht="30" x14ac:dyDescent="0.25">
      <c r="A30" s="28" t="s">
        <v>177</v>
      </c>
      <c r="B30" s="28">
        <v>2</v>
      </c>
      <c r="C30" s="28">
        <v>1</v>
      </c>
      <c r="D30" s="9" t="s">
        <v>99</v>
      </c>
      <c r="E30" s="28" t="s">
        <v>139</v>
      </c>
      <c r="F30" s="30" t="s">
        <v>140</v>
      </c>
      <c r="G30" s="28"/>
      <c r="H30" s="28"/>
      <c r="I30" s="28" t="s">
        <v>2232</v>
      </c>
    </row>
    <row r="31" spans="1:9" ht="30" x14ac:dyDescent="0.25">
      <c r="A31" s="28" t="s">
        <v>178</v>
      </c>
      <c r="B31" s="28" t="s">
        <v>530</v>
      </c>
      <c r="C31" s="28">
        <v>2</v>
      </c>
      <c r="D31" s="28" t="s">
        <v>179</v>
      </c>
      <c r="E31" s="28" t="s">
        <v>139</v>
      </c>
      <c r="F31" s="30" t="s">
        <v>140</v>
      </c>
      <c r="G31" s="28"/>
      <c r="H31" s="28"/>
      <c r="I31" s="28" t="s">
        <v>2232</v>
      </c>
    </row>
    <row r="32" spans="1:9" ht="30" x14ac:dyDescent="0.25">
      <c r="A32" s="28" t="s">
        <v>180</v>
      </c>
      <c r="B32" s="28" t="s">
        <v>531</v>
      </c>
      <c r="C32" s="28">
        <v>2</v>
      </c>
      <c r="D32" s="28" t="s">
        <v>181</v>
      </c>
      <c r="E32" s="28" t="s">
        <v>139</v>
      </c>
      <c r="F32" s="30" t="s">
        <v>140</v>
      </c>
      <c r="G32" s="28"/>
      <c r="H32" s="28"/>
      <c r="I32" s="28" t="s">
        <v>2232</v>
      </c>
    </row>
    <row r="33" spans="1:9" ht="30" x14ac:dyDescent="0.25">
      <c r="A33" s="28" t="s">
        <v>182</v>
      </c>
      <c r="B33" s="28" t="s">
        <v>532</v>
      </c>
      <c r="C33" s="28">
        <v>2</v>
      </c>
      <c r="D33" s="28" t="s">
        <v>98</v>
      </c>
      <c r="E33" s="28" t="s">
        <v>139</v>
      </c>
      <c r="F33" s="30" t="s">
        <v>140</v>
      </c>
      <c r="G33" s="28"/>
      <c r="H33" s="28"/>
      <c r="I33" s="28" t="s">
        <v>2232</v>
      </c>
    </row>
    <row r="34" spans="1:9" ht="30" x14ac:dyDescent="0.25">
      <c r="A34" s="28" t="s">
        <v>183</v>
      </c>
      <c r="B34" s="28" t="s">
        <v>533</v>
      </c>
      <c r="C34" s="28">
        <v>2</v>
      </c>
      <c r="D34" s="28" t="s">
        <v>184</v>
      </c>
      <c r="E34" s="28" t="s">
        <v>139</v>
      </c>
      <c r="F34" s="30" t="s">
        <v>140</v>
      </c>
      <c r="G34" s="28"/>
      <c r="H34" s="28"/>
      <c r="I34" s="28" t="s">
        <v>2232</v>
      </c>
    </row>
    <row r="35" spans="1:9" ht="30" x14ac:dyDescent="0.25">
      <c r="A35" s="28" t="s">
        <v>185</v>
      </c>
      <c r="B35" s="28" t="s">
        <v>534</v>
      </c>
      <c r="C35" s="28">
        <v>2</v>
      </c>
      <c r="D35" s="28" t="s">
        <v>186</v>
      </c>
      <c r="E35" s="28" t="s">
        <v>139</v>
      </c>
      <c r="F35" s="30" t="s">
        <v>140</v>
      </c>
      <c r="G35" s="28"/>
      <c r="H35" s="28"/>
      <c r="I35" s="28" t="s">
        <v>2232</v>
      </c>
    </row>
    <row r="36" spans="1:9" ht="30" x14ac:dyDescent="0.25">
      <c r="A36" s="28" t="s">
        <v>187</v>
      </c>
      <c r="B36" s="28" t="s">
        <v>535</v>
      </c>
      <c r="C36" s="28">
        <v>2</v>
      </c>
      <c r="D36" s="28" t="s">
        <v>97</v>
      </c>
      <c r="E36" s="28" t="s">
        <v>139</v>
      </c>
      <c r="F36" s="30" t="s">
        <v>140</v>
      </c>
      <c r="G36" s="28"/>
      <c r="H36" s="28"/>
      <c r="I36" s="28" t="s">
        <v>2232</v>
      </c>
    </row>
    <row r="37" spans="1:9" ht="30" x14ac:dyDescent="0.25">
      <c r="A37" s="28" t="s">
        <v>188</v>
      </c>
      <c r="B37" s="28" t="s">
        <v>536</v>
      </c>
      <c r="C37" s="28">
        <v>2</v>
      </c>
      <c r="D37" s="28" t="s">
        <v>189</v>
      </c>
      <c r="E37" s="28" t="s">
        <v>139</v>
      </c>
      <c r="F37" s="30" t="s">
        <v>140</v>
      </c>
      <c r="G37" s="28"/>
      <c r="H37" s="28"/>
      <c r="I37" s="28" t="s">
        <v>2232</v>
      </c>
    </row>
    <row r="38" spans="1:9" ht="30" x14ac:dyDescent="0.25">
      <c r="A38" s="28" t="s">
        <v>190</v>
      </c>
      <c r="B38" s="28" t="s">
        <v>537</v>
      </c>
      <c r="C38" s="28">
        <v>2</v>
      </c>
      <c r="D38" s="28" t="s">
        <v>191</v>
      </c>
      <c r="E38" s="28" t="s">
        <v>139</v>
      </c>
      <c r="F38" s="30" t="s">
        <v>140</v>
      </c>
      <c r="G38" s="28"/>
      <c r="H38" s="28"/>
      <c r="I38" s="28" t="s">
        <v>2232</v>
      </c>
    </row>
    <row r="39" spans="1:9" ht="30" x14ac:dyDescent="0.25">
      <c r="A39" s="28" t="s">
        <v>192</v>
      </c>
      <c r="B39" s="28" t="s">
        <v>538</v>
      </c>
      <c r="C39" s="28">
        <v>2</v>
      </c>
      <c r="D39" s="28" t="s">
        <v>193</v>
      </c>
      <c r="E39" s="28" t="s">
        <v>139</v>
      </c>
      <c r="F39" s="30" t="s">
        <v>140</v>
      </c>
      <c r="G39" s="28"/>
      <c r="H39" s="28"/>
      <c r="I39" s="28" t="s">
        <v>2232</v>
      </c>
    </row>
    <row r="40" spans="1:9" ht="30" x14ac:dyDescent="0.25">
      <c r="A40" s="28" t="s">
        <v>194</v>
      </c>
      <c r="B40" s="28" t="s">
        <v>539</v>
      </c>
      <c r="C40" s="28">
        <v>2</v>
      </c>
      <c r="D40" s="28" t="s">
        <v>195</v>
      </c>
      <c r="E40" s="28" t="s">
        <v>139</v>
      </c>
      <c r="F40" s="30" t="s">
        <v>140</v>
      </c>
      <c r="G40" s="28"/>
      <c r="H40" s="28"/>
      <c r="I40" s="28" t="s">
        <v>2232</v>
      </c>
    </row>
    <row r="41" spans="1:9" ht="30" x14ac:dyDescent="0.25">
      <c r="A41" s="28" t="s">
        <v>196</v>
      </c>
      <c r="B41" s="28" t="s">
        <v>540</v>
      </c>
      <c r="C41" s="28">
        <v>2</v>
      </c>
      <c r="D41" s="28" t="s">
        <v>197</v>
      </c>
      <c r="E41" s="28" t="s">
        <v>139</v>
      </c>
      <c r="F41" s="30" t="s">
        <v>140</v>
      </c>
      <c r="G41" s="28"/>
      <c r="H41" s="28"/>
      <c r="I41" s="28" t="s">
        <v>2232</v>
      </c>
    </row>
    <row r="42" spans="1:9" ht="30" x14ac:dyDescent="0.25">
      <c r="A42" s="28" t="s">
        <v>198</v>
      </c>
      <c r="B42" s="28">
        <v>3</v>
      </c>
      <c r="C42" s="28">
        <v>1</v>
      </c>
      <c r="D42" s="9" t="s">
        <v>199</v>
      </c>
      <c r="E42" s="28" t="s">
        <v>139</v>
      </c>
      <c r="F42" s="30" t="s">
        <v>140</v>
      </c>
      <c r="G42" s="28"/>
      <c r="H42" s="28"/>
      <c r="I42" s="28" t="s">
        <v>2232</v>
      </c>
    </row>
    <row r="43" spans="1:9" ht="30" x14ac:dyDescent="0.25">
      <c r="A43" s="28" t="s">
        <v>200</v>
      </c>
      <c r="B43" s="28" t="s">
        <v>541</v>
      </c>
      <c r="C43" s="28">
        <v>2</v>
      </c>
      <c r="D43" s="28" t="s">
        <v>201</v>
      </c>
      <c r="E43" s="28" t="s">
        <v>139</v>
      </c>
      <c r="F43" s="30" t="s">
        <v>140</v>
      </c>
      <c r="G43" s="28"/>
      <c r="H43" s="28"/>
      <c r="I43" s="28" t="s">
        <v>2232</v>
      </c>
    </row>
    <row r="44" spans="1:9" ht="30" x14ac:dyDescent="0.25">
      <c r="A44" s="28" t="s">
        <v>202</v>
      </c>
      <c r="B44" s="28" t="s">
        <v>542</v>
      </c>
      <c r="C44" s="28">
        <v>2</v>
      </c>
      <c r="D44" s="28" t="s">
        <v>203</v>
      </c>
      <c r="E44" s="28" t="s">
        <v>139</v>
      </c>
      <c r="F44" s="30" t="s">
        <v>140</v>
      </c>
      <c r="G44" s="28"/>
      <c r="H44" s="28"/>
      <c r="I44" s="28" t="s">
        <v>2232</v>
      </c>
    </row>
    <row r="45" spans="1:9" ht="30" x14ac:dyDescent="0.25">
      <c r="A45" s="28" t="s">
        <v>204</v>
      </c>
      <c r="B45" s="28" t="s">
        <v>543</v>
      </c>
      <c r="C45" s="28">
        <v>2</v>
      </c>
      <c r="D45" s="28" t="s">
        <v>205</v>
      </c>
      <c r="E45" s="28" t="s">
        <v>139</v>
      </c>
      <c r="F45" s="30" t="s">
        <v>140</v>
      </c>
      <c r="G45" s="28"/>
      <c r="H45" s="28"/>
      <c r="I45" s="28" t="s">
        <v>2232</v>
      </c>
    </row>
    <row r="46" spans="1:9" ht="30" x14ac:dyDescent="0.25">
      <c r="A46" s="28" t="s">
        <v>206</v>
      </c>
      <c r="B46" s="28">
        <v>4</v>
      </c>
      <c r="C46" s="28">
        <v>1</v>
      </c>
      <c r="D46" s="9" t="s">
        <v>207</v>
      </c>
      <c r="E46" s="28" t="s">
        <v>139</v>
      </c>
      <c r="F46" s="30" t="s">
        <v>140</v>
      </c>
      <c r="G46" s="28"/>
      <c r="H46" s="28" t="s">
        <v>208</v>
      </c>
      <c r="I46" s="28" t="s">
        <v>2232</v>
      </c>
    </row>
    <row r="47" spans="1:9" x14ac:dyDescent="0.25">
      <c r="A47" s="28" t="s">
        <v>209</v>
      </c>
      <c r="B47" s="28" t="s">
        <v>544</v>
      </c>
      <c r="C47" s="28">
        <v>2</v>
      </c>
      <c r="D47" s="28" t="s">
        <v>2441</v>
      </c>
      <c r="E47" s="28" t="s">
        <v>131</v>
      </c>
      <c r="F47" s="28" t="s">
        <v>210</v>
      </c>
      <c r="G47" s="28"/>
      <c r="H47" s="28" t="s">
        <v>2442</v>
      </c>
      <c r="I47" s="28" t="s">
        <v>2232</v>
      </c>
    </row>
    <row r="48" spans="1:9" ht="210" x14ac:dyDescent="0.25">
      <c r="A48" s="28" t="s">
        <v>211</v>
      </c>
      <c r="B48" s="28" t="s">
        <v>545</v>
      </c>
      <c r="C48" s="28">
        <v>2</v>
      </c>
      <c r="D48" s="28" t="s">
        <v>212</v>
      </c>
      <c r="E48" s="28" t="s">
        <v>131</v>
      </c>
      <c r="F48" s="28" t="s">
        <v>210</v>
      </c>
      <c r="G48" s="28"/>
      <c r="H48" s="30" t="s">
        <v>3774</v>
      </c>
      <c r="I48" s="28" t="s">
        <v>2232</v>
      </c>
    </row>
    <row r="49" spans="1:9" ht="409.5" x14ac:dyDescent="0.25">
      <c r="A49" s="28" t="s">
        <v>3679</v>
      </c>
      <c r="B49" s="28" t="s">
        <v>3775</v>
      </c>
      <c r="C49" s="28">
        <v>2</v>
      </c>
      <c r="D49" s="28" t="s">
        <v>3776</v>
      </c>
      <c r="E49" s="28" t="s">
        <v>131</v>
      </c>
      <c r="F49" s="28" t="s">
        <v>3692</v>
      </c>
      <c r="G49" s="28"/>
      <c r="H49" s="30" t="s">
        <v>3777</v>
      </c>
      <c r="I49" s="28" t="s">
        <v>2473</v>
      </c>
    </row>
    <row r="50" spans="1:9" ht="30" x14ac:dyDescent="0.25">
      <c r="A50" s="28" t="s">
        <v>214</v>
      </c>
      <c r="B50" s="28">
        <v>5</v>
      </c>
      <c r="C50" s="28">
        <v>1</v>
      </c>
      <c r="D50" s="9" t="s">
        <v>215</v>
      </c>
      <c r="E50" s="28" t="s">
        <v>139</v>
      </c>
      <c r="F50" s="30" t="s">
        <v>140</v>
      </c>
      <c r="G50" s="28"/>
      <c r="H50" s="28" t="s">
        <v>3404</v>
      </c>
      <c r="I50" s="28" t="s">
        <v>2232</v>
      </c>
    </row>
    <row r="51" spans="1:9" ht="409.5" x14ac:dyDescent="0.25">
      <c r="A51" s="28" t="s">
        <v>216</v>
      </c>
      <c r="B51" s="28" t="s">
        <v>546</v>
      </c>
      <c r="C51" s="28">
        <v>2</v>
      </c>
      <c r="D51" s="28" t="s">
        <v>217</v>
      </c>
      <c r="E51" s="28" t="s">
        <v>131</v>
      </c>
      <c r="F51" s="30" t="s">
        <v>140</v>
      </c>
      <c r="G51" s="28"/>
      <c r="H51" s="30" t="s">
        <v>2443</v>
      </c>
      <c r="I51" s="28" t="s">
        <v>2232</v>
      </c>
    </row>
    <row r="52" spans="1:9" x14ac:dyDescent="0.25">
      <c r="A52" s="28" t="s">
        <v>218</v>
      </c>
      <c r="B52" s="28">
        <v>6</v>
      </c>
      <c r="C52" s="28">
        <v>1</v>
      </c>
      <c r="D52" s="9" t="s">
        <v>219</v>
      </c>
      <c r="E52" s="28" t="s">
        <v>139</v>
      </c>
      <c r="F52" s="28" t="s">
        <v>210</v>
      </c>
      <c r="G52" s="28"/>
      <c r="H52" s="28" t="s">
        <v>220</v>
      </c>
      <c r="I52" s="28" t="s">
        <v>2232</v>
      </c>
    </row>
    <row r="53" spans="1:9" ht="270" x14ac:dyDescent="0.25">
      <c r="A53" s="28" t="s">
        <v>221</v>
      </c>
      <c r="B53" s="28" t="s">
        <v>547</v>
      </c>
      <c r="C53" s="28">
        <v>2</v>
      </c>
      <c r="D53" s="28" t="s">
        <v>222</v>
      </c>
      <c r="E53" s="28" t="s">
        <v>131</v>
      </c>
      <c r="F53" s="28" t="s">
        <v>210</v>
      </c>
      <c r="G53" s="28"/>
      <c r="H53" s="30" t="s">
        <v>3778</v>
      </c>
      <c r="I53" s="28" t="s">
        <v>2232</v>
      </c>
    </row>
    <row r="54" spans="1:9" ht="120" x14ac:dyDescent="0.25">
      <c r="A54" s="28" t="s">
        <v>224</v>
      </c>
      <c r="B54" s="28">
        <v>7</v>
      </c>
      <c r="C54" s="28">
        <v>1</v>
      </c>
      <c r="D54" s="9" t="s">
        <v>225</v>
      </c>
      <c r="E54" s="28" t="s">
        <v>139</v>
      </c>
      <c r="F54" s="30" t="s">
        <v>140</v>
      </c>
      <c r="G54" s="28"/>
      <c r="H54" s="30" t="s">
        <v>226</v>
      </c>
      <c r="I54" s="28" t="s">
        <v>2232</v>
      </c>
    </row>
    <row r="55" spans="1:9" ht="30" x14ac:dyDescent="0.25">
      <c r="A55" s="28" t="s">
        <v>227</v>
      </c>
      <c r="B55" s="28">
        <v>7.1</v>
      </c>
      <c r="C55" s="28">
        <v>2</v>
      </c>
      <c r="D55" s="9" t="s">
        <v>228</v>
      </c>
      <c r="E55" s="28" t="s">
        <v>139</v>
      </c>
      <c r="F55" s="30" t="s">
        <v>140</v>
      </c>
      <c r="G55" s="28"/>
      <c r="H55" s="28" t="s">
        <v>229</v>
      </c>
      <c r="I55" s="28" t="s">
        <v>2232</v>
      </c>
    </row>
    <row r="56" spans="1:9" ht="285" x14ac:dyDescent="0.25">
      <c r="A56" s="28" t="s">
        <v>230</v>
      </c>
      <c r="B56" s="28" t="s">
        <v>548</v>
      </c>
      <c r="C56" s="28">
        <v>3</v>
      </c>
      <c r="D56" s="28" t="s">
        <v>2444</v>
      </c>
      <c r="E56" s="28" t="s">
        <v>131</v>
      </c>
      <c r="F56" s="30" t="s">
        <v>140</v>
      </c>
      <c r="G56" s="28"/>
      <c r="H56" s="30" t="s">
        <v>3779</v>
      </c>
      <c r="I56" s="28" t="s">
        <v>2232</v>
      </c>
    </row>
    <row r="57" spans="1:9" ht="30" x14ac:dyDescent="0.25">
      <c r="A57" s="28" t="s">
        <v>231</v>
      </c>
      <c r="B57" s="28">
        <v>7.2</v>
      </c>
      <c r="C57" s="28">
        <v>2</v>
      </c>
      <c r="D57" s="9" t="s">
        <v>232</v>
      </c>
      <c r="E57" s="28" t="s">
        <v>139</v>
      </c>
      <c r="F57" s="30" t="s">
        <v>140</v>
      </c>
      <c r="G57" s="28"/>
      <c r="H57" s="28" t="s">
        <v>233</v>
      </c>
      <c r="I57" s="28" t="s">
        <v>2232</v>
      </c>
    </row>
    <row r="58" spans="1:9" ht="30" x14ac:dyDescent="0.25">
      <c r="A58" s="28" t="s">
        <v>234</v>
      </c>
      <c r="B58" s="28" t="s">
        <v>549</v>
      </c>
      <c r="C58" s="28">
        <v>3</v>
      </c>
      <c r="D58" s="28" t="s">
        <v>235</v>
      </c>
      <c r="E58" s="28" t="s">
        <v>131</v>
      </c>
      <c r="F58" s="30" t="s">
        <v>140</v>
      </c>
      <c r="G58" s="28"/>
      <c r="H58" s="28" t="s">
        <v>236</v>
      </c>
      <c r="I58" s="28" t="s">
        <v>2232</v>
      </c>
    </row>
    <row r="59" spans="1:9" x14ac:dyDescent="0.25">
      <c r="A59" s="28" t="s">
        <v>237</v>
      </c>
      <c r="B59" s="28" t="s">
        <v>550</v>
      </c>
      <c r="C59" s="28">
        <v>3</v>
      </c>
      <c r="D59" s="28" t="s">
        <v>238</v>
      </c>
      <c r="E59" s="28" t="s">
        <v>131</v>
      </c>
      <c r="F59" s="28" t="s">
        <v>210</v>
      </c>
      <c r="G59" s="28"/>
      <c r="H59" s="28" t="s">
        <v>236</v>
      </c>
      <c r="I59" s="28" t="s">
        <v>2232</v>
      </c>
    </row>
    <row r="60" spans="1:9" ht="270" x14ac:dyDescent="0.25">
      <c r="A60" s="28" t="s">
        <v>128</v>
      </c>
      <c r="B60" s="28" t="s">
        <v>551</v>
      </c>
      <c r="C60" s="28">
        <v>3</v>
      </c>
      <c r="D60" s="28" t="s">
        <v>239</v>
      </c>
      <c r="E60" s="28" t="s">
        <v>131</v>
      </c>
      <c r="F60" s="28" t="s">
        <v>210</v>
      </c>
      <c r="G60" s="28"/>
      <c r="H60" s="30" t="s">
        <v>240</v>
      </c>
      <c r="I60" s="28" t="s">
        <v>2232</v>
      </c>
    </row>
    <row r="61" spans="1:9" x14ac:dyDescent="0.25">
      <c r="A61" s="28" t="s">
        <v>241</v>
      </c>
      <c r="B61" s="28" t="s">
        <v>552</v>
      </c>
      <c r="C61" s="28">
        <v>3</v>
      </c>
      <c r="D61" s="28" t="s">
        <v>120</v>
      </c>
      <c r="E61" s="28" t="s">
        <v>131</v>
      </c>
      <c r="F61" s="28" t="s">
        <v>210</v>
      </c>
      <c r="G61" s="28"/>
      <c r="H61" s="28" t="s">
        <v>242</v>
      </c>
      <c r="I61" s="28" t="s">
        <v>2232</v>
      </c>
    </row>
    <row r="62" spans="1:9" ht="30" x14ac:dyDescent="0.25">
      <c r="A62" s="28" t="s">
        <v>243</v>
      </c>
      <c r="B62" s="28" t="s">
        <v>553</v>
      </c>
      <c r="C62" s="28">
        <v>3</v>
      </c>
      <c r="D62" s="28" t="s">
        <v>244</v>
      </c>
      <c r="E62" s="28" t="s">
        <v>131</v>
      </c>
      <c r="F62" s="30" t="s">
        <v>140</v>
      </c>
      <c r="G62" s="28"/>
      <c r="H62" s="28" t="s">
        <v>245</v>
      </c>
      <c r="I62" s="28" t="s">
        <v>2232</v>
      </c>
    </row>
    <row r="63" spans="1:9" ht="75" x14ac:dyDescent="0.25">
      <c r="A63" s="28" t="s">
        <v>246</v>
      </c>
      <c r="B63" s="28">
        <v>7.3</v>
      </c>
      <c r="C63" s="28">
        <v>2</v>
      </c>
      <c r="D63" s="9" t="s">
        <v>247</v>
      </c>
      <c r="E63" s="28" t="s">
        <v>139</v>
      </c>
      <c r="F63" s="30" t="s">
        <v>140</v>
      </c>
      <c r="G63" s="28"/>
      <c r="H63" s="30" t="s">
        <v>248</v>
      </c>
      <c r="I63" s="28" t="s">
        <v>2232</v>
      </c>
    </row>
    <row r="64" spans="1:9" x14ac:dyDescent="0.25">
      <c r="A64" s="28" t="s">
        <v>249</v>
      </c>
      <c r="B64" s="28" t="s">
        <v>554</v>
      </c>
      <c r="C64" s="28">
        <v>3</v>
      </c>
      <c r="D64" s="28" t="s">
        <v>250</v>
      </c>
      <c r="E64" s="28" t="s">
        <v>131</v>
      </c>
      <c r="F64" s="28" t="s">
        <v>210</v>
      </c>
      <c r="G64" s="28"/>
      <c r="H64" s="28" t="s">
        <v>251</v>
      </c>
      <c r="I64" s="28" t="s">
        <v>2232</v>
      </c>
    </row>
    <row r="65" spans="1:9" x14ac:dyDescent="0.25">
      <c r="A65" s="28" t="s">
        <v>3693</v>
      </c>
      <c r="B65" s="28" t="s">
        <v>555</v>
      </c>
      <c r="C65" s="28">
        <v>3</v>
      </c>
      <c r="D65" s="28" t="s">
        <v>3691</v>
      </c>
      <c r="E65" s="28" t="s">
        <v>131</v>
      </c>
      <c r="F65" s="28" t="s">
        <v>3692</v>
      </c>
      <c r="G65" s="28"/>
      <c r="H65" s="28" t="s">
        <v>3780</v>
      </c>
      <c r="I65" s="28" t="s">
        <v>2473</v>
      </c>
    </row>
    <row r="66" spans="1:9" ht="409.5" x14ac:dyDescent="0.25">
      <c r="A66" s="28" t="s">
        <v>252</v>
      </c>
      <c r="B66" s="28" t="s">
        <v>3781</v>
      </c>
      <c r="C66" s="28">
        <v>3</v>
      </c>
      <c r="D66" s="28" t="s">
        <v>253</v>
      </c>
      <c r="E66" s="28" t="s">
        <v>131</v>
      </c>
      <c r="F66" s="30" t="s">
        <v>140</v>
      </c>
      <c r="G66" s="28"/>
      <c r="H66" s="30" t="s">
        <v>3782</v>
      </c>
      <c r="I66" s="28" t="s">
        <v>2232</v>
      </c>
    </row>
    <row r="67" spans="1:9" ht="30" x14ac:dyDescent="0.25">
      <c r="A67" s="28" t="s">
        <v>254</v>
      </c>
      <c r="B67" s="28">
        <v>7.4</v>
      </c>
      <c r="C67" s="28">
        <v>2</v>
      </c>
      <c r="D67" s="9" t="s">
        <v>255</v>
      </c>
      <c r="E67" s="28" t="s">
        <v>139</v>
      </c>
      <c r="F67" s="30" t="s">
        <v>140</v>
      </c>
      <c r="G67" s="28"/>
      <c r="H67" s="28"/>
      <c r="I67" s="28" t="s">
        <v>2232</v>
      </c>
    </row>
    <row r="68" spans="1:9" ht="315" x14ac:dyDescent="0.25">
      <c r="A68" s="28" t="s">
        <v>256</v>
      </c>
      <c r="B68" s="28" t="s">
        <v>556</v>
      </c>
      <c r="C68" s="28">
        <v>3</v>
      </c>
      <c r="D68" s="28" t="s">
        <v>257</v>
      </c>
      <c r="E68" s="28" t="s">
        <v>131</v>
      </c>
      <c r="F68" s="30" t="s">
        <v>140</v>
      </c>
      <c r="G68" s="28"/>
      <c r="H68" s="30" t="s">
        <v>3783</v>
      </c>
      <c r="I68" s="28" t="s">
        <v>2232</v>
      </c>
    </row>
    <row r="69" spans="1:9" ht="30" x14ac:dyDescent="0.25">
      <c r="A69" s="28" t="s">
        <v>258</v>
      </c>
      <c r="B69" s="28">
        <v>7.5</v>
      </c>
      <c r="C69" s="28">
        <v>2</v>
      </c>
      <c r="D69" s="9" t="s">
        <v>259</v>
      </c>
      <c r="E69" s="28" t="s">
        <v>139</v>
      </c>
      <c r="F69" s="30" t="s">
        <v>140</v>
      </c>
      <c r="G69" s="28"/>
      <c r="H69" s="28"/>
      <c r="I69" s="28" t="s">
        <v>2232</v>
      </c>
    </row>
    <row r="70" spans="1:9" ht="409.5" x14ac:dyDescent="0.25">
      <c r="A70" s="28" t="s">
        <v>260</v>
      </c>
      <c r="B70" s="28" t="s">
        <v>557</v>
      </c>
      <c r="C70" s="28">
        <v>3</v>
      </c>
      <c r="D70" s="28" t="s">
        <v>261</v>
      </c>
      <c r="E70" s="28" t="s">
        <v>131</v>
      </c>
      <c r="F70" s="30" t="s">
        <v>140</v>
      </c>
      <c r="G70" s="28"/>
      <c r="H70" s="30" t="s">
        <v>2446</v>
      </c>
      <c r="I70" s="28" t="s">
        <v>2232</v>
      </c>
    </row>
    <row r="71" spans="1:9" ht="30" x14ac:dyDescent="0.25">
      <c r="A71" s="28" t="s">
        <v>262</v>
      </c>
      <c r="B71" s="28">
        <v>7.6</v>
      </c>
      <c r="C71" s="28">
        <v>2</v>
      </c>
      <c r="D71" s="9" t="s">
        <v>263</v>
      </c>
      <c r="E71" s="28" t="s">
        <v>139</v>
      </c>
      <c r="F71" s="30" t="s">
        <v>140</v>
      </c>
      <c r="G71" s="28"/>
      <c r="H71" s="28" t="s">
        <v>264</v>
      </c>
      <c r="I71" s="28" t="s">
        <v>2232</v>
      </c>
    </row>
    <row r="72" spans="1:9" ht="409.5" x14ac:dyDescent="0.25">
      <c r="A72" s="28" t="s">
        <v>265</v>
      </c>
      <c r="B72" s="28" t="s">
        <v>558</v>
      </c>
      <c r="C72" s="28">
        <v>3</v>
      </c>
      <c r="D72" s="28" t="s">
        <v>266</v>
      </c>
      <c r="E72" s="28" t="s">
        <v>131</v>
      </c>
      <c r="F72" s="30" t="s">
        <v>140</v>
      </c>
      <c r="G72" s="28"/>
      <c r="H72" s="30" t="s">
        <v>2447</v>
      </c>
      <c r="I72" s="28" t="s">
        <v>2232</v>
      </c>
    </row>
    <row r="73" spans="1:9" ht="195" x14ac:dyDescent="0.25">
      <c r="A73" s="28" t="s">
        <v>267</v>
      </c>
      <c r="B73" s="28">
        <v>8</v>
      </c>
      <c r="C73" s="28">
        <v>1</v>
      </c>
      <c r="D73" s="9" t="s">
        <v>268</v>
      </c>
      <c r="E73" s="28" t="s">
        <v>139</v>
      </c>
      <c r="F73" s="30" t="s">
        <v>140</v>
      </c>
      <c r="G73" s="28"/>
      <c r="H73" s="30" t="s">
        <v>269</v>
      </c>
      <c r="I73" s="28" t="s">
        <v>2232</v>
      </c>
    </row>
    <row r="74" spans="1:9" ht="409.5" x14ac:dyDescent="0.25">
      <c r="A74" s="28" t="s">
        <v>270</v>
      </c>
      <c r="B74" s="28" t="s">
        <v>559</v>
      </c>
      <c r="C74" s="28">
        <v>2</v>
      </c>
      <c r="D74" s="28" t="s">
        <v>271</v>
      </c>
      <c r="E74" s="28" t="s">
        <v>131</v>
      </c>
      <c r="F74" s="30" t="s">
        <v>140</v>
      </c>
      <c r="G74" s="28"/>
      <c r="H74" s="30" t="s">
        <v>3784</v>
      </c>
      <c r="I74" s="28" t="s">
        <v>2232</v>
      </c>
    </row>
    <row r="75" spans="1:9" ht="409.5" x14ac:dyDescent="0.25">
      <c r="A75" s="28" t="s">
        <v>272</v>
      </c>
      <c r="B75" s="28" t="s">
        <v>560</v>
      </c>
      <c r="C75" s="28">
        <v>2</v>
      </c>
      <c r="D75" s="28" t="s">
        <v>273</v>
      </c>
      <c r="E75" s="28" t="s">
        <v>139</v>
      </c>
      <c r="F75" s="28" t="s">
        <v>210</v>
      </c>
      <c r="G75" s="28"/>
      <c r="H75" s="30" t="s">
        <v>3406</v>
      </c>
      <c r="I75" s="28" t="s">
        <v>2232</v>
      </c>
    </row>
    <row r="76" spans="1:9" ht="30" x14ac:dyDescent="0.25">
      <c r="A76" s="28" t="s">
        <v>274</v>
      </c>
      <c r="B76" s="28">
        <v>9</v>
      </c>
      <c r="C76" s="28">
        <v>1</v>
      </c>
      <c r="D76" s="9" t="s">
        <v>275</v>
      </c>
      <c r="E76" s="28" t="s">
        <v>139</v>
      </c>
      <c r="F76" s="30" t="s">
        <v>140</v>
      </c>
      <c r="G76" s="28"/>
      <c r="H76" s="28"/>
      <c r="I76" s="28" t="s">
        <v>2232</v>
      </c>
    </row>
    <row r="77" spans="1:9" ht="30" x14ac:dyDescent="0.25">
      <c r="A77" s="28" t="s">
        <v>276</v>
      </c>
      <c r="B77" s="28">
        <v>9.1</v>
      </c>
      <c r="C77" s="28">
        <v>2</v>
      </c>
      <c r="D77" s="9" t="s">
        <v>277</v>
      </c>
      <c r="E77" s="28" t="s">
        <v>139</v>
      </c>
      <c r="F77" s="30" t="s">
        <v>140</v>
      </c>
      <c r="G77" s="28"/>
      <c r="H77" s="28"/>
      <c r="I77" s="28" t="s">
        <v>2232</v>
      </c>
    </row>
    <row r="78" spans="1:9" ht="409.5" x14ac:dyDescent="0.25">
      <c r="A78" s="28" t="s">
        <v>278</v>
      </c>
      <c r="B78" s="28" t="s">
        <v>561</v>
      </c>
      <c r="C78" s="28">
        <v>3</v>
      </c>
      <c r="D78" s="28" t="s">
        <v>279</v>
      </c>
      <c r="E78" s="28" t="s">
        <v>131</v>
      </c>
      <c r="F78" s="30" t="s">
        <v>140</v>
      </c>
      <c r="G78" s="28"/>
      <c r="H78" s="30" t="s">
        <v>3785</v>
      </c>
      <c r="I78" s="28" t="s">
        <v>2232</v>
      </c>
    </row>
    <row r="79" spans="1:9" ht="30" x14ac:dyDescent="0.25">
      <c r="A79" s="28" t="s">
        <v>280</v>
      </c>
      <c r="B79" s="28">
        <v>9.1999999999999993</v>
      </c>
      <c r="C79" s="28">
        <v>2</v>
      </c>
      <c r="D79" s="9" t="s">
        <v>281</v>
      </c>
      <c r="E79" s="28" t="s">
        <v>139</v>
      </c>
      <c r="F79" s="30" t="s">
        <v>140</v>
      </c>
      <c r="G79" s="28"/>
      <c r="H79" s="28"/>
      <c r="I79" s="28" t="s">
        <v>2232</v>
      </c>
    </row>
    <row r="80" spans="1:9" ht="30" x14ac:dyDescent="0.25">
      <c r="A80" s="28" t="s">
        <v>282</v>
      </c>
      <c r="B80" s="28" t="s">
        <v>562</v>
      </c>
      <c r="C80" s="28">
        <v>3</v>
      </c>
      <c r="D80" s="28" t="s">
        <v>283</v>
      </c>
      <c r="E80" s="28" t="s">
        <v>131</v>
      </c>
      <c r="F80" s="30" t="s">
        <v>140</v>
      </c>
      <c r="G80" s="28"/>
      <c r="H80" s="28" t="s">
        <v>284</v>
      </c>
      <c r="I80" s="28" t="s">
        <v>2232</v>
      </c>
    </row>
    <row r="81" spans="1:9" ht="30" x14ac:dyDescent="0.25">
      <c r="A81" s="28" t="s">
        <v>285</v>
      </c>
      <c r="B81" s="28">
        <v>9.3000000000000007</v>
      </c>
      <c r="C81" s="28">
        <v>2</v>
      </c>
      <c r="D81" s="9" t="s">
        <v>129</v>
      </c>
      <c r="E81" s="28" t="s">
        <v>139</v>
      </c>
      <c r="F81" s="30" t="s">
        <v>140</v>
      </c>
      <c r="G81" s="28"/>
      <c r="H81" s="28"/>
      <c r="I81" s="28" t="s">
        <v>2232</v>
      </c>
    </row>
    <row r="82" spans="1:9" ht="30" x14ac:dyDescent="0.25">
      <c r="A82" s="28" t="s">
        <v>286</v>
      </c>
      <c r="B82" s="28" t="s">
        <v>563</v>
      </c>
      <c r="C82" s="28">
        <v>3</v>
      </c>
      <c r="D82" s="28" t="s">
        <v>287</v>
      </c>
      <c r="E82" s="28" t="s">
        <v>131</v>
      </c>
      <c r="F82" s="30" t="s">
        <v>140</v>
      </c>
      <c r="G82" s="28"/>
      <c r="H82" s="28" t="s">
        <v>2449</v>
      </c>
      <c r="I82" s="28" t="s">
        <v>2232</v>
      </c>
    </row>
    <row r="83" spans="1:9" ht="360" x14ac:dyDescent="0.25">
      <c r="A83" s="28" t="s">
        <v>288</v>
      </c>
      <c r="B83" s="28" t="s">
        <v>564</v>
      </c>
      <c r="C83" s="28">
        <v>3</v>
      </c>
      <c r="D83" s="28" t="s">
        <v>2450</v>
      </c>
      <c r="E83" s="28" t="s">
        <v>131</v>
      </c>
      <c r="F83" s="28" t="s">
        <v>210</v>
      </c>
      <c r="G83" s="28"/>
      <c r="H83" s="30" t="s">
        <v>289</v>
      </c>
      <c r="I83" s="28" t="s">
        <v>2232</v>
      </c>
    </row>
    <row r="84" spans="1:9" ht="30" x14ac:dyDescent="0.25">
      <c r="A84" s="28" t="s">
        <v>290</v>
      </c>
      <c r="B84" s="28" t="s">
        <v>565</v>
      </c>
      <c r="C84" s="28">
        <v>3</v>
      </c>
      <c r="D84" s="28" t="s">
        <v>291</v>
      </c>
      <c r="E84" s="28" t="s">
        <v>131</v>
      </c>
      <c r="F84" s="30" t="s">
        <v>140</v>
      </c>
      <c r="G84" s="28"/>
      <c r="H84" s="28" t="s">
        <v>2451</v>
      </c>
      <c r="I84" s="28" t="s">
        <v>2232</v>
      </c>
    </row>
    <row r="85" spans="1:9" ht="30" x14ac:dyDescent="0.25">
      <c r="A85" s="28" t="s">
        <v>292</v>
      </c>
      <c r="B85" s="28">
        <v>10</v>
      </c>
      <c r="C85" s="28">
        <v>1</v>
      </c>
      <c r="D85" s="9" t="s">
        <v>293</v>
      </c>
      <c r="E85" s="28" t="s">
        <v>139</v>
      </c>
      <c r="F85" s="30" t="s">
        <v>140</v>
      </c>
      <c r="G85" s="28"/>
      <c r="H85" s="28"/>
      <c r="I85" s="28" t="s">
        <v>2232</v>
      </c>
    </row>
    <row r="86" spans="1:9" ht="409.5" x14ac:dyDescent="0.25">
      <c r="A86" s="28" t="s">
        <v>294</v>
      </c>
      <c r="B86" s="28" t="s">
        <v>566</v>
      </c>
      <c r="C86" s="28">
        <v>2</v>
      </c>
      <c r="D86" s="28" t="s">
        <v>295</v>
      </c>
      <c r="E86" s="28" t="s">
        <v>131</v>
      </c>
      <c r="F86" s="30" t="s">
        <v>140</v>
      </c>
      <c r="G86" s="28"/>
      <c r="H86" s="30" t="s">
        <v>2452</v>
      </c>
      <c r="I86" s="28" t="s">
        <v>2232</v>
      </c>
    </row>
    <row r="87" spans="1:9" ht="409.5" x14ac:dyDescent="0.25">
      <c r="A87" s="28" t="s">
        <v>296</v>
      </c>
      <c r="B87" s="28" t="s">
        <v>567</v>
      </c>
      <c r="C87" s="28">
        <v>2</v>
      </c>
      <c r="D87" s="28" t="s">
        <v>297</v>
      </c>
      <c r="E87" s="28" t="s">
        <v>131</v>
      </c>
      <c r="F87" s="30" t="s">
        <v>140</v>
      </c>
      <c r="G87" s="28"/>
      <c r="H87" s="30" t="s">
        <v>2453</v>
      </c>
      <c r="I87" s="28" t="s">
        <v>2232</v>
      </c>
    </row>
    <row r="88" spans="1:9" ht="30" x14ac:dyDescent="0.25">
      <c r="A88" s="28" t="s">
        <v>298</v>
      </c>
      <c r="B88" s="28">
        <v>11</v>
      </c>
      <c r="C88" s="28">
        <v>1</v>
      </c>
      <c r="D88" s="9" t="s">
        <v>299</v>
      </c>
      <c r="E88" s="28" t="s">
        <v>139</v>
      </c>
      <c r="F88" s="30" t="s">
        <v>140</v>
      </c>
      <c r="G88" s="28"/>
      <c r="H88" s="28" t="s">
        <v>300</v>
      </c>
      <c r="I88" s="28" t="s">
        <v>2232</v>
      </c>
    </row>
    <row r="89" spans="1:9" ht="30" x14ac:dyDescent="0.25">
      <c r="A89" s="28" t="s">
        <v>301</v>
      </c>
      <c r="B89" s="28">
        <v>11.1</v>
      </c>
      <c r="C89" s="28">
        <v>2</v>
      </c>
      <c r="D89" s="9" t="s">
        <v>302</v>
      </c>
      <c r="E89" s="28" t="s">
        <v>139</v>
      </c>
      <c r="F89" s="30" t="s">
        <v>140</v>
      </c>
      <c r="G89" s="28"/>
      <c r="H89" s="28"/>
      <c r="I89" s="28" t="s">
        <v>2232</v>
      </c>
    </row>
    <row r="90" spans="1:9" ht="409.5" x14ac:dyDescent="0.25">
      <c r="A90" s="28" t="s">
        <v>303</v>
      </c>
      <c r="B90" s="28" t="s">
        <v>568</v>
      </c>
      <c r="C90" s="28">
        <v>3</v>
      </c>
      <c r="D90" s="28" t="s">
        <v>304</v>
      </c>
      <c r="E90" s="28" t="s">
        <v>131</v>
      </c>
      <c r="F90" s="30" t="s">
        <v>140</v>
      </c>
      <c r="G90" s="28"/>
      <c r="H90" s="30" t="s">
        <v>3407</v>
      </c>
      <c r="I90" s="28" t="s">
        <v>2232</v>
      </c>
    </row>
    <row r="91" spans="1:9" ht="409.5" x14ac:dyDescent="0.25">
      <c r="A91" s="28" t="s">
        <v>305</v>
      </c>
      <c r="B91" s="28" t="s">
        <v>569</v>
      </c>
      <c r="C91" s="28">
        <v>3</v>
      </c>
      <c r="D91" s="28" t="s">
        <v>306</v>
      </c>
      <c r="E91" s="28" t="s">
        <v>131</v>
      </c>
      <c r="F91" s="30" t="s">
        <v>140</v>
      </c>
      <c r="G91" s="28"/>
      <c r="H91" s="30" t="s">
        <v>2725</v>
      </c>
      <c r="I91" s="28" t="s">
        <v>2232</v>
      </c>
    </row>
    <row r="92" spans="1:9" ht="30" x14ac:dyDescent="0.25">
      <c r="A92" s="28" t="s">
        <v>2454</v>
      </c>
      <c r="B92" s="28">
        <v>11.2</v>
      </c>
      <c r="C92" s="28">
        <v>2</v>
      </c>
      <c r="D92" s="9" t="s">
        <v>1058</v>
      </c>
      <c r="E92" s="28" t="s">
        <v>139</v>
      </c>
      <c r="F92" s="30" t="s">
        <v>140</v>
      </c>
      <c r="G92" s="28"/>
      <c r="H92" s="28"/>
      <c r="I92" s="28" t="s">
        <v>2232</v>
      </c>
    </row>
    <row r="93" spans="1:9" ht="409.5" x14ac:dyDescent="0.25">
      <c r="A93" s="28" t="s">
        <v>307</v>
      </c>
      <c r="B93" s="28" t="s">
        <v>570</v>
      </c>
      <c r="C93" s="28">
        <v>3</v>
      </c>
      <c r="D93" s="28" t="s">
        <v>308</v>
      </c>
      <c r="E93" s="28" t="s">
        <v>131</v>
      </c>
      <c r="F93" s="30" t="s">
        <v>140</v>
      </c>
      <c r="G93" s="28"/>
      <c r="H93" s="30" t="s">
        <v>2455</v>
      </c>
      <c r="I93" s="28" t="s">
        <v>2232</v>
      </c>
    </row>
    <row r="94" spans="1:9" ht="30" x14ac:dyDescent="0.25">
      <c r="A94" s="28" t="s">
        <v>2456</v>
      </c>
      <c r="B94" s="28">
        <v>11.3</v>
      </c>
      <c r="C94" s="28">
        <v>2</v>
      </c>
      <c r="D94" s="9" t="s">
        <v>1123</v>
      </c>
      <c r="E94" s="28" t="s">
        <v>139</v>
      </c>
      <c r="F94" s="30" t="s">
        <v>140</v>
      </c>
      <c r="G94" s="28"/>
      <c r="H94" s="28"/>
      <c r="I94" s="28" t="s">
        <v>2232</v>
      </c>
    </row>
    <row r="95" spans="1:9" ht="409.5" x14ac:dyDescent="0.25">
      <c r="A95" s="28" t="s">
        <v>309</v>
      </c>
      <c r="B95" s="28" t="s">
        <v>571</v>
      </c>
      <c r="C95" s="28">
        <v>3</v>
      </c>
      <c r="D95" s="28" t="s">
        <v>2251</v>
      </c>
      <c r="E95" s="28" t="s">
        <v>131</v>
      </c>
      <c r="F95" s="30" t="s">
        <v>140</v>
      </c>
      <c r="G95" s="28"/>
      <c r="H95" s="30" t="s">
        <v>2457</v>
      </c>
      <c r="I95" s="28" t="s">
        <v>2232</v>
      </c>
    </row>
    <row r="96" spans="1:9" ht="30" x14ac:dyDescent="0.25">
      <c r="A96" s="28" t="s">
        <v>310</v>
      </c>
      <c r="B96" s="28">
        <v>11.4</v>
      </c>
      <c r="C96" s="28">
        <v>2</v>
      </c>
      <c r="D96" s="9" t="s">
        <v>311</v>
      </c>
      <c r="E96" s="28" t="s">
        <v>139</v>
      </c>
      <c r="F96" s="30" t="s">
        <v>140</v>
      </c>
      <c r="G96" s="28"/>
      <c r="H96" s="28"/>
      <c r="I96" s="28" t="s">
        <v>2232</v>
      </c>
    </row>
    <row r="97" spans="1:9" ht="409.5" x14ac:dyDescent="0.25">
      <c r="A97" s="28" t="s">
        <v>312</v>
      </c>
      <c r="B97" s="28" t="s">
        <v>572</v>
      </c>
      <c r="C97" s="28">
        <v>3</v>
      </c>
      <c r="D97" s="28" t="s">
        <v>313</v>
      </c>
      <c r="E97" s="28" t="s">
        <v>131</v>
      </c>
      <c r="F97" s="30" t="s">
        <v>140</v>
      </c>
      <c r="G97" s="28"/>
      <c r="H97" s="30" t="s">
        <v>2458</v>
      </c>
      <c r="I97" s="28" t="s">
        <v>2232</v>
      </c>
    </row>
    <row r="98" spans="1:9" ht="30" x14ac:dyDescent="0.25">
      <c r="A98" s="28" t="s">
        <v>2459</v>
      </c>
      <c r="B98" s="28">
        <v>12</v>
      </c>
      <c r="C98" s="28">
        <v>1</v>
      </c>
      <c r="D98" s="9" t="s">
        <v>1260</v>
      </c>
      <c r="E98" s="28" t="s">
        <v>139</v>
      </c>
      <c r="F98" s="30" t="s">
        <v>140</v>
      </c>
      <c r="G98" s="28"/>
      <c r="H98" s="28"/>
      <c r="I98" s="28" t="s">
        <v>2232</v>
      </c>
    </row>
    <row r="99" spans="1:9" ht="409.5" x14ac:dyDescent="0.25">
      <c r="A99" s="28" t="s">
        <v>1261</v>
      </c>
      <c r="B99" s="28" t="s">
        <v>2460</v>
      </c>
      <c r="C99" s="28">
        <v>2</v>
      </c>
      <c r="D99" s="28" t="s">
        <v>2461</v>
      </c>
      <c r="E99" s="28" t="s">
        <v>131</v>
      </c>
      <c r="F99" s="30" t="s">
        <v>140</v>
      </c>
      <c r="G99" s="28"/>
      <c r="H99" s="30" t="s">
        <v>2462</v>
      </c>
      <c r="I99" s="28" t="s">
        <v>2232</v>
      </c>
    </row>
    <row r="100" spans="1:9" ht="30" x14ac:dyDescent="0.25">
      <c r="A100" s="28" t="s">
        <v>314</v>
      </c>
      <c r="B100" s="28">
        <v>13</v>
      </c>
      <c r="C100" s="28">
        <v>1</v>
      </c>
      <c r="D100" s="9" t="s">
        <v>315</v>
      </c>
      <c r="E100" s="28" t="s">
        <v>139</v>
      </c>
      <c r="F100" s="30" t="s">
        <v>140</v>
      </c>
      <c r="G100" s="28"/>
      <c r="H100" s="28" t="s">
        <v>316</v>
      </c>
      <c r="I100" s="28" t="s">
        <v>2232</v>
      </c>
    </row>
    <row r="101" spans="1:9" ht="409.5" x14ac:dyDescent="0.25">
      <c r="A101" s="28" t="s">
        <v>317</v>
      </c>
      <c r="B101" s="28" t="s">
        <v>573</v>
      </c>
      <c r="C101" s="28">
        <v>2</v>
      </c>
      <c r="D101" s="28" t="s">
        <v>318</v>
      </c>
      <c r="E101" s="28" t="s">
        <v>131</v>
      </c>
      <c r="F101" s="30" t="s">
        <v>140</v>
      </c>
      <c r="G101" s="28"/>
      <c r="H101" s="30" t="s">
        <v>2463</v>
      </c>
      <c r="I101" s="28" t="s">
        <v>2232</v>
      </c>
    </row>
    <row r="102" spans="1:9" ht="30" x14ac:dyDescent="0.25">
      <c r="A102" s="28" t="s">
        <v>319</v>
      </c>
      <c r="B102" s="28">
        <v>13.1</v>
      </c>
      <c r="C102" s="28">
        <v>2</v>
      </c>
      <c r="D102" s="9" t="s">
        <v>320</v>
      </c>
      <c r="E102" s="28" t="s">
        <v>139</v>
      </c>
      <c r="F102" s="30" t="s">
        <v>140</v>
      </c>
      <c r="G102" s="28"/>
      <c r="H102" s="28"/>
      <c r="I102" s="28" t="s">
        <v>2232</v>
      </c>
    </row>
    <row r="103" spans="1:9" ht="30" x14ac:dyDescent="0.25">
      <c r="A103" s="28" t="s">
        <v>321</v>
      </c>
      <c r="B103" s="28" t="s">
        <v>574</v>
      </c>
      <c r="C103" s="28">
        <v>3</v>
      </c>
      <c r="D103" s="28" t="s">
        <v>55</v>
      </c>
      <c r="E103" s="28" t="s">
        <v>131</v>
      </c>
      <c r="F103" s="30" t="s">
        <v>140</v>
      </c>
      <c r="G103" s="28" t="s">
        <v>322</v>
      </c>
      <c r="H103" s="28"/>
      <c r="I103" s="28" t="s">
        <v>2232</v>
      </c>
    </row>
    <row r="104" spans="1:9" ht="30" x14ac:dyDescent="0.25">
      <c r="A104" s="28" t="s">
        <v>323</v>
      </c>
      <c r="B104" s="28">
        <v>14</v>
      </c>
      <c r="C104" s="28">
        <v>1</v>
      </c>
      <c r="D104" s="9" t="s">
        <v>130</v>
      </c>
      <c r="E104" s="28" t="s">
        <v>139</v>
      </c>
      <c r="F104" s="30" t="s">
        <v>140</v>
      </c>
      <c r="G104" s="28"/>
      <c r="H104" s="28" t="s">
        <v>324</v>
      </c>
      <c r="I104" s="28" t="s">
        <v>2232</v>
      </c>
    </row>
    <row r="105" spans="1:9" x14ac:dyDescent="0.25">
      <c r="A105" s="28" t="s">
        <v>325</v>
      </c>
      <c r="B105" s="28" t="s">
        <v>575</v>
      </c>
      <c r="C105" s="28">
        <v>2</v>
      </c>
      <c r="D105" s="9" t="s">
        <v>326</v>
      </c>
      <c r="E105" s="28" t="s">
        <v>139</v>
      </c>
      <c r="F105" s="28" t="s">
        <v>210</v>
      </c>
      <c r="G105" s="28"/>
      <c r="H105" s="28"/>
      <c r="I105" s="28" t="s">
        <v>2232</v>
      </c>
    </row>
    <row r="106" spans="1:9" ht="30" x14ac:dyDescent="0.25">
      <c r="A106" s="28" t="s">
        <v>327</v>
      </c>
      <c r="B106" s="28">
        <v>14.1</v>
      </c>
      <c r="C106" s="28">
        <v>2</v>
      </c>
      <c r="D106" s="9" t="s">
        <v>96</v>
      </c>
      <c r="E106" s="28" t="s">
        <v>139</v>
      </c>
      <c r="F106" s="30" t="s">
        <v>140</v>
      </c>
      <c r="G106" s="28"/>
      <c r="H106" s="28" t="s">
        <v>328</v>
      </c>
      <c r="I106" s="28" t="s">
        <v>2232</v>
      </c>
    </row>
    <row r="107" spans="1:9" ht="409.5" x14ac:dyDescent="0.25">
      <c r="A107" s="28" t="s">
        <v>329</v>
      </c>
      <c r="B107" s="28" t="s">
        <v>576</v>
      </c>
      <c r="C107" s="28">
        <v>3</v>
      </c>
      <c r="D107" s="28" t="s">
        <v>330</v>
      </c>
      <c r="E107" s="28" t="s">
        <v>131</v>
      </c>
      <c r="F107" s="28" t="s">
        <v>210</v>
      </c>
      <c r="G107" s="28"/>
      <c r="H107" s="30" t="s">
        <v>2464</v>
      </c>
      <c r="I107" s="28" t="s">
        <v>2232</v>
      </c>
    </row>
    <row r="108" spans="1:9" ht="409.5" x14ac:dyDescent="0.25">
      <c r="A108" s="28" t="s">
        <v>331</v>
      </c>
      <c r="B108" s="28" t="s">
        <v>577</v>
      </c>
      <c r="C108" s="28">
        <v>3</v>
      </c>
      <c r="D108" s="28" t="s">
        <v>332</v>
      </c>
      <c r="E108" s="28" t="s">
        <v>131</v>
      </c>
      <c r="F108" s="30" t="s">
        <v>140</v>
      </c>
      <c r="G108" s="28"/>
      <c r="H108" s="30" t="s">
        <v>2465</v>
      </c>
      <c r="I108" s="28" t="s">
        <v>2232</v>
      </c>
    </row>
    <row r="109" spans="1:9" ht="30" x14ac:dyDescent="0.25">
      <c r="A109" s="28" t="s">
        <v>333</v>
      </c>
      <c r="B109" s="28">
        <v>14.2</v>
      </c>
      <c r="C109" s="28">
        <v>2</v>
      </c>
      <c r="D109" s="9" t="s">
        <v>95</v>
      </c>
      <c r="E109" s="28" t="s">
        <v>139</v>
      </c>
      <c r="F109" s="30" t="s">
        <v>140</v>
      </c>
      <c r="G109" s="28"/>
      <c r="H109" s="28" t="s">
        <v>334</v>
      </c>
      <c r="I109" s="28" t="s">
        <v>2232</v>
      </c>
    </row>
    <row r="110" spans="1:9" x14ac:dyDescent="0.25">
      <c r="A110" s="28" t="s">
        <v>335</v>
      </c>
      <c r="B110" s="28" t="s">
        <v>578</v>
      </c>
      <c r="C110" s="28">
        <v>3</v>
      </c>
      <c r="D110" s="28" t="s">
        <v>336</v>
      </c>
      <c r="E110" s="28" t="s">
        <v>139</v>
      </c>
      <c r="F110" s="28" t="s">
        <v>210</v>
      </c>
      <c r="G110" s="28"/>
      <c r="H110" s="28"/>
      <c r="I110" s="28" t="s">
        <v>2232</v>
      </c>
    </row>
    <row r="111" spans="1:9" ht="409.5" x14ac:dyDescent="0.25">
      <c r="A111" s="28" t="s">
        <v>1304</v>
      </c>
      <c r="B111" s="28" t="s">
        <v>1302</v>
      </c>
      <c r="C111" s="28">
        <v>3</v>
      </c>
      <c r="D111" s="28" t="s">
        <v>2466</v>
      </c>
      <c r="E111" s="28" t="s">
        <v>131</v>
      </c>
      <c r="F111" s="30" t="s">
        <v>140</v>
      </c>
      <c r="G111" s="28"/>
      <c r="H111" s="30" t="s">
        <v>3786</v>
      </c>
      <c r="I111" s="28" t="s">
        <v>2232</v>
      </c>
    </row>
    <row r="112" spans="1:9" ht="30" x14ac:dyDescent="0.25">
      <c r="A112" s="28" t="s">
        <v>337</v>
      </c>
      <c r="B112" s="28">
        <v>14.3</v>
      </c>
      <c r="C112" s="28">
        <v>2</v>
      </c>
      <c r="D112" s="9" t="s">
        <v>338</v>
      </c>
      <c r="E112" s="28" t="s">
        <v>139</v>
      </c>
      <c r="F112" s="30" t="s">
        <v>140</v>
      </c>
      <c r="G112" s="28"/>
      <c r="H112" s="28" t="s">
        <v>339</v>
      </c>
      <c r="I112" s="28" t="s">
        <v>2232</v>
      </c>
    </row>
    <row r="113" spans="1:9" ht="30" x14ac:dyDescent="0.25">
      <c r="A113" s="28" t="s">
        <v>340</v>
      </c>
      <c r="B113" s="28" t="s">
        <v>579</v>
      </c>
      <c r="C113" s="28">
        <v>3</v>
      </c>
      <c r="D113" s="9" t="s">
        <v>341</v>
      </c>
      <c r="E113" s="28" t="s">
        <v>139</v>
      </c>
      <c r="F113" s="30" t="s">
        <v>140</v>
      </c>
      <c r="G113" s="28"/>
      <c r="H113" s="28" t="s">
        <v>342</v>
      </c>
      <c r="I113" s="28" t="s">
        <v>2232</v>
      </c>
    </row>
    <row r="114" spans="1:9" ht="409.5" x14ac:dyDescent="0.25">
      <c r="A114" s="28" t="s">
        <v>343</v>
      </c>
      <c r="B114" s="28" t="s">
        <v>580</v>
      </c>
      <c r="C114" s="28">
        <v>4</v>
      </c>
      <c r="D114" s="28" t="s">
        <v>344</v>
      </c>
      <c r="E114" s="28" t="s">
        <v>131</v>
      </c>
      <c r="F114" s="30" t="s">
        <v>140</v>
      </c>
      <c r="G114" s="28"/>
      <c r="H114" s="30" t="s">
        <v>2467</v>
      </c>
      <c r="I114" s="28" t="s">
        <v>2232</v>
      </c>
    </row>
    <row r="115" spans="1:9" ht="30" x14ac:dyDescent="0.25">
      <c r="A115" s="28" t="s">
        <v>345</v>
      </c>
      <c r="B115" s="28" t="s">
        <v>581</v>
      </c>
      <c r="C115" s="28">
        <v>4</v>
      </c>
      <c r="D115" s="28" t="s">
        <v>346</v>
      </c>
      <c r="E115" s="28" t="s">
        <v>131</v>
      </c>
      <c r="F115" s="30" t="s">
        <v>140</v>
      </c>
      <c r="G115" s="28"/>
      <c r="H115" s="28"/>
      <c r="I115" s="28" t="s">
        <v>2232</v>
      </c>
    </row>
    <row r="116" spans="1:9" ht="30" x14ac:dyDescent="0.25">
      <c r="A116" s="28" t="s">
        <v>347</v>
      </c>
      <c r="B116" s="28" t="s">
        <v>582</v>
      </c>
      <c r="C116" s="28">
        <v>3</v>
      </c>
      <c r="D116" s="9" t="s">
        <v>348</v>
      </c>
      <c r="E116" s="28" t="s">
        <v>139</v>
      </c>
      <c r="F116" s="30" t="s">
        <v>140</v>
      </c>
      <c r="G116" s="28"/>
      <c r="H116" s="28" t="s">
        <v>349</v>
      </c>
      <c r="I116" s="28" t="s">
        <v>2232</v>
      </c>
    </row>
    <row r="117" spans="1:9" ht="30" x14ac:dyDescent="0.25">
      <c r="A117" s="28" t="s">
        <v>350</v>
      </c>
      <c r="B117" s="28" t="s">
        <v>583</v>
      </c>
      <c r="C117" s="28">
        <v>4</v>
      </c>
      <c r="D117" s="28" t="s">
        <v>351</v>
      </c>
      <c r="E117" s="28" t="s">
        <v>131</v>
      </c>
      <c r="F117" s="30" t="s">
        <v>140</v>
      </c>
      <c r="G117" s="28"/>
      <c r="H117" s="28" t="s">
        <v>352</v>
      </c>
      <c r="I117" s="28" t="s">
        <v>2232</v>
      </c>
    </row>
    <row r="118" spans="1:9" ht="30" x14ac:dyDescent="0.25">
      <c r="A118" s="28" t="s">
        <v>353</v>
      </c>
      <c r="B118" s="28" t="s">
        <v>584</v>
      </c>
      <c r="C118" s="28">
        <v>3</v>
      </c>
      <c r="D118" s="9" t="s">
        <v>354</v>
      </c>
      <c r="E118" s="28" t="s">
        <v>139</v>
      </c>
      <c r="F118" s="30" t="s">
        <v>140</v>
      </c>
      <c r="G118" s="28"/>
      <c r="H118" s="28"/>
      <c r="I118" s="28" t="s">
        <v>2232</v>
      </c>
    </row>
    <row r="119" spans="1:9" ht="409.5" x14ac:dyDescent="0.25">
      <c r="A119" s="28" t="s">
        <v>355</v>
      </c>
      <c r="B119" s="28" t="s">
        <v>585</v>
      </c>
      <c r="C119" s="28">
        <v>4</v>
      </c>
      <c r="D119" s="28" t="s">
        <v>62</v>
      </c>
      <c r="E119" s="28" t="s">
        <v>131</v>
      </c>
      <c r="F119" s="30" t="s">
        <v>140</v>
      </c>
      <c r="G119" s="28"/>
      <c r="H119" s="30" t="s">
        <v>2468</v>
      </c>
      <c r="I119" s="28" t="s">
        <v>2232</v>
      </c>
    </row>
    <row r="120" spans="1:9" ht="30" x14ac:dyDescent="0.25">
      <c r="A120" s="28" t="s">
        <v>356</v>
      </c>
      <c r="B120" s="28" t="s">
        <v>586</v>
      </c>
      <c r="C120" s="28">
        <v>3</v>
      </c>
      <c r="D120" s="9" t="s">
        <v>357</v>
      </c>
      <c r="E120" s="28" t="s">
        <v>139</v>
      </c>
      <c r="F120" s="30" t="s">
        <v>140</v>
      </c>
      <c r="G120" s="28"/>
      <c r="H120" s="28" t="s">
        <v>358</v>
      </c>
      <c r="I120" s="28" t="s">
        <v>2232</v>
      </c>
    </row>
    <row r="121" spans="1:9" ht="409.5" x14ac:dyDescent="0.25">
      <c r="A121" s="28" t="s">
        <v>359</v>
      </c>
      <c r="B121" s="28" t="s">
        <v>587</v>
      </c>
      <c r="C121" s="28">
        <v>4</v>
      </c>
      <c r="D121" s="28" t="s">
        <v>360</v>
      </c>
      <c r="E121" s="28" t="s">
        <v>131</v>
      </c>
      <c r="F121" s="30" t="s">
        <v>140</v>
      </c>
      <c r="G121" s="28"/>
      <c r="H121" s="30" t="s">
        <v>2469</v>
      </c>
      <c r="I121" s="28" t="s">
        <v>2232</v>
      </c>
    </row>
    <row r="122" spans="1:9" x14ac:dyDescent="0.25">
      <c r="A122" s="28" t="s">
        <v>126</v>
      </c>
      <c r="B122" s="28" t="s">
        <v>588</v>
      </c>
      <c r="C122" s="28">
        <v>4</v>
      </c>
      <c r="D122" s="28" t="s">
        <v>361</v>
      </c>
      <c r="E122" s="28" t="s">
        <v>131</v>
      </c>
      <c r="F122" s="28" t="s">
        <v>210</v>
      </c>
      <c r="G122" s="28"/>
      <c r="H122" s="28" t="s">
        <v>362</v>
      </c>
      <c r="I122" s="28" t="s">
        <v>2232</v>
      </c>
    </row>
    <row r="123" spans="1:9" x14ac:dyDescent="0.25">
      <c r="A123" s="28" t="s">
        <v>363</v>
      </c>
      <c r="B123" s="28">
        <v>14.4</v>
      </c>
      <c r="C123" s="28">
        <v>2</v>
      </c>
      <c r="D123" s="9" t="s">
        <v>364</v>
      </c>
      <c r="E123" s="28" t="s">
        <v>139</v>
      </c>
      <c r="F123" s="28" t="s">
        <v>210</v>
      </c>
      <c r="G123" s="28"/>
      <c r="H123" s="28"/>
      <c r="I123" s="28" t="s">
        <v>2232</v>
      </c>
    </row>
    <row r="124" spans="1:9" x14ac:dyDescent="0.25">
      <c r="A124" s="28" t="s">
        <v>2470</v>
      </c>
      <c r="B124" s="28" t="s">
        <v>589</v>
      </c>
      <c r="C124" s="28">
        <v>3</v>
      </c>
      <c r="D124" s="28" t="s">
        <v>2471</v>
      </c>
      <c r="E124" s="28" t="s">
        <v>131</v>
      </c>
      <c r="F124" s="28" t="s">
        <v>210</v>
      </c>
      <c r="G124" s="28"/>
      <c r="H124" s="28" t="s">
        <v>2472</v>
      </c>
      <c r="I124" s="28" t="s">
        <v>2232</v>
      </c>
    </row>
    <row r="125" spans="1:9" ht="409.5" x14ac:dyDescent="0.25">
      <c r="A125" s="28" t="s">
        <v>124</v>
      </c>
      <c r="B125" s="28" t="s">
        <v>590</v>
      </c>
      <c r="C125" s="28">
        <v>3</v>
      </c>
      <c r="D125" s="28" t="s">
        <v>365</v>
      </c>
      <c r="E125" s="28" t="s">
        <v>131</v>
      </c>
      <c r="F125" s="28" t="s">
        <v>1402</v>
      </c>
      <c r="G125" s="28"/>
      <c r="H125" s="30" t="s">
        <v>3787</v>
      </c>
      <c r="I125" s="28" t="s">
        <v>2232</v>
      </c>
    </row>
    <row r="126" spans="1:9" ht="409.5" x14ac:dyDescent="0.25">
      <c r="A126" s="28" t="s">
        <v>366</v>
      </c>
      <c r="B126" s="28" t="s">
        <v>2505</v>
      </c>
      <c r="C126" s="28">
        <v>3</v>
      </c>
      <c r="D126" s="28" t="s">
        <v>367</v>
      </c>
      <c r="E126" s="28" t="s">
        <v>131</v>
      </c>
      <c r="F126" s="28" t="s">
        <v>1402</v>
      </c>
      <c r="G126" s="28"/>
      <c r="H126" s="30" t="s">
        <v>3788</v>
      </c>
      <c r="I126" s="28" t="s">
        <v>2265</v>
      </c>
    </row>
    <row r="127" spans="1:9" x14ac:dyDescent="0.25">
      <c r="A127" s="28" t="s">
        <v>3697</v>
      </c>
      <c r="B127" s="28">
        <v>14.5</v>
      </c>
      <c r="C127" s="28">
        <v>2</v>
      </c>
      <c r="D127" s="9" t="s">
        <v>3696</v>
      </c>
      <c r="E127" s="28" t="s">
        <v>139</v>
      </c>
      <c r="F127" s="28" t="s">
        <v>3692</v>
      </c>
      <c r="G127" s="28"/>
      <c r="H127" s="28" t="s">
        <v>3789</v>
      </c>
      <c r="I127" s="28" t="s">
        <v>2473</v>
      </c>
    </row>
    <row r="128" spans="1:9" x14ac:dyDescent="0.25">
      <c r="A128" s="28" t="s">
        <v>3701</v>
      </c>
      <c r="B128" s="28" t="s">
        <v>3790</v>
      </c>
      <c r="C128" s="28">
        <v>3</v>
      </c>
      <c r="D128" s="28" t="s">
        <v>3791</v>
      </c>
      <c r="E128" s="28" t="s">
        <v>131</v>
      </c>
      <c r="F128" s="28" t="s">
        <v>3692</v>
      </c>
      <c r="G128" s="28"/>
      <c r="H128" s="28" t="s">
        <v>3792</v>
      </c>
      <c r="I128" s="28" t="s">
        <v>2473</v>
      </c>
    </row>
    <row r="129" spans="1:9" x14ac:dyDescent="0.25">
      <c r="A129" s="28" t="s">
        <v>3705</v>
      </c>
      <c r="B129" s="28" t="s">
        <v>3793</v>
      </c>
      <c r="C129" s="28">
        <v>3</v>
      </c>
      <c r="D129" s="28" t="s">
        <v>3794</v>
      </c>
      <c r="E129" s="28" t="s">
        <v>131</v>
      </c>
      <c r="F129" s="28" t="s">
        <v>3692</v>
      </c>
      <c r="G129" s="28"/>
      <c r="H129" s="28" t="s">
        <v>3795</v>
      </c>
      <c r="I129" s="28" t="s">
        <v>2473</v>
      </c>
    </row>
    <row r="130" spans="1:9" ht="30" x14ac:dyDescent="0.25">
      <c r="A130" s="28" t="s">
        <v>368</v>
      </c>
      <c r="B130" s="28">
        <v>15</v>
      </c>
      <c r="C130" s="28">
        <v>1</v>
      </c>
      <c r="D130" s="9" t="s">
        <v>369</v>
      </c>
      <c r="E130" s="28" t="s">
        <v>139</v>
      </c>
      <c r="F130" s="30" t="s">
        <v>140</v>
      </c>
      <c r="G130" s="28"/>
      <c r="H130" s="28" t="s">
        <v>370</v>
      </c>
      <c r="I130" s="28" t="s">
        <v>2232</v>
      </c>
    </row>
    <row r="131" spans="1:9" ht="409.5" x14ac:dyDescent="0.25">
      <c r="A131" s="28" t="s">
        <v>371</v>
      </c>
      <c r="B131" s="28" t="s">
        <v>591</v>
      </c>
      <c r="C131" s="28">
        <v>2</v>
      </c>
      <c r="D131" s="28" t="s">
        <v>372</v>
      </c>
      <c r="E131" s="28" t="s">
        <v>131</v>
      </c>
      <c r="F131" s="30" t="s">
        <v>140</v>
      </c>
      <c r="G131" s="28"/>
      <c r="H131" s="30" t="s">
        <v>2474</v>
      </c>
      <c r="I131" s="28" t="s">
        <v>2232</v>
      </c>
    </row>
    <row r="132" spans="1:9" x14ac:dyDescent="0.25">
      <c r="A132" s="28" t="s">
        <v>373</v>
      </c>
      <c r="B132" s="28">
        <v>16</v>
      </c>
      <c r="C132" s="28">
        <v>1</v>
      </c>
      <c r="D132" s="9" t="s">
        <v>374</v>
      </c>
      <c r="E132" s="28" t="s">
        <v>139</v>
      </c>
      <c r="F132" s="28" t="s">
        <v>210</v>
      </c>
      <c r="G132" s="28"/>
      <c r="H132" s="28"/>
      <c r="I132" s="28" t="s">
        <v>2232</v>
      </c>
    </row>
    <row r="133" spans="1:9" x14ac:dyDescent="0.25">
      <c r="A133" s="28" t="s">
        <v>375</v>
      </c>
      <c r="B133" s="28">
        <v>16.100000000000001</v>
      </c>
      <c r="C133" s="28">
        <v>2</v>
      </c>
      <c r="D133" s="9" t="s">
        <v>376</v>
      </c>
      <c r="E133" s="28" t="s">
        <v>139</v>
      </c>
      <c r="F133" s="28" t="s">
        <v>210</v>
      </c>
      <c r="G133" s="28"/>
      <c r="H133" s="28" t="s">
        <v>377</v>
      </c>
      <c r="I133" s="28" t="s">
        <v>2232</v>
      </c>
    </row>
    <row r="134" spans="1:9" ht="409.5" x14ac:dyDescent="0.25">
      <c r="A134" s="28" t="s">
        <v>378</v>
      </c>
      <c r="B134" s="28" t="s">
        <v>592</v>
      </c>
      <c r="C134" s="28">
        <v>3</v>
      </c>
      <c r="D134" s="28" t="s">
        <v>379</v>
      </c>
      <c r="E134" s="28" t="s">
        <v>131</v>
      </c>
      <c r="F134" s="28" t="s">
        <v>210</v>
      </c>
      <c r="G134" s="28"/>
      <c r="H134" s="30" t="s">
        <v>3796</v>
      </c>
      <c r="I134" s="28" t="s">
        <v>2232</v>
      </c>
    </row>
    <row r="135" spans="1:9" x14ac:dyDescent="0.25">
      <c r="A135" s="28" t="s">
        <v>380</v>
      </c>
      <c r="B135" s="28">
        <v>17</v>
      </c>
      <c r="C135" s="28">
        <v>1</v>
      </c>
      <c r="D135" s="9" t="s">
        <v>18</v>
      </c>
      <c r="E135" s="28" t="s">
        <v>139</v>
      </c>
      <c r="F135" s="28" t="s">
        <v>210</v>
      </c>
      <c r="G135" s="28"/>
      <c r="H135" s="28"/>
      <c r="I135" s="28" t="s">
        <v>2232</v>
      </c>
    </row>
    <row r="136" spans="1:9" ht="409.5" x14ac:dyDescent="0.25">
      <c r="A136" s="28" t="s">
        <v>381</v>
      </c>
      <c r="B136" s="28" t="s">
        <v>593</v>
      </c>
      <c r="C136" s="28">
        <v>2</v>
      </c>
      <c r="D136" s="28" t="s">
        <v>382</v>
      </c>
      <c r="E136" s="28" t="s">
        <v>131</v>
      </c>
      <c r="F136" s="28" t="s">
        <v>210</v>
      </c>
      <c r="G136" s="28"/>
      <c r="H136" s="30" t="s">
        <v>3797</v>
      </c>
      <c r="I136" s="28" t="s">
        <v>2232</v>
      </c>
    </row>
    <row r="137" spans="1:9" ht="30" x14ac:dyDescent="0.25">
      <c r="A137" s="28" t="s">
        <v>383</v>
      </c>
      <c r="B137" s="28">
        <v>18</v>
      </c>
      <c r="C137" s="28">
        <v>1</v>
      </c>
      <c r="D137" s="9" t="s">
        <v>384</v>
      </c>
      <c r="E137" s="28" t="s">
        <v>139</v>
      </c>
      <c r="F137" s="30" t="s">
        <v>140</v>
      </c>
      <c r="G137" s="28"/>
      <c r="H137" s="28" t="s">
        <v>385</v>
      </c>
      <c r="I137" s="28" t="s">
        <v>2232</v>
      </c>
    </row>
    <row r="138" spans="1:9" ht="409.5" x14ac:dyDescent="0.25">
      <c r="A138" s="28" t="s">
        <v>386</v>
      </c>
      <c r="B138" s="28" t="s">
        <v>594</v>
      </c>
      <c r="C138" s="28">
        <v>2</v>
      </c>
      <c r="D138" s="28" t="s">
        <v>387</v>
      </c>
      <c r="E138" s="28" t="s">
        <v>131</v>
      </c>
      <c r="F138" s="30" t="s">
        <v>140</v>
      </c>
      <c r="G138" s="28"/>
      <c r="H138" s="30" t="s">
        <v>2476</v>
      </c>
      <c r="I138" s="28" t="s">
        <v>2232</v>
      </c>
    </row>
    <row r="139" spans="1:9" ht="180" x14ac:dyDescent="0.25">
      <c r="A139" s="28" t="s">
        <v>388</v>
      </c>
      <c r="B139" s="28" t="s">
        <v>595</v>
      </c>
      <c r="C139" s="28">
        <v>2</v>
      </c>
      <c r="D139" s="28" t="s">
        <v>389</v>
      </c>
      <c r="E139" s="28" t="s">
        <v>131</v>
      </c>
      <c r="F139" s="30" t="s">
        <v>140</v>
      </c>
      <c r="G139" s="28"/>
      <c r="H139" s="30" t="s">
        <v>390</v>
      </c>
      <c r="I139" s="28" t="s">
        <v>2232</v>
      </c>
    </row>
    <row r="140" spans="1:9" ht="195" x14ac:dyDescent="0.25">
      <c r="A140" s="28" t="s">
        <v>391</v>
      </c>
      <c r="B140" s="28" t="s">
        <v>596</v>
      </c>
      <c r="C140" s="28">
        <v>2</v>
      </c>
      <c r="D140" s="28" t="s">
        <v>392</v>
      </c>
      <c r="E140" s="28" t="s">
        <v>131</v>
      </c>
      <c r="F140" s="30" t="s">
        <v>140</v>
      </c>
      <c r="G140" s="28"/>
      <c r="H140" s="30" t="s">
        <v>393</v>
      </c>
      <c r="I140" s="28" t="s">
        <v>2232</v>
      </c>
    </row>
    <row r="141" spans="1:9" ht="30" x14ac:dyDescent="0.25">
      <c r="A141" s="28" t="s">
        <v>394</v>
      </c>
      <c r="B141" s="28">
        <v>19</v>
      </c>
      <c r="C141" s="28">
        <v>1</v>
      </c>
      <c r="D141" s="9" t="s">
        <v>395</v>
      </c>
      <c r="E141" s="28" t="s">
        <v>139</v>
      </c>
      <c r="F141" s="30" t="s">
        <v>140</v>
      </c>
      <c r="G141" s="28"/>
      <c r="H141" s="28"/>
      <c r="I141" s="28" t="s">
        <v>2232</v>
      </c>
    </row>
    <row r="142" spans="1:9" ht="30" x14ac:dyDescent="0.25">
      <c r="A142" s="28" t="s">
        <v>396</v>
      </c>
      <c r="B142" s="28">
        <v>19.100000000000001</v>
      </c>
      <c r="C142" s="28">
        <v>2</v>
      </c>
      <c r="D142" s="9" t="s">
        <v>397</v>
      </c>
      <c r="E142" s="28" t="s">
        <v>139</v>
      </c>
      <c r="F142" s="30" t="s">
        <v>140</v>
      </c>
      <c r="G142" s="28"/>
      <c r="H142" s="28"/>
      <c r="I142" s="28" t="s">
        <v>2232</v>
      </c>
    </row>
    <row r="143" spans="1:9" ht="409.5" x14ac:dyDescent="0.25">
      <c r="A143" s="28" t="s">
        <v>398</v>
      </c>
      <c r="B143" s="28" t="s">
        <v>597</v>
      </c>
      <c r="C143" s="28">
        <v>3</v>
      </c>
      <c r="D143" s="28" t="s">
        <v>2477</v>
      </c>
      <c r="E143" s="28" t="s">
        <v>131</v>
      </c>
      <c r="F143" s="30" t="s">
        <v>140</v>
      </c>
      <c r="G143" s="28"/>
      <c r="H143" s="30" t="s">
        <v>2724</v>
      </c>
      <c r="I143" s="28" t="s">
        <v>2232</v>
      </c>
    </row>
    <row r="144" spans="1:9" ht="30" x14ac:dyDescent="0.25">
      <c r="A144" s="28" t="s">
        <v>399</v>
      </c>
      <c r="B144" s="28">
        <v>20</v>
      </c>
      <c r="C144" s="28">
        <v>1</v>
      </c>
      <c r="D144" s="9" t="s">
        <v>400</v>
      </c>
      <c r="E144" s="28" t="s">
        <v>139</v>
      </c>
      <c r="F144" s="30" t="s">
        <v>140</v>
      </c>
      <c r="G144" s="28"/>
      <c r="H144" s="28" t="s">
        <v>401</v>
      </c>
      <c r="I144" s="28" t="s">
        <v>2232</v>
      </c>
    </row>
    <row r="145" spans="1:9" ht="409.5" x14ac:dyDescent="0.25">
      <c r="A145" s="28" t="s">
        <v>402</v>
      </c>
      <c r="B145" s="28" t="s">
        <v>598</v>
      </c>
      <c r="C145" s="28">
        <v>2</v>
      </c>
      <c r="D145" s="28" t="s">
        <v>403</v>
      </c>
      <c r="E145" s="28" t="s">
        <v>131</v>
      </c>
      <c r="F145" s="30" t="s">
        <v>140</v>
      </c>
      <c r="G145" s="28"/>
      <c r="H145" s="30" t="s">
        <v>3798</v>
      </c>
      <c r="I145" s="28" t="s">
        <v>2232</v>
      </c>
    </row>
    <row r="146" spans="1:9" ht="285" x14ac:dyDescent="0.25">
      <c r="A146" s="28" t="s">
        <v>3799</v>
      </c>
      <c r="B146" s="28" t="s">
        <v>599</v>
      </c>
      <c r="C146" s="28">
        <v>2</v>
      </c>
      <c r="D146" s="30" t="s">
        <v>3800</v>
      </c>
      <c r="E146" s="28" t="s">
        <v>131</v>
      </c>
      <c r="F146" s="30" t="s">
        <v>2507</v>
      </c>
      <c r="G146" s="28"/>
      <c r="H146" s="30" t="s">
        <v>3801</v>
      </c>
      <c r="I146" s="28" t="s">
        <v>2473</v>
      </c>
    </row>
    <row r="147" spans="1:9" ht="315" x14ac:dyDescent="0.25">
      <c r="A147" s="28" t="s">
        <v>3709</v>
      </c>
      <c r="B147" s="28" t="s">
        <v>3802</v>
      </c>
      <c r="C147" s="28">
        <v>2</v>
      </c>
      <c r="D147" s="30" t="s">
        <v>3803</v>
      </c>
      <c r="E147" s="28" t="s">
        <v>131</v>
      </c>
      <c r="F147" s="30" t="s">
        <v>3804</v>
      </c>
      <c r="G147" s="28"/>
      <c r="H147" s="30" t="s">
        <v>3805</v>
      </c>
      <c r="I147" s="28" t="s">
        <v>2473</v>
      </c>
    </row>
    <row r="148" spans="1:9" ht="300" x14ac:dyDescent="0.25">
      <c r="A148" s="28" t="s">
        <v>404</v>
      </c>
      <c r="B148" s="28" t="s">
        <v>3806</v>
      </c>
      <c r="C148" s="28">
        <v>2</v>
      </c>
      <c r="D148" s="28" t="s">
        <v>405</v>
      </c>
      <c r="E148" s="28" t="s">
        <v>131</v>
      </c>
      <c r="F148" s="30" t="s">
        <v>140</v>
      </c>
      <c r="G148" s="28"/>
      <c r="H148" s="30" t="s">
        <v>3807</v>
      </c>
      <c r="I148" s="28" t="s">
        <v>2232</v>
      </c>
    </row>
    <row r="149" spans="1:9" ht="30" x14ac:dyDescent="0.25">
      <c r="A149" s="28" t="s">
        <v>406</v>
      </c>
      <c r="B149" s="28">
        <v>21</v>
      </c>
      <c r="C149" s="28">
        <v>1</v>
      </c>
      <c r="D149" s="9" t="s">
        <v>93</v>
      </c>
      <c r="E149" s="28" t="s">
        <v>139</v>
      </c>
      <c r="F149" s="30" t="s">
        <v>140</v>
      </c>
      <c r="G149" s="28"/>
      <c r="H149" s="28" t="s">
        <v>407</v>
      </c>
      <c r="I149" s="28" t="s">
        <v>2232</v>
      </c>
    </row>
    <row r="150" spans="1:9" ht="409.5" x14ac:dyDescent="0.25">
      <c r="A150" s="28" t="s">
        <v>408</v>
      </c>
      <c r="B150" s="28" t="s">
        <v>600</v>
      </c>
      <c r="C150" s="28">
        <v>2</v>
      </c>
      <c r="D150" s="28" t="s">
        <v>92</v>
      </c>
      <c r="E150" s="28" t="s">
        <v>131</v>
      </c>
      <c r="F150" s="30" t="s">
        <v>140</v>
      </c>
      <c r="G150" s="28"/>
      <c r="H150" s="30" t="s">
        <v>3808</v>
      </c>
      <c r="I150" s="28" t="s">
        <v>2232</v>
      </c>
    </row>
    <row r="151" spans="1:9" ht="240" x14ac:dyDescent="0.25">
      <c r="A151" s="28" t="s">
        <v>409</v>
      </c>
      <c r="B151" s="28" t="s">
        <v>601</v>
      </c>
      <c r="C151" s="28">
        <v>2</v>
      </c>
      <c r="D151" s="28" t="s">
        <v>86</v>
      </c>
      <c r="E151" s="28" t="s">
        <v>131</v>
      </c>
      <c r="F151" s="30" t="s">
        <v>140</v>
      </c>
      <c r="G151" s="28"/>
      <c r="H151" s="30" t="s">
        <v>410</v>
      </c>
      <c r="I151" s="28" t="s">
        <v>2232</v>
      </c>
    </row>
    <row r="152" spans="1:9" ht="409.5" x14ac:dyDescent="0.25">
      <c r="A152" s="28" t="s">
        <v>411</v>
      </c>
      <c r="B152" s="28" t="s">
        <v>602</v>
      </c>
      <c r="C152" s="28">
        <v>2</v>
      </c>
      <c r="D152" s="28" t="s">
        <v>412</v>
      </c>
      <c r="E152" s="28" t="s">
        <v>131</v>
      </c>
      <c r="F152" s="30" t="s">
        <v>140</v>
      </c>
      <c r="G152" s="28"/>
      <c r="H152" s="30" t="s">
        <v>3809</v>
      </c>
      <c r="I152" s="28" t="s">
        <v>2232</v>
      </c>
    </row>
    <row r="153" spans="1:9" ht="409.5" x14ac:dyDescent="0.25">
      <c r="A153" s="28" t="s">
        <v>125</v>
      </c>
      <c r="B153" s="28" t="s">
        <v>603</v>
      </c>
      <c r="C153" s="28">
        <v>2</v>
      </c>
      <c r="D153" s="28" t="s">
        <v>413</v>
      </c>
      <c r="E153" s="28" t="s">
        <v>131</v>
      </c>
      <c r="F153" s="30" t="s">
        <v>140</v>
      </c>
      <c r="G153" s="28"/>
      <c r="H153" s="30" t="s">
        <v>3810</v>
      </c>
      <c r="I153" s="28" t="s">
        <v>2232</v>
      </c>
    </row>
    <row r="154" spans="1:9" ht="409.5" x14ac:dyDescent="0.25">
      <c r="A154" s="28" t="s">
        <v>414</v>
      </c>
      <c r="B154" s="28" t="s">
        <v>604</v>
      </c>
      <c r="C154" s="28">
        <v>2</v>
      </c>
      <c r="D154" s="28" t="s">
        <v>415</v>
      </c>
      <c r="E154" s="28" t="s">
        <v>131</v>
      </c>
      <c r="F154" s="30" t="s">
        <v>140</v>
      </c>
      <c r="G154" s="28"/>
      <c r="H154" s="30" t="s">
        <v>2481</v>
      </c>
      <c r="I154" s="28" t="s">
        <v>2232</v>
      </c>
    </row>
    <row r="155" spans="1:9" ht="409.5" x14ac:dyDescent="0.25">
      <c r="A155" s="28" t="s">
        <v>416</v>
      </c>
      <c r="B155" s="28" t="s">
        <v>605</v>
      </c>
      <c r="C155" s="28">
        <v>2</v>
      </c>
      <c r="D155" s="28" t="s">
        <v>417</v>
      </c>
      <c r="E155" s="28" t="s">
        <v>131</v>
      </c>
      <c r="F155" s="30" t="s">
        <v>140</v>
      </c>
      <c r="G155" s="28"/>
      <c r="H155" s="30" t="s">
        <v>2482</v>
      </c>
      <c r="I155" s="28" t="s">
        <v>2232</v>
      </c>
    </row>
    <row r="156" spans="1:9" ht="30" x14ac:dyDescent="0.25">
      <c r="A156" s="28" t="s">
        <v>418</v>
      </c>
      <c r="B156" s="28">
        <v>21.1</v>
      </c>
      <c r="C156" s="28">
        <v>2</v>
      </c>
      <c r="D156" s="9" t="s">
        <v>419</v>
      </c>
      <c r="E156" s="28" t="s">
        <v>139</v>
      </c>
      <c r="F156" s="30" t="s">
        <v>140</v>
      </c>
      <c r="G156" s="28"/>
      <c r="H156" s="28"/>
      <c r="I156" s="28" t="s">
        <v>2232</v>
      </c>
    </row>
    <row r="157" spans="1:9" ht="409.5" x14ac:dyDescent="0.25">
      <c r="A157" s="28" t="s">
        <v>420</v>
      </c>
      <c r="B157" s="28" t="s">
        <v>606</v>
      </c>
      <c r="C157" s="28">
        <v>3</v>
      </c>
      <c r="D157" s="28" t="s">
        <v>421</v>
      </c>
      <c r="E157" s="28" t="s">
        <v>131</v>
      </c>
      <c r="F157" s="30" t="s">
        <v>140</v>
      </c>
      <c r="G157" s="28"/>
      <c r="H157" s="30" t="s">
        <v>2483</v>
      </c>
      <c r="I157" s="28" t="s">
        <v>2232</v>
      </c>
    </row>
    <row r="158" spans="1:9" ht="409.5" x14ac:dyDescent="0.25">
      <c r="A158" s="28" t="s">
        <v>422</v>
      </c>
      <c r="B158" s="28" t="s">
        <v>607</v>
      </c>
      <c r="C158" s="28">
        <v>3</v>
      </c>
      <c r="D158" s="28" t="s">
        <v>423</v>
      </c>
      <c r="E158" s="28" t="s">
        <v>131</v>
      </c>
      <c r="F158" s="30" t="s">
        <v>140</v>
      </c>
      <c r="G158" s="28"/>
      <c r="H158" s="30" t="s">
        <v>2484</v>
      </c>
      <c r="I158" s="28" t="s">
        <v>2232</v>
      </c>
    </row>
    <row r="159" spans="1:9" ht="30" x14ac:dyDescent="0.25">
      <c r="A159" s="28" t="s">
        <v>424</v>
      </c>
      <c r="B159" s="28">
        <v>22</v>
      </c>
      <c r="C159" s="28">
        <v>1</v>
      </c>
      <c r="D159" s="9" t="s">
        <v>425</v>
      </c>
      <c r="E159" s="28" t="s">
        <v>139</v>
      </c>
      <c r="F159" s="30" t="s">
        <v>140</v>
      </c>
      <c r="G159" s="28"/>
      <c r="H159" s="28" t="s">
        <v>426</v>
      </c>
      <c r="I159" s="28" t="s">
        <v>2232</v>
      </c>
    </row>
    <row r="160" spans="1:9" ht="409.5" x14ac:dyDescent="0.25">
      <c r="A160" s="28" t="s">
        <v>427</v>
      </c>
      <c r="B160" s="28" t="s">
        <v>608</v>
      </c>
      <c r="C160" s="28">
        <v>2</v>
      </c>
      <c r="D160" s="30" t="s">
        <v>3435</v>
      </c>
      <c r="E160" s="28" t="s">
        <v>131</v>
      </c>
      <c r="F160" s="30" t="s">
        <v>140</v>
      </c>
      <c r="G160" s="28"/>
      <c r="H160" s="30" t="s">
        <v>3811</v>
      </c>
      <c r="I160" s="28" t="s">
        <v>2232</v>
      </c>
    </row>
    <row r="161" spans="1:9" ht="409.5" x14ac:dyDescent="0.25">
      <c r="A161" s="28" t="s">
        <v>429</v>
      </c>
      <c r="B161" s="28" t="s">
        <v>609</v>
      </c>
      <c r="C161" s="28">
        <v>2</v>
      </c>
      <c r="D161" s="30" t="s">
        <v>430</v>
      </c>
      <c r="E161" s="28" t="s">
        <v>131</v>
      </c>
      <c r="F161" s="30" t="s">
        <v>140</v>
      </c>
      <c r="G161" s="28"/>
      <c r="H161" s="30" t="s">
        <v>2485</v>
      </c>
      <c r="I161" s="28" t="s">
        <v>2232</v>
      </c>
    </row>
    <row r="162" spans="1:9" ht="409.5" x14ac:dyDescent="0.25">
      <c r="A162" s="28" t="s">
        <v>431</v>
      </c>
      <c r="B162" s="28" t="s">
        <v>610</v>
      </c>
      <c r="C162" s="28">
        <v>2</v>
      </c>
      <c r="D162" s="30" t="s">
        <v>432</v>
      </c>
      <c r="E162" s="28" t="s">
        <v>131</v>
      </c>
      <c r="F162" s="28" t="s">
        <v>210</v>
      </c>
      <c r="G162" s="28"/>
      <c r="H162" s="30" t="s">
        <v>2486</v>
      </c>
      <c r="I162" s="28" t="s">
        <v>2232</v>
      </c>
    </row>
    <row r="163" spans="1:9" ht="30" x14ac:dyDescent="0.25">
      <c r="A163" s="28" t="s">
        <v>433</v>
      </c>
      <c r="B163" s="28">
        <v>23</v>
      </c>
      <c r="C163" s="28">
        <v>1</v>
      </c>
      <c r="D163" s="9" t="s">
        <v>434</v>
      </c>
      <c r="E163" s="28" t="s">
        <v>139</v>
      </c>
      <c r="F163" s="30" t="s">
        <v>140</v>
      </c>
      <c r="G163" s="28"/>
      <c r="H163" s="28"/>
      <c r="I163" s="28" t="s">
        <v>2232</v>
      </c>
    </row>
    <row r="164" spans="1:9" ht="409.5" x14ac:dyDescent="0.25">
      <c r="A164" s="28" t="s">
        <v>435</v>
      </c>
      <c r="B164" s="28" t="s">
        <v>611</v>
      </c>
      <c r="C164" s="28">
        <v>2</v>
      </c>
      <c r="D164" s="28" t="s">
        <v>436</v>
      </c>
      <c r="E164" s="28" t="s">
        <v>131</v>
      </c>
      <c r="F164" s="30" t="s">
        <v>140</v>
      </c>
      <c r="G164" s="28"/>
      <c r="H164" s="30" t="s">
        <v>2487</v>
      </c>
      <c r="I164" s="28" t="s">
        <v>2232</v>
      </c>
    </row>
    <row r="165" spans="1:9" ht="30" x14ac:dyDescent="0.25">
      <c r="A165" s="28" t="s">
        <v>437</v>
      </c>
      <c r="B165" s="28">
        <v>24</v>
      </c>
      <c r="C165" s="28">
        <v>1</v>
      </c>
      <c r="D165" s="9" t="s">
        <v>438</v>
      </c>
      <c r="E165" s="28" t="s">
        <v>139</v>
      </c>
      <c r="F165" s="30" t="s">
        <v>140</v>
      </c>
      <c r="G165" s="28"/>
      <c r="H165" s="28" t="s">
        <v>439</v>
      </c>
      <c r="I165" s="28" t="s">
        <v>2232</v>
      </c>
    </row>
    <row r="166" spans="1:9" ht="30" x14ac:dyDescent="0.25">
      <c r="A166" s="28" t="s">
        <v>440</v>
      </c>
      <c r="B166" s="28" t="s">
        <v>612</v>
      </c>
      <c r="C166" s="28">
        <v>2</v>
      </c>
      <c r="D166" s="28" t="s">
        <v>441</v>
      </c>
      <c r="E166" s="28" t="s">
        <v>131</v>
      </c>
      <c r="F166" s="30" t="s">
        <v>140</v>
      </c>
      <c r="G166" s="28"/>
      <c r="H166" s="28" t="s">
        <v>442</v>
      </c>
      <c r="I166" s="28" t="s">
        <v>2232</v>
      </c>
    </row>
    <row r="167" spans="1:9" ht="30" x14ac:dyDescent="0.25">
      <c r="A167" s="28" t="s">
        <v>443</v>
      </c>
      <c r="B167" s="28">
        <v>25</v>
      </c>
      <c r="C167" s="28">
        <v>1</v>
      </c>
      <c r="D167" s="9" t="s">
        <v>444</v>
      </c>
      <c r="E167" s="28" t="s">
        <v>139</v>
      </c>
      <c r="F167" s="30" t="s">
        <v>140</v>
      </c>
      <c r="G167" s="28"/>
      <c r="H167" s="28" t="s">
        <v>445</v>
      </c>
      <c r="I167" s="28" t="s">
        <v>2232</v>
      </c>
    </row>
    <row r="168" spans="1:9" ht="409.5" x14ac:dyDescent="0.25">
      <c r="A168" s="28" t="s">
        <v>446</v>
      </c>
      <c r="B168" s="28" t="s">
        <v>613</v>
      </c>
      <c r="C168" s="28">
        <v>2</v>
      </c>
      <c r="D168" s="28" t="s">
        <v>447</v>
      </c>
      <c r="E168" s="28" t="s">
        <v>131</v>
      </c>
      <c r="F168" s="30" t="s">
        <v>140</v>
      </c>
      <c r="G168" s="28"/>
      <c r="H168" s="30" t="s">
        <v>3812</v>
      </c>
      <c r="I168" s="28" t="s">
        <v>2232</v>
      </c>
    </row>
    <row r="169" spans="1:9" ht="409.5" x14ac:dyDescent="0.25">
      <c r="A169" s="28" t="s">
        <v>448</v>
      </c>
      <c r="B169" s="28" t="s">
        <v>614</v>
      </c>
      <c r="C169" s="28">
        <v>2</v>
      </c>
      <c r="D169" s="28" t="s">
        <v>449</v>
      </c>
      <c r="E169" s="28" t="s">
        <v>131</v>
      </c>
      <c r="F169" s="30" t="s">
        <v>140</v>
      </c>
      <c r="G169" s="28"/>
      <c r="H169" s="30" t="s">
        <v>2488</v>
      </c>
      <c r="I169" s="28" t="s">
        <v>2232</v>
      </c>
    </row>
    <row r="170" spans="1:9" ht="409.5" x14ac:dyDescent="0.25">
      <c r="A170" s="28" t="s">
        <v>450</v>
      </c>
      <c r="B170" s="28" t="s">
        <v>615</v>
      </c>
      <c r="C170" s="28">
        <v>2</v>
      </c>
      <c r="D170" s="28" t="s">
        <v>451</v>
      </c>
      <c r="E170" s="28" t="s">
        <v>131</v>
      </c>
      <c r="F170" s="30" t="s">
        <v>140</v>
      </c>
      <c r="G170" s="28"/>
      <c r="H170" s="30" t="s">
        <v>2489</v>
      </c>
      <c r="I170" s="28" t="s">
        <v>2232</v>
      </c>
    </row>
    <row r="171" spans="1:9" ht="30" x14ac:dyDescent="0.25">
      <c r="A171" s="28" t="s">
        <v>452</v>
      </c>
      <c r="B171" s="28">
        <v>26</v>
      </c>
      <c r="C171" s="28">
        <v>1</v>
      </c>
      <c r="D171" s="9" t="s">
        <v>54</v>
      </c>
      <c r="E171" s="28" t="s">
        <v>139</v>
      </c>
      <c r="F171" s="30" t="s">
        <v>140</v>
      </c>
      <c r="G171" s="28"/>
      <c r="H171" s="28" t="s">
        <v>453</v>
      </c>
      <c r="I171" s="28" t="s">
        <v>2232</v>
      </c>
    </row>
    <row r="172" spans="1:9" ht="30" x14ac:dyDescent="0.25">
      <c r="A172" s="28" t="s">
        <v>454</v>
      </c>
      <c r="B172" s="28">
        <v>26.1</v>
      </c>
      <c r="C172" s="28">
        <v>2</v>
      </c>
      <c r="D172" s="9" t="s">
        <v>53</v>
      </c>
      <c r="E172" s="28" t="s">
        <v>139</v>
      </c>
      <c r="F172" s="30" t="s">
        <v>140</v>
      </c>
      <c r="G172" s="28"/>
      <c r="H172" s="28" t="s">
        <v>455</v>
      </c>
      <c r="I172" s="28" t="s">
        <v>2232</v>
      </c>
    </row>
    <row r="173" spans="1:9" ht="409.5" x14ac:dyDescent="0.25">
      <c r="A173" s="28" t="s">
        <v>456</v>
      </c>
      <c r="B173" s="28" t="s">
        <v>616</v>
      </c>
      <c r="C173" s="28">
        <v>3</v>
      </c>
      <c r="D173" s="28" t="s">
        <v>457</v>
      </c>
      <c r="E173" s="28" t="s">
        <v>131</v>
      </c>
      <c r="F173" s="30" t="s">
        <v>140</v>
      </c>
      <c r="G173" s="28"/>
      <c r="H173" s="30" t="s">
        <v>2490</v>
      </c>
      <c r="I173" s="28" t="s">
        <v>2232</v>
      </c>
    </row>
    <row r="174" spans="1:9" ht="409.5" x14ac:dyDescent="0.25">
      <c r="A174" s="28" t="s">
        <v>458</v>
      </c>
      <c r="B174" s="28" t="s">
        <v>617</v>
      </c>
      <c r="C174" s="28">
        <v>3</v>
      </c>
      <c r="D174" s="28" t="s">
        <v>52</v>
      </c>
      <c r="E174" s="28" t="s">
        <v>131</v>
      </c>
      <c r="F174" s="30" t="s">
        <v>140</v>
      </c>
      <c r="G174" s="28"/>
      <c r="H174" s="30" t="s">
        <v>2491</v>
      </c>
      <c r="I174" s="28" t="s">
        <v>2232</v>
      </c>
    </row>
    <row r="175" spans="1:9" ht="30" x14ac:dyDescent="0.25">
      <c r="A175" s="28" t="s">
        <v>459</v>
      </c>
      <c r="B175" s="28">
        <v>26.2</v>
      </c>
      <c r="C175" s="28">
        <v>2</v>
      </c>
      <c r="D175" s="9" t="s">
        <v>45</v>
      </c>
      <c r="E175" s="28" t="s">
        <v>139</v>
      </c>
      <c r="F175" s="30" t="s">
        <v>140</v>
      </c>
      <c r="G175" s="28"/>
      <c r="H175" s="28"/>
      <c r="I175" s="28" t="s">
        <v>2232</v>
      </c>
    </row>
    <row r="176" spans="1:9" ht="409.5" x14ac:dyDescent="0.25">
      <c r="A176" s="28" t="s">
        <v>460</v>
      </c>
      <c r="B176" s="28" t="s">
        <v>618</v>
      </c>
      <c r="C176" s="28">
        <v>3</v>
      </c>
      <c r="D176" s="28" t="s">
        <v>461</v>
      </c>
      <c r="E176" s="28" t="s">
        <v>131</v>
      </c>
      <c r="F176" s="30" t="s">
        <v>140</v>
      </c>
      <c r="G176" s="28"/>
      <c r="H176" s="30" t="s">
        <v>3813</v>
      </c>
      <c r="I176" s="28" t="s">
        <v>2232</v>
      </c>
    </row>
    <row r="177" spans="1:9" ht="30" x14ac:dyDescent="0.25">
      <c r="A177" s="28" t="s">
        <v>462</v>
      </c>
      <c r="B177" s="28">
        <v>27</v>
      </c>
      <c r="C177" s="28">
        <v>1</v>
      </c>
      <c r="D177" s="9" t="s">
        <v>463</v>
      </c>
      <c r="E177" s="28" t="s">
        <v>139</v>
      </c>
      <c r="F177" s="30" t="s">
        <v>140</v>
      </c>
      <c r="G177" s="28"/>
      <c r="H177" s="28"/>
      <c r="I177" s="28" t="s">
        <v>2232</v>
      </c>
    </row>
    <row r="178" spans="1:9" ht="409.5" x14ac:dyDescent="0.25">
      <c r="A178" s="28" t="s">
        <v>464</v>
      </c>
      <c r="B178" s="28" t="s">
        <v>619</v>
      </c>
      <c r="C178" s="28">
        <v>2</v>
      </c>
      <c r="D178" s="28" t="s">
        <v>465</v>
      </c>
      <c r="E178" s="28" t="s">
        <v>139</v>
      </c>
      <c r="F178" s="28" t="s">
        <v>210</v>
      </c>
      <c r="G178" s="28"/>
      <c r="H178" s="30" t="s">
        <v>2492</v>
      </c>
      <c r="I178" s="28" t="s">
        <v>2232</v>
      </c>
    </row>
    <row r="179" spans="1:9" x14ac:dyDescent="0.25">
      <c r="A179" s="28" t="s">
        <v>127</v>
      </c>
      <c r="B179" s="28" t="s">
        <v>620</v>
      </c>
      <c r="C179" s="28">
        <v>2</v>
      </c>
      <c r="D179" s="28" t="s">
        <v>466</v>
      </c>
      <c r="E179" s="28" t="s">
        <v>131</v>
      </c>
      <c r="F179" s="28" t="s">
        <v>210</v>
      </c>
      <c r="G179" s="28"/>
      <c r="H179" s="28" t="s">
        <v>467</v>
      </c>
      <c r="I179" s="28" t="s">
        <v>2232</v>
      </c>
    </row>
    <row r="180" spans="1:9" ht="30" x14ac:dyDescent="0.25">
      <c r="A180" s="28" t="s">
        <v>468</v>
      </c>
      <c r="B180" s="28">
        <v>28</v>
      </c>
      <c r="C180" s="28">
        <v>1</v>
      </c>
      <c r="D180" s="9" t="s">
        <v>469</v>
      </c>
      <c r="E180" s="28" t="s">
        <v>139</v>
      </c>
      <c r="F180" s="30" t="s">
        <v>140</v>
      </c>
      <c r="G180" s="28"/>
      <c r="H180" s="28" t="s">
        <v>470</v>
      </c>
      <c r="I180" s="28" t="s">
        <v>2232</v>
      </c>
    </row>
    <row r="181" spans="1:9" ht="30" x14ac:dyDescent="0.25">
      <c r="A181" s="28" t="s">
        <v>471</v>
      </c>
      <c r="B181" s="28">
        <v>28.1</v>
      </c>
      <c r="C181" s="28">
        <v>2</v>
      </c>
      <c r="D181" s="9" t="s">
        <v>84</v>
      </c>
      <c r="E181" s="28" t="s">
        <v>139</v>
      </c>
      <c r="F181" s="30" t="s">
        <v>140</v>
      </c>
      <c r="G181" s="28"/>
      <c r="H181" s="28"/>
      <c r="I181" s="28" t="s">
        <v>2232</v>
      </c>
    </row>
    <row r="182" spans="1:9" ht="409.5" x14ac:dyDescent="0.25">
      <c r="A182" s="28" t="s">
        <v>472</v>
      </c>
      <c r="B182" s="28" t="s">
        <v>621</v>
      </c>
      <c r="C182" s="28">
        <v>3</v>
      </c>
      <c r="D182" s="28" t="s">
        <v>83</v>
      </c>
      <c r="E182" s="28" t="s">
        <v>131</v>
      </c>
      <c r="F182" s="30" t="s">
        <v>140</v>
      </c>
      <c r="G182" s="28"/>
      <c r="H182" s="30" t="s">
        <v>2493</v>
      </c>
      <c r="I182" s="28" t="s">
        <v>2232</v>
      </c>
    </row>
    <row r="183" spans="1:9" ht="30" x14ac:dyDescent="0.25">
      <c r="A183" s="28" t="s">
        <v>473</v>
      </c>
      <c r="B183" s="28">
        <v>28.2</v>
      </c>
      <c r="C183" s="28">
        <v>2</v>
      </c>
      <c r="D183" s="9" t="s">
        <v>79</v>
      </c>
      <c r="E183" s="28" t="s">
        <v>139</v>
      </c>
      <c r="F183" s="30" t="s">
        <v>140</v>
      </c>
      <c r="G183" s="28"/>
      <c r="H183" s="28"/>
      <c r="I183" s="28" t="s">
        <v>2232</v>
      </c>
    </row>
    <row r="184" spans="1:9" ht="409.5" x14ac:dyDescent="0.25">
      <c r="A184" s="28" t="s">
        <v>474</v>
      </c>
      <c r="B184" s="28" t="s">
        <v>622</v>
      </c>
      <c r="C184" s="28">
        <v>3</v>
      </c>
      <c r="D184" s="28" t="s">
        <v>78</v>
      </c>
      <c r="E184" s="28" t="s">
        <v>131</v>
      </c>
      <c r="F184" s="30" t="s">
        <v>140</v>
      </c>
      <c r="G184" s="28"/>
      <c r="H184" s="30" t="s">
        <v>2494</v>
      </c>
      <c r="I184" s="28" t="s">
        <v>2232</v>
      </c>
    </row>
    <row r="185" spans="1:9" ht="30" x14ac:dyDescent="0.25">
      <c r="A185" s="28" t="s">
        <v>475</v>
      </c>
      <c r="B185" s="28">
        <v>28.3</v>
      </c>
      <c r="C185" s="28">
        <v>2</v>
      </c>
      <c r="D185" s="9" t="s">
        <v>75</v>
      </c>
      <c r="E185" s="28" t="s">
        <v>139</v>
      </c>
      <c r="F185" s="30" t="s">
        <v>140</v>
      </c>
      <c r="G185" s="28"/>
      <c r="H185" s="28"/>
      <c r="I185" s="28" t="s">
        <v>2232</v>
      </c>
    </row>
    <row r="186" spans="1:9" ht="409.5" x14ac:dyDescent="0.25">
      <c r="A186" s="28" t="s">
        <v>476</v>
      </c>
      <c r="B186" s="28" t="s">
        <v>623</v>
      </c>
      <c r="C186" s="28">
        <v>3</v>
      </c>
      <c r="D186" s="28" t="s">
        <v>74</v>
      </c>
      <c r="E186" s="28" t="s">
        <v>131</v>
      </c>
      <c r="F186" s="30" t="s">
        <v>140</v>
      </c>
      <c r="G186" s="28"/>
      <c r="H186" s="30" t="s">
        <v>2495</v>
      </c>
      <c r="I186" s="28" t="s">
        <v>2232</v>
      </c>
    </row>
    <row r="187" spans="1:9" ht="30" x14ac:dyDescent="0.25">
      <c r="A187" s="28" t="s">
        <v>477</v>
      </c>
      <c r="B187" s="28">
        <v>28.4</v>
      </c>
      <c r="C187" s="28">
        <v>2</v>
      </c>
      <c r="D187" s="9" t="s">
        <v>71</v>
      </c>
      <c r="E187" s="28" t="s">
        <v>139</v>
      </c>
      <c r="F187" s="30" t="s">
        <v>140</v>
      </c>
      <c r="G187" s="28"/>
      <c r="H187" s="28"/>
      <c r="I187" s="28" t="s">
        <v>2232</v>
      </c>
    </row>
    <row r="188" spans="1:9" ht="409.5" x14ac:dyDescent="0.25">
      <c r="A188" s="28" t="s">
        <v>478</v>
      </c>
      <c r="B188" s="28" t="s">
        <v>624</v>
      </c>
      <c r="C188" s="28">
        <v>3</v>
      </c>
      <c r="D188" s="28" t="s">
        <v>70</v>
      </c>
      <c r="E188" s="28" t="s">
        <v>131</v>
      </c>
      <c r="F188" s="30" t="s">
        <v>140</v>
      </c>
      <c r="G188" s="28"/>
      <c r="H188" s="30" t="s">
        <v>2496</v>
      </c>
      <c r="I188" s="28" t="s">
        <v>2232</v>
      </c>
    </row>
    <row r="189" spans="1:9" ht="409.5" x14ac:dyDescent="0.25">
      <c r="A189" s="28" t="s">
        <v>479</v>
      </c>
      <c r="B189" s="28" t="s">
        <v>625</v>
      </c>
      <c r="C189" s="28">
        <v>3</v>
      </c>
      <c r="D189" s="28" t="s">
        <v>65</v>
      </c>
      <c r="E189" s="28" t="s">
        <v>131</v>
      </c>
      <c r="F189" s="30" t="s">
        <v>140</v>
      </c>
      <c r="G189" s="28"/>
      <c r="H189" s="30" t="s">
        <v>2497</v>
      </c>
      <c r="I189" s="28" t="s">
        <v>2232</v>
      </c>
    </row>
    <row r="190" spans="1:9" ht="409.5" x14ac:dyDescent="0.25">
      <c r="A190" s="28" t="s">
        <v>480</v>
      </c>
      <c r="B190" s="28" t="s">
        <v>626</v>
      </c>
      <c r="C190" s="28">
        <v>3</v>
      </c>
      <c r="D190" s="28" t="s">
        <v>481</v>
      </c>
      <c r="E190" s="28" t="s">
        <v>131</v>
      </c>
      <c r="F190" s="30" t="s">
        <v>140</v>
      </c>
      <c r="G190" s="28"/>
      <c r="H190" s="30" t="s">
        <v>3814</v>
      </c>
      <c r="I190" s="28" t="s">
        <v>2232</v>
      </c>
    </row>
    <row r="191" spans="1:9" ht="30" x14ac:dyDescent="0.25">
      <c r="A191" s="28" t="s">
        <v>482</v>
      </c>
      <c r="B191" s="28">
        <v>29</v>
      </c>
      <c r="C191" s="28">
        <v>1</v>
      </c>
      <c r="D191" s="9" t="s">
        <v>483</v>
      </c>
      <c r="E191" s="28" t="s">
        <v>139</v>
      </c>
      <c r="F191" s="30" t="s">
        <v>140</v>
      </c>
      <c r="G191" s="28"/>
      <c r="H191" s="28"/>
      <c r="I191" s="28" t="s">
        <v>2232</v>
      </c>
    </row>
    <row r="192" spans="1:9" ht="360" x14ac:dyDescent="0.25">
      <c r="A192" s="28" t="s">
        <v>484</v>
      </c>
      <c r="B192" s="28" t="s">
        <v>627</v>
      </c>
      <c r="C192" s="28">
        <v>2</v>
      </c>
      <c r="D192" s="28" t="s">
        <v>485</v>
      </c>
      <c r="E192" s="28" t="s">
        <v>131</v>
      </c>
      <c r="F192" s="30" t="s">
        <v>140</v>
      </c>
      <c r="G192" s="28"/>
      <c r="H192" s="30" t="s">
        <v>2499</v>
      </c>
      <c r="I192" s="28" t="s">
        <v>2232</v>
      </c>
    </row>
    <row r="193" spans="1:9" ht="409.5" x14ac:dyDescent="0.25">
      <c r="A193" s="28" t="s">
        <v>486</v>
      </c>
      <c r="B193" s="28" t="s">
        <v>628</v>
      </c>
      <c r="C193" s="28">
        <v>2</v>
      </c>
      <c r="D193" s="28" t="s">
        <v>487</v>
      </c>
      <c r="E193" s="28" t="s">
        <v>131</v>
      </c>
      <c r="F193" s="30" t="s">
        <v>2507</v>
      </c>
      <c r="G193" s="28"/>
      <c r="H193" s="30" t="s">
        <v>2508</v>
      </c>
      <c r="I193" s="28" t="s">
        <v>2265</v>
      </c>
    </row>
    <row r="194" spans="1:9" ht="30" x14ac:dyDescent="0.25">
      <c r="A194" s="28" t="s">
        <v>488</v>
      </c>
      <c r="B194" s="28">
        <v>30</v>
      </c>
      <c r="C194" s="28">
        <v>1</v>
      </c>
      <c r="D194" s="9" t="s">
        <v>489</v>
      </c>
      <c r="E194" s="28" t="s">
        <v>139</v>
      </c>
      <c r="F194" s="30" t="s">
        <v>140</v>
      </c>
      <c r="G194" s="28"/>
      <c r="H194" s="28" t="s">
        <v>490</v>
      </c>
      <c r="I194" s="28" t="s">
        <v>2232</v>
      </c>
    </row>
    <row r="195" spans="1:9" ht="409.5" x14ac:dyDescent="0.25">
      <c r="A195" s="28" t="s">
        <v>491</v>
      </c>
      <c r="B195" s="28" t="s">
        <v>629</v>
      </c>
      <c r="C195" s="28">
        <v>2</v>
      </c>
      <c r="D195" s="28" t="s">
        <v>492</v>
      </c>
      <c r="E195" s="28" t="s">
        <v>131</v>
      </c>
      <c r="F195" s="30" t="s">
        <v>140</v>
      </c>
      <c r="G195" s="28"/>
      <c r="H195" s="30" t="s">
        <v>3815</v>
      </c>
      <c r="I195" s="28" t="s">
        <v>2232</v>
      </c>
    </row>
    <row r="196" spans="1:9" ht="409.5" x14ac:dyDescent="0.25">
      <c r="A196" s="28" t="s">
        <v>493</v>
      </c>
      <c r="B196" s="28" t="s">
        <v>630</v>
      </c>
      <c r="C196" s="28">
        <v>2</v>
      </c>
      <c r="D196" s="28" t="s">
        <v>494</v>
      </c>
      <c r="E196" s="28" t="s">
        <v>131</v>
      </c>
      <c r="F196" s="30" t="s">
        <v>140</v>
      </c>
      <c r="G196" s="28"/>
      <c r="H196" s="30" t="s">
        <v>2501</v>
      </c>
      <c r="I196" s="28" t="s">
        <v>2232</v>
      </c>
    </row>
    <row r="197" spans="1:9" ht="409.5" x14ac:dyDescent="0.25">
      <c r="A197" s="28" t="s">
        <v>495</v>
      </c>
      <c r="B197" s="28" t="s">
        <v>631</v>
      </c>
      <c r="C197" s="28">
        <v>2</v>
      </c>
      <c r="D197" s="28" t="s">
        <v>496</v>
      </c>
      <c r="E197" s="28" t="s">
        <v>131</v>
      </c>
      <c r="F197" s="30" t="s">
        <v>140</v>
      </c>
      <c r="G197" s="28"/>
      <c r="H197" s="30" t="s">
        <v>2502</v>
      </c>
      <c r="I197" s="28" t="s">
        <v>2232</v>
      </c>
    </row>
    <row r="198" spans="1:9" x14ac:dyDescent="0.25">
      <c r="A198" s="28" t="s">
        <v>497</v>
      </c>
      <c r="B198" s="28">
        <v>31</v>
      </c>
      <c r="C198" s="28">
        <v>1</v>
      </c>
      <c r="D198" s="9" t="s">
        <v>498</v>
      </c>
      <c r="E198" s="28" t="s">
        <v>139</v>
      </c>
      <c r="F198" s="28" t="s">
        <v>210</v>
      </c>
      <c r="G198" s="28"/>
      <c r="H198" s="28" t="s">
        <v>499</v>
      </c>
      <c r="I198" s="28" t="s">
        <v>2232</v>
      </c>
    </row>
    <row r="199" spans="1:9" ht="270" x14ac:dyDescent="0.25">
      <c r="A199" s="28" t="s">
        <v>500</v>
      </c>
      <c r="B199" s="28" t="s">
        <v>632</v>
      </c>
      <c r="C199" s="28">
        <v>2</v>
      </c>
      <c r="D199" s="28" t="s">
        <v>121</v>
      </c>
      <c r="E199" s="28" t="s">
        <v>131</v>
      </c>
      <c r="F199" s="28" t="s">
        <v>210</v>
      </c>
      <c r="G199" s="28"/>
      <c r="H199" s="30" t="s">
        <v>501</v>
      </c>
      <c r="I199" s="28" t="s">
        <v>2232</v>
      </c>
    </row>
    <row r="200" spans="1:9" x14ac:dyDescent="0.25">
      <c r="A200" s="28" t="s">
        <v>3816</v>
      </c>
      <c r="B200" s="28" t="s">
        <v>3817</v>
      </c>
      <c r="C200" s="28">
        <v>2</v>
      </c>
      <c r="D200" s="28" t="s">
        <v>3818</v>
      </c>
      <c r="E200" s="28" t="s">
        <v>131</v>
      </c>
      <c r="F200" s="28" t="s">
        <v>210</v>
      </c>
      <c r="G200" s="28"/>
      <c r="H200" s="28" t="s">
        <v>3819</v>
      </c>
      <c r="I200" s="28" t="s">
        <v>2232</v>
      </c>
    </row>
    <row r="201" spans="1:9" x14ac:dyDescent="0.25">
      <c r="A201" s="28" t="s">
        <v>3820</v>
      </c>
      <c r="B201" s="28" t="s">
        <v>3821</v>
      </c>
      <c r="C201" s="28">
        <v>2</v>
      </c>
      <c r="D201" s="28" t="s">
        <v>3822</v>
      </c>
      <c r="E201" s="28" t="s">
        <v>131</v>
      </c>
      <c r="F201" s="28" t="s">
        <v>210</v>
      </c>
      <c r="G201" s="28"/>
      <c r="H201" s="28" t="s">
        <v>3823</v>
      </c>
      <c r="I201" s="28" t="s">
        <v>2232</v>
      </c>
    </row>
    <row r="202" spans="1:9" ht="409.5" x14ac:dyDescent="0.25">
      <c r="A202" s="28" t="s">
        <v>3724</v>
      </c>
      <c r="B202" s="28" t="s">
        <v>3824</v>
      </c>
      <c r="C202" s="28">
        <v>2</v>
      </c>
      <c r="D202" s="28" t="s">
        <v>3825</v>
      </c>
      <c r="E202" s="28" t="s">
        <v>131</v>
      </c>
      <c r="F202" s="28" t="s">
        <v>3692</v>
      </c>
      <c r="G202" s="28"/>
      <c r="H202" s="30" t="s">
        <v>3826</v>
      </c>
      <c r="I202" s="28" t="s">
        <v>2473</v>
      </c>
    </row>
    <row r="203" spans="1:9" ht="409.5" x14ac:dyDescent="0.25">
      <c r="A203" s="28" t="s">
        <v>3742</v>
      </c>
      <c r="B203" s="28" t="s">
        <v>3827</v>
      </c>
      <c r="C203" s="28">
        <v>2</v>
      </c>
      <c r="D203" s="28" t="s">
        <v>3828</v>
      </c>
      <c r="E203" s="28" t="s">
        <v>131</v>
      </c>
      <c r="F203" s="28" t="s">
        <v>3692</v>
      </c>
      <c r="G203" s="28"/>
      <c r="H203" s="30" t="s">
        <v>3829</v>
      </c>
      <c r="I203" s="28" t="s">
        <v>2473</v>
      </c>
    </row>
    <row r="204" spans="1:9" ht="409.5" x14ac:dyDescent="0.25">
      <c r="A204" s="28" t="s">
        <v>3749</v>
      </c>
      <c r="B204" s="28" t="s">
        <v>3830</v>
      </c>
      <c r="C204" s="28">
        <v>2</v>
      </c>
      <c r="D204" s="28" t="s">
        <v>3831</v>
      </c>
      <c r="E204" s="28" t="s">
        <v>131</v>
      </c>
      <c r="F204" s="28" t="s">
        <v>3692</v>
      </c>
      <c r="G204" s="28"/>
      <c r="H204" s="30" t="s">
        <v>3832</v>
      </c>
      <c r="I204" s="28" t="s">
        <v>2473</v>
      </c>
    </row>
    <row r="205" spans="1:9" ht="225" x14ac:dyDescent="0.25">
      <c r="A205" s="28" t="s">
        <v>3759</v>
      </c>
      <c r="B205" s="28" t="s">
        <v>3833</v>
      </c>
      <c r="C205" s="28">
        <v>2</v>
      </c>
      <c r="D205" s="28" t="s">
        <v>3834</v>
      </c>
      <c r="E205" s="28" t="s">
        <v>131</v>
      </c>
      <c r="F205" s="28" t="s">
        <v>3692</v>
      </c>
      <c r="G205" s="28"/>
      <c r="H205" s="30" t="s">
        <v>3835</v>
      </c>
      <c r="I205" s="28" t="s">
        <v>2473</v>
      </c>
    </row>
    <row r="206" spans="1:9" x14ac:dyDescent="0.25">
      <c r="A206" s="28" t="s">
        <v>3769</v>
      </c>
      <c r="B206" s="28" t="s">
        <v>3836</v>
      </c>
      <c r="C206" s="28">
        <v>2</v>
      </c>
      <c r="D206" s="28" t="s">
        <v>3837</v>
      </c>
      <c r="E206" s="28" t="s">
        <v>131</v>
      </c>
      <c r="F206" s="28" t="s">
        <v>3692</v>
      </c>
      <c r="G206" s="28"/>
      <c r="H206" s="28" t="s">
        <v>3838</v>
      </c>
      <c r="I206" s="28" t="s">
        <v>2473</v>
      </c>
    </row>
    <row r="207" spans="1:9" x14ac:dyDescent="0.25">
      <c r="A207" s="28" t="s">
        <v>3773</v>
      </c>
      <c r="B207" s="28" t="s">
        <v>3839</v>
      </c>
      <c r="C207" s="28">
        <v>2</v>
      </c>
      <c r="D207" s="28" t="s">
        <v>3840</v>
      </c>
      <c r="E207" s="28" t="s">
        <v>131</v>
      </c>
      <c r="F207" s="28" t="s">
        <v>3692</v>
      </c>
      <c r="G207" s="28"/>
      <c r="H207" s="28" t="s">
        <v>3841</v>
      </c>
      <c r="I207" s="28" t="s">
        <v>2473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J207"/>
  <sheetViews>
    <sheetView zoomScale="85" zoomScaleNormal="85" workbookViewId="0">
      <pane ySplit="1" topLeftCell="A201" activePane="bottomLeft" state="frozen"/>
      <selection activeCell="A6" sqref="A6"/>
      <selection pane="bottomLeft" activeCell="A46" sqref="A46:J207"/>
    </sheetView>
  </sheetViews>
  <sheetFormatPr defaultColWidth="8.85546875" defaultRowHeight="15" x14ac:dyDescent="0.25"/>
  <cols>
    <col min="1" max="1" width="17.7109375" style="10" customWidth="1"/>
    <col min="2" max="3" width="8.85546875" style="7" hidden="1" customWidth="1"/>
    <col min="4" max="4" width="75.28515625" style="7" customWidth="1"/>
    <col min="5" max="5" width="21.42578125" style="7" customWidth="1"/>
    <col min="6" max="6" width="6.28515625" style="7" customWidth="1"/>
    <col min="7" max="8" width="10.28515625" style="19" customWidth="1"/>
    <col min="9" max="9" width="12.140625" style="7" customWidth="1"/>
    <col min="10" max="10" width="74.140625" style="6" customWidth="1"/>
    <col min="11" max="16384" width="8.85546875" style="6"/>
  </cols>
  <sheetData>
    <row r="1" spans="1:10" s="17" customFormat="1" x14ac:dyDescent="0.25">
      <c r="A1" s="15" t="s">
        <v>502</v>
      </c>
      <c r="B1" s="15" t="s">
        <v>635</v>
      </c>
      <c r="C1" s="15" t="e">
        <f>SetIndent(D1,(FR!C1-1)*2)</f>
        <v>#VALUE!</v>
      </c>
      <c r="D1" s="16" t="s">
        <v>634</v>
      </c>
      <c r="E1" s="15" t="s">
        <v>3434</v>
      </c>
      <c r="F1" s="15" t="str">
        <f>FR!E1</f>
        <v>Type</v>
      </c>
      <c r="G1" s="15" t="s">
        <v>633</v>
      </c>
      <c r="H1" s="15" t="s">
        <v>2231</v>
      </c>
      <c r="I1" s="15" t="s">
        <v>122</v>
      </c>
      <c r="J1" s="17" t="s">
        <v>2228</v>
      </c>
    </row>
    <row r="2" spans="1:10" x14ac:dyDescent="0.25">
      <c r="A2" s="10" t="str">
        <f>FR!A2</f>
        <v>FR-DSRSW-1282</v>
      </c>
      <c r="B2" s="7" t="b">
        <f>ISERROR(FIND("-",FR!B2))</f>
        <v>1</v>
      </c>
      <c r="C2" s="7">
        <f>SetIndent(D2,(FR!C2-1)*2)</f>
        <v>0</v>
      </c>
      <c r="D2" s="11" t="str">
        <f>IF(ISERROR(FIND("-",FR!B2)),FR!B2&amp;" "&amp;FR!D2,FR!D2)</f>
        <v xml:space="preserve">1 Acronyms </v>
      </c>
      <c r="E2" s="7" t="str">
        <f>IF(H2="Modified",VLOOKUP(A2,'Prev PMR'!A$2:D$190,4),"")</f>
        <v/>
      </c>
      <c r="F2" s="7" t="str">
        <f>FR!E2</f>
        <v>Com</v>
      </c>
      <c r="G2" s="37" t="str">
        <f>IF(ISERROR(FIND("Adara 1.0",FR!F2)),
        IF(ISERROR(FIND("Adara 1.1",FR!F2)),
                IF(ISERROR(FIND("Deneb",FR!F2)),"errorRob","Deneb"),
         "Adara 1.1"),
  "Adara 1.0")</f>
        <v>Adara 1.0</v>
      </c>
      <c r="H2" s="19" t="str">
        <f>FR!I2</f>
        <v>Approved</v>
      </c>
      <c r="I2" s="7" t="str">
        <f>IF(ISBLANK(FR!G2),"",FR!G2)</f>
        <v/>
      </c>
      <c r="J2" s="6" t="str">
        <f>IF(ISBLANK(FR!H2),"",FR!H2)</f>
        <v/>
      </c>
    </row>
    <row r="3" spans="1:10" x14ac:dyDescent="0.25">
      <c r="A3" s="10" t="str">
        <f>FR!A3</f>
        <v>FR-DSRSW-1283</v>
      </c>
      <c r="B3" s="7" t="b">
        <f>ISERROR(FIND("-",FR!B3))</f>
        <v>1</v>
      </c>
      <c r="C3" s="7">
        <f>SetIndent(D3,(FR!C3-1)*2)</f>
        <v>2</v>
      </c>
      <c r="D3" s="34" t="str">
        <f>IF(ISERROR(FIND("-",FR!B3)),FR!B3&amp;" "&amp;FR!D3,FR!D3)</f>
        <v xml:space="preserve">1.1 General </v>
      </c>
      <c r="E3" s="7" t="str">
        <f>IF(H3="Modified",VLOOKUP(A3,'Prev PMR'!A$2:D$190,4),"")</f>
        <v/>
      </c>
      <c r="F3" s="7" t="str">
        <f>FR!E3</f>
        <v>Com</v>
      </c>
      <c r="G3" s="37" t="str">
        <f>IF(ISERROR(FIND("Adara 1.0",FR!F3)),
        IF(ISERROR(FIND("Adara 1.1",FR!F3)),
                IF(ISERROR(FIND("Deneb",FR!F3)),"errorRob","Deneb"),
         "Adara 1.1"),
  "Adara 1.0")</f>
        <v>Adara 1.0</v>
      </c>
      <c r="H3" s="19" t="str">
        <f>FR!I3</f>
        <v>Approved</v>
      </c>
      <c r="I3" s="7" t="str">
        <f>IF(ISBLANK(FR!G3),"",FR!G3)</f>
        <v/>
      </c>
      <c r="J3" s="6" t="str">
        <f>IF(ISBLANK(FR!H3),"",FR!H3)</f>
        <v/>
      </c>
    </row>
    <row r="4" spans="1:10" x14ac:dyDescent="0.25">
      <c r="A4" s="10" t="str">
        <f>FR!A4</f>
        <v>FR-DSRSW-1284</v>
      </c>
      <c r="B4" s="7" t="b">
        <f>ISERROR(FIND("-",FR!B4))</f>
        <v>0</v>
      </c>
      <c r="C4" s="7">
        <f>SetIndent(D4,(FR!C4-1)*2)</f>
        <v>4</v>
      </c>
      <c r="D4" s="35" t="str">
        <f>IF(ISERROR(FIND("-",FR!B4)),FR!B4&amp;" "&amp;FR!D4,FR!D4)</f>
        <v>CSS: (context: Satellite Signal Reception) Channel Stacking Switch</v>
      </c>
      <c r="E4" s="7" t="str">
        <f>IF(H4="Modified",VLOOKUP(A4,'Prev PMR'!A$2:D$190,4),"")</f>
        <v/>
      </c>
      <c r="F4" s="7" t="str">
        <f>FR!E4</f>
        <v>Com</v>
      </c>
      <c r="G4" s="37" t="str">
        <f>IF(ISERROR(FIND("Adara 1.0",FR!F4)),
        IF(ISERROR(FIND("Adara 1.1",FR!F4)),
                IF(ISERROR(FIND("Deneb",FR!F4)),"errorRob","Deneb"),
         "Adara 1.1"),
  "Adara 1.0")</f>
        <v>Adara 1.0</v>
      </c>
      <c r="H4" s="19" t="str">
        <f>FR!I4</f>
        <v>Approved</v>
      </c>
      <c r="I4" s="7" t="str">
        <f>IF(ISBLANK(FR!G4),"",FR!G4)</f>
        <v/>
      </c>
      <c r="J4" s="6" t="str">
        <f>IF(ISBLANK(FR!H4),"",FR!H4)</f>
        <v/>
      </c>
    </row>
    <row r="5" spans="1:10" x14ac:dyDescent="0.25">
      <c r="A5" s="10" t="str">
        <f>FR!A5</f>
        <v>FR-DSRSW-1285</v>
      </c>
      <c r="B5" s="7" t="b">
        <f>ISERROR(FIND("-",FR!B5))</f>
        <v>0</v>
      </c>
      <c r="C5" s="7">
        <f>SetIndent(D5,(FR!C5-1)*2)</f>
        <v>4</v>
      </c>
      <c r="D5" s="35" t="str">
        <f>IF(ISERROR(FIND("-",FR!B5)),FR!B5&amp;" "&amp;FR!D5,FR!D5)</f>
        <v>DRAM:  Dynamic Random Access Memory</v>
      </c>
      <c r="E5" s="7" t="str">
        <f>IF(H5="Modified",VLOOKUP(A5,'Prev PMR'!A$2:D$190,4),"")</f>
        <v/>
      </c>
      <c r="F5" s="7" t="str">
        <f>FR!E5</f>
        <v>Com</v>
      </c>
      <c r="G5" s="37" t="str">
        <f>IF(ISERROR(FIND("Adara 1.0",FR!F5)),
        IF(ISERROR(FIND("Adara 1.1",FR!F5)),
                IF(ISERROR(FIND("Deneb",FR!F5)),"errorRob","Deneb"),
         "Adara 1.1"),
  "Adara 1.0")</f>
        <v>Adara 1.0</v>
      </c>
      <c r="H5" s="19" t="str">
        <f>FR!I5</f>
        <v>Approved</v>
      </c>
      <c r="I5" s="7" t="str">
        <f>IF(ISBLANK(FR!G5),"",FR!G5)</f>
        <v/>
      </c>
      <c r="J5" s="6" t="str">
        <f>IF(ISBLANK(FR!H5),"",FR!H5)</f>
        <v/>
      </c>
    </row>
    <row r="6" spans="1:10" x14ac:dyDescent="0.25">
      <c r="A6" s="10" t="str">
        <f>FR!A6</f>
        <v>FR-DSRSW-1286</v>
      </c>
      <c r="B6" s="7" t="b">
        <f>ISERROR(FIND("-",FR!B6))</f>
        <v>0</v>
      </c>
      <c r="C6" s="7">
        <f>SetIndent(D6,(FR!C6-1)*2)</f>
        <v>4</v>
      </c>
      <c r="D6" s="35" t="str">
        <f>IF(ISERROR(FIND("-",FR!B6)),FR!B6&amp;" "&amp;FR!D6,FR!D6)</f>
        <v>DVI: Digital Visual Interface</v>
      </c>
      <c r="E6" s="7" t="str">
        <f>IF(H6="Modified",VLOOKUP(A6,'Prev PMR'!A$2:D$190,4),"")</f>
        <v/>
      </c>
      <c r="F6" s="7" t="str">
        <f>FR!E6</f>
        <v>Com</v>
      </c>
      <c r="G6" s="37" t="str">
        <f>IF(ISERROR(FIND("Adara 1.0",FR!F6)),
        IF(ISERROR(FIND("Adara 1.1",FR!F6)),
                IF(ISERROR(FIND("Deneb",FR!F6)),"errorRob","Deneb"),
         "Adara 1.1"),
  "Adara 1.0")</f>
        <v>Adara 1.0</v>
      </c>
      <c r="H6" s="19" t="str">
        <f>FR!I6</f>
        <v>Approved</v>
      </c>
      <c r="I6" s="7" t="str">
        <f>IF(ISBLANK(FR!G6),"",FR!G6)</f>
        <v/>
      </c>
      <c r="J6" s="6" t="str">
        <f>IF(ISBLANK(FR!H6),"",FR!H6)</f>
        <v/>
      </c>
    </row>
    <row r="7" spans="1:10" x14ac:dyDescent="0.25">
      <c r="A7" s="10" t="str">
        <f>FR!A7</f>
        <v>FR-DSRSW-1287</v>
      </c>
      <c r="B7" s="7" t="b">
        <f>ISERROR(FIND("-",FR!B7))</f>
        <v>0</v>
      </c>
      <c r="C7" s="7">
        <f>SetIndent(D7,(FR!C7-1)*2)</f>
        <v>4</v>
      </c>
      <c r="D7" s="35" t="str">
        <f>IF(ISERROR(FIND("-",FR!B7)),FR!B7&amp;" "&amp;FR!D7,FR!D7)</f>
        <v>DVR: Digital Video Recorder</v>
      </c>
      <c r="E7" s="7" t="str">
        <f>IF(H7="Modified",VLOOKUP(A7,'Prev PMR'!A$2:D$190,4),"")</f>
        <v/>
      </c>
      <c r="F7" s="7" t="str">
        <f>FR!E7</f>
        <v>Com</v>
      </c>
      <c r="G7" s="37" t="str">
        <f>IF(ISERROR(FIND("Adara 1.0",FR!F7)),
        IF(ISERROR(FIND("Adara 1.1",FR!F7)),
                IF(ISERROR(FIND("Deneb",FR!F7)),"errorRob","Deneb"),
         "Adara 1.1"),
  "Adara 1.0")</f>
        <v>Adara 1.0</v>
      </c>
      <c r="H7" s="19" t="str">
        <f>FR!I7</f>
        <v>Approved</v>
      </c>
      <c r="I7" s="7" t="str">
        <f>IF(ISBLANK(FR!G7),"",FR!G7)</f>
        <v/>
      </c>
      <c r="J7" s="6" t="str">
        <f>IF(ISBLANK(FR!H7),"",FR!H7)</f>
        <v/>
      </c>
    </row>
    <row r="8" spans="1:10" x14ac:dyDescent="0.25">
      <c r="A8" s="10" t="str">
        <f>FR!A8</f>
        <v>FR-DSRSW-1288</v>
      </c>
      <c r="B8" s="7" t="b">
        <f>ISERROR(FIND("-",FR!B8))</f>
        <v>0</v>
      </c>
      <c r="C8" s="7">
        <f>SetIndent(D8,(FR!C8-1)*2)</f>
        <v>4</v>
      </c>
      <c r="D8" s="35" t="str">
        <f>IF(ISERROR(FIND("-",FR!B8)),FR!B8&amp;" "&amp;FR!D8,FR!D8)</f>
        <v>EPG:  Electronic Program Guide</v>
      </c>
      <c r="E8" s="7" t="str">
        <f>IF(H8="Modified",VLOOKUP(A8,'Prev PMR'!A$2:D$190,4),"")</f>
        <v/>
      </c>
      <c r="F8" s="7" t="str">
        <f>FR!E8</f>
        <v>Com</v>
      </c>
      <c r="G8" s="37" t="str">
        <f>IF(ISERROR(FIND("Adara 1.0",FR!F8)),
        IF(ISERROR(FIND("Adara 1.1",FR!F8)),
                IF(ISERROR(FIND("Deneb",FR!F8)),"errorRob","Deneb"),
         "Adara 1.1"),
  "Adara 1.0")</f>
        <v>Adara 1.0</v>
      </c>
      <c r="H8" s="19" t="str">
        <f>FR!I8</f>
        <v>Approved</v>
      </c>
      <c r="I8" s="7" t="str">
        <f>IF(ISBLANK(FR!G8),"",FR!G8)</f>
        <v/>
      </c>
      <c r="J8" s="6" t="str">
        <f>IF(ISBLANK(FR!H8),"",FR!H8)</f>
        <v/>
      </c>
    </row>
    <row r="9" spans="1:10" x14ac:dyDescent="0.25">
      <c r="A9" s="10" t="str">
        <f>FR!A9</f>
        <v>FR-DSRSW-1289</v>
      </c>
      <c r="B9" s="7" t="b">
        <f>ISERROR(FIND("-",FR!B9))</f>
        <v>0</v>
      </c>
      <c r="C9" s="7">
        <f>SetIndent(D9,(FR!C9-1)*2)</f>
        <v>4</v>
      </c>
      <c r="D9" s="35" t="str">
        <f>IF(ISERROR(FIND("-",FR!B9)),FR!B9&amp;" "&amp;FR!D9,FR!D9)</f>
        <v>HDCP: High-Bandwidth Digital Content Protection</v>
      </c>
      <c r="E9" s="7" t="str">
        <f>IF(H9="Modified",VLOOKUP(A9,'Prev PMR'!A$2:D$190,4),"")</f>
        <v/>
      </c>
      <c r="F9" s="7" t="str">
        <f>FR!E9</f>
        <v>Com</v>
      </c>
      <c r="G9" s="37" t="str">
        <f>IF(ISERROR(FIND("Adara 1.0",FR!F9)),
        IF(ISERROR(FIND("Adara 1.1",FR!F9)),
                IF(ISERROR(FIND("Deneb",FR!F9)),"errorRob","Deneb"),
         "Adara 1.1"),
  "Adara 1.0")</f>
        <v>Adara 1.0</v>
      </c>
      <c r="H9" s="19" t="str">
        <f>FR!I9</f>
        <v>Approved</v>
      </c>
      <c r="I9" s="7" t="str">
        <f>IF(ISBLANK(FR!G9),"",FR!G9)</f>
        <v/>
      </c>
      <c r="J9" s="6" t="str">
        <f>IF(ISBLANK(FR!H9),"",FR!H9)</f>
        <v/>
      </c>
    </row>
    <row r="10" spans="1:10" x14ac:dyDescent="0.25">
      <c r="A10" s="10" t="str">
        <f>FR!A10</f>
        <v>FR-DSRSW-1290</v>
      </c>
      <c r="B10" s="7" t="b">
        <f>ISERROR(FIND("-",FR!B10))</f>
        <v>0</v>
      </c>
      <c r="C10" s="7">
        <f>SetIndent(D10,(FR!C10-1)*2)</f>
        <v>4</v>
      </c>
      <c r="D10" s="35" t="str">
        <f>IF(ISERROR(FIND("-",FR!B10)),FR!B10&amp;" "&amp;FR!D10,FR!D10)</f>
        <v>HDD: Hard Disk Drive</v>
      </c>
      <c r="E10" s="7" t="str">
        <f>IF(H10="Modified",VLOOKUP(A10,'Prev PMR'!A$2:D$190,4),"")</f>
        <v/>
      </c>
      <c r="F10" s="7" t="str">
        <f>FR!E10</f>
        <v>Com</v>
      </c>
      <c r="G10" s="37" t="str">
        <f>IF(ISERROR(FIND("Adara 1.0",FR!F10)),
        IF(ISERROR(FIND("Adara 1.1",FR!F10)),
                IF(ISERROR(FIND("Deneb",FR!F10)),"errorRob","Deneb"),
         "Adara 1.1"),
  "Adara 1.0")</f>
        <v>Adara 1.0</v>
      </c>
      <c r="H10" s="19" t="str">
        <f>FR!I10</f>
        <v>Approved</v>
      </c>
      <c r="I10" s="7" t="str">
        <f>IF(ISBLANK(FR!G10),"",FR!G10)</f>
        <v/>
      </c>
      <c r="J10" s="6" t="str">
        <f>IF(ISBLANK(FR!H10),"",FR!H10)</f>
        <v/>
      </c>
    </row>
    <row r="11" spans="1:10" x14ac:dyDescent="0.25">
      <c r="A11" s="10" t="str">
        <f>FR!A11</f>
        <v>FR-DSRSW-1291</v>
      </c>
      <c r="B11" s="7" t="b">
        <f>ISERROR(FIND("-",FR!B11))</f>
        <v>0</v>
      </c>
      <c r="C11" s="7">
        <f>SetIndent(D11,(FR!C11-1)*2)</f>
        <v>4</v>
      </c>
      <c r="D11" s="35" t="str">
        <f>IF(ISERROR(FIND("-",FR!B11)),FR!B11&amp;" "&amp;FR!D11,FR!D11)</f>
        <v>HDTV: High Definition Television</v>
      </c>
      <c r="E11" s="7" t="str">
        <f>IF(H11="Modified",VLOOKUP(A11,'Prev PMR'!A$2:D$190,4),"")</f>
        <v/>
      </c>
      <c r="F11" s="7" t="str">
        <f>FR!E11</f>
        <v>Com</v>
      </c>
      <c r="G11" s="37" t="str">
        <f>IF(ISERROR(FIND("Adara 1.0",FR!F11)),
        IF(ISERROR(FIND("Adara 1.1",FR!F11)),
                IF(ISERROR(FIND("Deneb",FR!F11)),"errorRob","Deneb"),
         "Adara 1.1"),
  "Adara 1.0")</f>
        <v>Adara 1.0</v>
      </c>
      <c r="H11" s="19" t="str">
        <f>FR!I11</f>
        <v>Approved</v>
      </c>
      <c r="I11" s="7" t="str">
        <f>IF(ISBLANK(FR!G11),"",FR!G11)</f>
        <v/>
      </c>
      <c r="J11" s="6" t="str">
        <f>IF(ISBLANK(FR!H11),"",FR!H11)</f>
        <v/>
      </c>
    </row>
    <row r="12" spans="1:10" x14ac:dyDescent="0.25">
      <c r="A12" s="10" t="str">
        <f>FR!A12</f>
        <v>FR-DSRSW-1292</v>
      </c>
      <c r="B12" s="7" t="b">
        <f>ISERROR(FIND("-",FR!B12))</f>
        <v>0</v>
      </c>
      <c r="C12" s="7">
        <f>SetIndent(D12,(FR!C12-1)*2)</f>
        <v>4</v>
      </c>
      <c r="D12" s="35" t="str">
        <f>IF(ISERROR(FIND("-",FR!B12)),FR!B12&amp;" "&amp;FR!D12,FR!D12)</f>
        <v>kbps: Kilobits Per Second</v>
      </c>
      <c r="E12" s="7" t="str">
        <f>IF(H12="Modified",VLOOKUP(A12,'Prev PMR'!A$2:D$190,4),"")</f>
        <v/>
      </c>
      <c r="F12" s="7" t="str">
        <f>FR!E12</f>
        <v>Com</v>
      </c>
      <c r="G12" s="37" t="str">
        <f>IF(ISERROR(FIND("Adara 1.0",FR!F12)),
        IF(ISERROR(FIND("Adara 1.1",FR!F12)),
                IF(ISERROR(FIND("Deneb",FR!F12)),"errorRob","Deneb"),
         "Adara 1.1"),
  "Adara 1.0")</f>
        <v>Adara 1.0</v>
      </c>
      <c r="H12" s="19" t="str">
        <f>FR!I12</f>
        <v>Approved</v>
      </c>
      <c r="I12" s="7" t="str">
        <f>IF(ISBLANK(FR!G12),"",FR!G12)</f>
        <v/>
      </c>
      <c r="J12" s="6" t="str">
        <f>IF(ISBLANK(FR!H12),"",FR!H12)</f>
        <v/>
      </c>
    </row>
    <row r="13" spans="1:10" x14ac:dyDescent="0.25">
      <c r="A13" s="10" t="str">
        <f>FR!A13</f>
        <v>FR-DSRSW-1293</v>
      </c>
      <c r="B13" s="7" t="b">
        <f>ISERROR(FIND("-",FR!B13))</f>
        <v>0</v>
      </c>
      <c r="C13" s="7">
        <f>SetIndent(D13,(FR!C13-1)*2)</f>
        <v>4</v>
      </c>
      <c r="D13" s="35" t="str">
        <f>IF(ISERROR(FIND("-",FR!B13)),FR!B13&amp;" "&amp;FR!D13,FR!D13)</f>
        <v>MPEG: Moving Picture Experts Group</v>
      </c>
      <c r="E13" s="7" t="str">
        <f>IF(H13="Modified",VLOOKUP(A13,'Prev PMR'!A$2:D$190,4),"")</f>
        <v/>
      </c>
      <c r="F13" s="7" t="str">
        <f>FR!E13</f>
        <v>Com</v>
      </c>
      <c r="G13" s="37" t="str">
        <f>IF(ISERROR(FIND("Adara 1.0",FR!F13)),
        IF(ISERROR(FIND("Adara 1.1",FR!F13)),
                IF(ISERROR(FIND("Deneb",FR!F13)),"errorRob","Deneb"),
         "Adara 1.1"),
  "Adara 1.0")</f>
        <v>Adara 1.0</v>
      </c>
      <c r="H13" s="19" t="str">
        <f>FR!I13</f>
        <v>Approved</v>
      </c>
      <c r="I13" s="7" t="str">
        <f>IF(ISBLANK(FR!G13),"",FR!G13)</f>
        <v/>
      </c>
      <c r="J13" s="6" t="str">
        <f>IF(ISBLANK(FR!H13),"",FR!H13)</f>
        <v/>
      </c>
    </row>
    <row r="14" spans="1:10" x14ac:dyDescent="0.25">
      <c r="A14" s="10" t="str">
        <f>FR!A14</f>
        <v>FR-DSRSW-1294</v>
      </c>
      <c r="B14" s="7" t="b">
        <f>ISERROR(FIND("-",FR!B14))</f>
        <v>0</v>
      </c>
      <c r="C14" s="7">
        <f>SetIndent(D14,(FR!C14-1)*2)</f>
        <v>4</v>
      </c>
      <c r="D14" s="35" t="str">
        <f>IF(ISERROR(FIND("-",FR!B14)),FR!B14&amp;" "&amp;FR!D14,FR!D14)</f>
        <v>MSP: Message Stream Protocol</v>
      </c>
      <c r="E14" s="7" t="str">
        <f>IF(H14="Modified",VLOOKUP(A14,'Prev PMR'!A$2:D$190,4),"")</f>
        <v/>
      </c>
      <c r="F14" s="7" t="str">
        <f>FR!E14</f>
        <v>Com</v>
      </c>
      <c r="G14" s="37" t="str">
        <f>IF(ISERROR(FIND("Adara 1.0",FR!F14)),
        IF(ISERROR(FIND("Adara 1.1",FR!F14)),
                IF(ISERROR(FIND("Deneb",FR!F14)),"errorRob","Deneb"),
         "Adara 1.1"),
  "Adara 1.0")</f>
        <v>Adara 1.0</v>
      </c>
      <c r="H14" s="19" t="str">
        <f>FR!I14</f>
        <v>Approved</v>
      </c>
      <c r="I14" s="7" t="str">
        <f>IF(ISBLANK(FR!G14),"",FR!G14)</f>
        <v/>
      </c>
      <c r="J14" s="6" t="str">
        <f>IF(ISBLANK(FR!H14),"",FR!H14)</f>
        <v/>
      </c>
    </row>
    <row r="15" spans="1:10" x14ac:dyDescent="0.25">
      <c r="A15" s="10" t="str">
        <f>FR!A15</f>
        <v>FR-DSRSW-1295</v>
      </c>
      <c r="B15" s="7" t="b">
        <f>ISERROR(FIND("-",FR!B15))</f>
        <v>0</v>
      </c>
      <c r="C15" s="7">
        <f>SetIndent(D15,(FR!C15-1)*2)</f>
        <v>4</v>
      </c>
      <c r="D15" s="35" t="str">
        <f>IF(ISERROR(FIND("-",FR!B15)),FR!B15&amp;" "&amp;FR!D15,FR!D15)</f>
        <v>ODU: (context: Satellite Signal Reception) Out-door Unit</v>
      </c>
      <c r="E15" s="7" t="str">
        <f>IF(H15="Modified",VLOOKUP(A15,'Prev PMR'!A$2:D$190,4),"")</f>
        <v/>
      </c>
      <c r="F15" s="7" t="str">
        <f>FR!E15</f>
        <v>Com</v>
      </c>
      <c r="G15" s="37" t="str">
        <f>IF(ISERROR(FIND("Adara 1.0",FR!F15)),
        IF(ISERROR(FIND("Adara 1.1",FR!F15)),
                IF(ISERROR(FIND("Deneb",FR!F15)),"errorRob","Deneb"),
         "Adara 1.1"),
  "Adara 1.0")</f>
        <v>Adara 1.0</v>
      </c>
      <c r="H15" s="19" t="str">
        <f>FR!I15</f>
        <v>Approved</v>
      </c>
      <c r="I15" s="7" t="str">
        <f>IF(ISBLANK(FR!G15),"",FR!G15)</f>
        <v/>
      </c>
      <c r="J15" s="6" t="str">
        <f>IF(ISBLANK(FR!H15),"",FR!H15)</f>
        <v/>
      </c>
    </row>
    <row r="16" spans="1:10" x14ac:dyDescent="0.25">
      <c r="A16" s="10" t="str">
        <f>FR!A16</f>
        <v>FR-DSRSW-1296</v>
      </c>
      <c r="B16" s="7" t="b">
        <f>ISERROR(FIND("-",FR!B16))</f>
        <v>0</v>
      </c>
      <c r="C16" s="7">
        <f>SetIndent(D16,(FR!C16-1)*2)</f>
        <v>4</v>
      </c>
      <c r="D16" s="35" t="str">
        <f>IF(ISERROR(FIND("-",FR!B16)),FR!B16&amp;" "&amp;FR!D16,FR!D16)</f>
        <v>PID: Packet Identifier</v>
      </c>
      <c r="E16" s="7" t="str">
        <f>IF(H16="Modified",VLOOKUP(A16,'Prev PMR'!A$2:D$190,4),"")</f>
        <v/>
      </c>
      <c r="F16" s="7" t="str">
        <f>FR!E16</f>
        <v>Com</v>
      </c>
      <c r="G16" s="37" t="str">
        <f>IF(ISERROR(FIND("Adara 1.0",FR!F16)),
        IF(ISERROR(FIND("Adara 1.1",FR!F16)),
                IF(ISERROR(FIND("Deneb",FR!F16)),"errorRob","Deneb"),
         "Adara 1.1"),
  "Adara 1.0")</f>
        <v>Adara 1.0</v>
      </c>
      <c r="H16" s="19" t="str">
        <f>FR!I16</f>
        <v>Approved</v>
      </c>
      <c r="I16" s="7" t="str">
        <f>IF(ISBLANK(FR!G16),"",FR!G16)</f>
        <v/>
      </c>
      <c r="J16" s="6" t="str">
        <f>IF(ISBLANK(FR!H16),"",FR!H16)</f>
        <v/>
      </c>
    </row>
    <row r="17" spans="1:10" x14ac:dyDescent="0.25">
      <c r="A17" s="10" t="str">
        <f>FR!A17</f>
        <v>FR-DSRSW-1297</v>
      </c>
      <c r="B17" s="7" t="b">
        <f>ISERROR(FIND("-",FR!B17))</f>
        <v>0</v>
      </c>
      <c r="C17" s="7">
        <f>SetIndent(D17,(FR!C17-1)*2)</f>
        <v>4</v>
      </c>
      <c r="D17" s="35" t="str">
        <f>IF(ISERROR(FIND("-",FR!B17)),FR!B17&amp;" "&amp;FR!D17,FR!D17)</f>
        <v>RAM:  Random Access Memory</v>
      </c>
      <c r="E17" s="7" t="str">
        <f>IF(H17="Modified",VLOOKUP(A17,'Prev PMR'!A$2:D$190,4),"")</f>
        <v/>
      </c>
      <c r="F17" s="7" t="str">
        <f>FR!E17</f>
        <v>Com</v>
      </c>
      <c r="G17" s="37" t="str">
        <f>IF(ISERROR(FIND("Adara 1.0",FR!F17)),
        IF(ISERROR(FIND("Adara 1.1",FR!F17)),
                IF(ISERROR(FIND("Deneb",FR!F17)),"errorRob","Deneb"),
         "Adara 1.1"),
  "Adara 1.0")</f>
        <v>Adara 1.0</v>
      </c>
      <c r="H17" s="19" t="str">
        <f>FR!I17</f>
        <v>Approved</v>
      </c>
      <c r="I17" s="7" t="str">
        <f>IF(ISBLANK(FR!G17),"",FR!G17)</f>
        <v/>
      </c>
      <c r="J17" s="6" t="str">
        <f>IF(ISBLANK(FR!H17),"",FR!H17)</f>
        <v/>
      </c>
    </row>
    <row r="18" spans="1:10" x14ac:dyDescent="0.25">
      <c r="A18" s="10" t="str">
        <f>FR!A18</f>
        <v>FR-DSRSW-1298</v>
      </c>
      <c r="B18" s="7" t="b">
        <f>ISERROR(FIND("-",FR!B18))</f>
        <v>0</v>
      </c>
      <c r="C18" s="7">
        <f>SetIndent(D18,(FR!C18-1)*2)</f>
        <v>4</v>
      </c>
      <c r="D18" s="35" t="str">
        <f>IF(ISERROR(FIND("-",FR!B18)),FR!B18&amp;" "&amp;FR!D18,FR!D18)</f>
        <v>SCIF: Single Cable Interface</v>
      </c>
      <c r="E18" s="7" t="str">
        <f>IF(H18="Modified",VLOOKUP(A18,'Prev PMR'!A$2:D$190,4),"")</f>
        <v/>
      </c>
      <c r="F18" s="7" t="str">
        <f>FR!E18</f>
        <v>Com</v>
      </c>
      <c r="G18" s="37" t="str">
        <f>IF(ISERROR(FIND("Adara 1.0",FR!F18)),
        IF(ISERROR(FIND("Adara 1.1",FR!F18)),
                IF(ISERROR(FIND("Deneb",FR!F18)),"errorRob","Deneb"),
         "Adara 1.1"),
  "Adara 1.0")</f>
        <v>Adara 1.0</v>
      </c>
      <c r="H18" s="19" t="str">
        <f>FR!I18</f>
        <v>Approved</v>
      </c>
      <c r="I18" s="7" t="str">
        <f>IF(ISBLANK(FR!G18),"",FR!G18)</f>
        <v/>
      </c>
      <c r="J18" s="6" t="str">
        <f>IF(ISBLANK(FR!H18),"",FR!H18)</f>
        <v/>
      </c>
    </row>
    <row r="19" spans="1:10" x14ac:dyDescent="0.25">
      <c r="A19" s="10" t="str">
        <f>FR!A19</f>
        <v>FR-DSRSW-1299</v>
      </c>
      <c r="B19" s="7" t="b">
        <f>ISERROR(FIND("-",FR!B19))</f>
        <v>0</v>
      </c>
      <c r="C19" s="7">
        <f>SetIndent(D19,(FR!C19-1)*2)</f>
        <v>4</v>
      </c>
      <c r="D19" s="35" t="str">
        <f>IF(ISERROR(FIND("-",FR!B19)),FR!B19&amp;" "&amp;FR!D19,FR!D19)</f>
        <v>STB:  Set-Top Box</v>
      </c>
      <c r="E19" s="7" t="str">
        <f>IF(H19="Modified",VLOOKUP(A19,'Prev PMR'!A$2:D$190,4),"")</f>
        <v/>
      </c>
      <c r="F19" s="7" t="str">
        <f>FR!E19</f>
        <v>Com</v>
      </c>
      <c r="G19" s="37" t="str">
        <f>IF(ISERROR(FIND("Adara 1.0",FR!F19)),
        IF(ISERROR(FIND("Adara 1.1",FR!F19)),
                IF(ISERROR(FIND("Deneb",FR!F19)),"errorRob","Deneb"),
         "Adara 1.1"),
  "Adara 1.0")</f>
        <v>Adara 1.0</v>
      </c>
      <c r="H19" s="19" t="str">
        <f>FR!I19</f>
        <v>Approved</v>
      </c>
      <c r="I19" s="7" t="str">
        <f>IF(ISBLANK(FR!G19),"",FR!G19)</f>
        <v/>
      </c>
      <c r="J19" s="6" t="str">
        <f>IF(ISBLANK(FR!H19),"",FR!H19)</f>
        <v/>
      </c>
    </row>
    <row r="20" spans="1:10" x14ac:dyDescent="0.25">
      <c r="A20" s="10" t="str">
        <f>FR!A20</f>
        <v>FR-DSRSW-1300</v>
      </c>
      <c r="B20" s="7" t="b">
        <f>ISERROR(FIND("-",FR!B20))</f>
        <v>0</v>
      </c>
      <c r="C20" s="7">
        <f>SetIndent(D20,(FR!C20-1)*2)</f>
        <v>4</v>
      </c>
      <c r="D20" s="35" t="str">
        <f>IF(ISERROR(FIND("-",FR!B20)),FR!B20&amp;" "&amp;FR!D20,FR!D20)</f>
        <v>SCIF: User Band</v>
      </c>
      <c r="E20" s="7" t="str">
        <f>IF(H20="Modified",VLOOKUP(A20,'Prev PMR'!A$2:D$190,4),"")</f>
        <v/>
      </c>
      <c r="F20" s="7" t="str">
        <f>FR!E20</f>
        <v>Com</v>
      </c>
      <c r="G20" s="37" t="str">
        <f>IF(ISERROR(FIND("Adara 1.0",FR!F20)),
        IF(ISERROR(FIND("Adara 1.1",FR!F20)),
                IF(ISERROR(FIND("Deneb",FR!F20)),"errorRob","Deneb"),
         "Adara 1.1"),
  "Adara 1.0")</f>
        <v>Adara 1.0</v>
      </c>
      <c r="H20" s="19" t="str">
        <f>FR!I20</f>
        <v>Approved</v>
      </c>
      <c r="I20" s="7" t="str">
        <f>IF(ISBLANK(FR!G20),"",FR!G20)</f>
        <v/>
      </c>
      <c r="J20" s="6" t="str">
        <f>IF(ISBLANK(FR!H20),"",FR!H20)</f>
        <v/>
      </c>
    </row>
    <row r="21" spans="1:10" x14ac:dyDescent="0.25">
      <c r="A21" s="10" t="str">
        <f>FR!A21</f>
        <v>FR-DSRSW-1301</v>
      </c>
      <c r="B21" s="7" t="b">
        <f>ISERROR(FIND("-",FR!B21))</f>
        <v>1</v>
      </c>
      <c r="C21" s="7">
        <f>SetIndent(D21,(FR!C21-1)*2)</f>
        <v>2</v>
      </c>
      <c r="D21" s="34" t="str">
        <f>IF(ISERROR(FIND("-",FR!B21)),FR!B21&amp;" "&amp;FR!D21,FR!D21)</f>
        <v xml:space="preserve">1.2 TL9000 Requirement Category Acronyms </v>
      </c>
      <c r="E21" s="7" t="str">
        <f>IF(H21="Modified",VLOOKUP(A21,'Prev PMR'!A$2:D$190,4),"")</f>
        <v/>
      </c>
      <c r="F21" s="7" t="str">
        <f>FR!E21</f>
        <v>Com</v>
      </c>
      <c r="G21" s="37" t="str">
        <f>IF(ISERROR(FIND("Adara 1.0",FR!F21)),
        IF(ISERROR(FIND("Adara 1.1",FR!F21)),
                IF(ISERROR(FIND("Deneb",FR!F21)),"errorRob","Deneb"),
         "Adara 1.1"),
  "Adara 1.0")</f>
        <v>Adara 1.0</v>
      </c>
      <c r="H21" s="19" t="str">
        <f>FR!I21</f>
        <v>Approved</v>
      </c>
      <c r="I21" s="7" t="str">
        <f>IF(ISBLANK(FR!G21),"",FR!G21)</f>
        <v/>
      </c>
      <c r="J21" s="6" t="str">
        <f>IF(ISBLANK(FR!H21),"",FR!H21)</f>
        <v/>
      </c>
    </row>
    <row r="22" spans="1:10" x14ac:dyDescent="0.25">
      <c r="A22" s="10" t="str">
        <f>FR!A22</f>
        <v>FR-DSRSW-1302</v>
      </c>
      <c r="B22" s="7" t="b">
        <f>ISERROR(FIND("-",FR!B22))</f>
        <v>0</v>
      </c>
      <c r="C22" s="7">
        <f>SetIndent(D22,(FR!C22-1)*2)</f>
        <v>4</v>
      </c>
      <c r="D22" s="35" t="str">
        <f>IF(ISERROR(FIND("-",FR!B22)),FR!B22&amp;" "&amp;FR!D22,FR!D22)</f>
        <v>FPR: Functional and Performance Requirements</v>
      </c>
      <c r="E22" s="7" t="str">
        <f>IF(H22="Modified",VLOOKUP(A22,'Prev PMR'!A$2:D$190,4),"")</f>
        <v/>
      </c>
      <c r="F22" s="7" t="str">
        <f>FR!E22</f>
        <v>Com</v>
      </c>
      <c r="G22" s="37" t="str">
        <f>IF(ISERROR(FIND("Adara 1.0",FR!F22)),
        IF(ISERROR(FIND("Adara 1.1",FR!F22)),
                IF(ISERROR(FIND("Deneb",FR!F22)),"errorRob","Deneb"),
         "Adara 1.1"),
  "Adara 1.0")</f>
        <v>Adara 1.0</v>
      </c>
      <c r="H22" s="19" t="str">
        <f>FR!I22</f>
        <v>Approved</v>
      </c>
      <c r="I22" s="7" t="str">
        <f>IF(ISBLANK(FR!G22),"",FR!G22)</f>
        <v/>
      </c>
      <c r="J22" s="6" t="str">
        <f>IF(ISBLANK(FR!H22),"",FR!H22)</f>
        <v/>
      </c>
    </row>
    <row r="23" spans="1:10" x14ac:dyDescent="0.25">
      <c r="A23" s="10" t="str">
        <f>FR!A23</f>
        <v>FR-DSRSW-1303</v>
      </c>
      <c r="B23" s="7" t="b">
        <f>ISERROR(FIND("-",FR!B23))</f>
        <v>0</v>
      </c>
      <c r="C23" s="7">
        <f>SetIndent(D23,(FR!C23-1)*2)</f>
        <v>4</v>
      </c>
      <c r="D23" s="35" t="str">
        <f>IF(ISERROR(FIND("-",FR!B23)),FR!B23&amp;" "&amp;FR!D23,FR!D23)</f>
        <v>BOU: Business, Organizational, and User Requirements</v>
      </c>
      <c r="E23" s="7" t="str">
        <f>IF(H23="Modified",VLOOKUP(A23,'Prev PMR'!A$2:D$190,4),"")</f>
        <v/>
      </c>
      <c r="F23" s="7" t="str">
        <f>FR!E23</f>
        <v>Com</v>
      </c>
      <c r="G23" s="37" t="str">
        <f>IF(ISERROR(FIND("Adara 1.0",FR!F23)),
        IF(ISERROR(FIND("Adara 1.1",FR!F23)),
                IF(ISERROR(FIND("Deneb",FR!F23)),"errorRob","Deneb"),
         "Adara 1.1"),
  "Adara 1.0")</f>
        <v>Adara 1.0</v>
      </c>
      <c r="H23" s="19" t="str">
        <f>FR!I23</f>
        <v>Approved</v>
      </c>
      <c r="I23" s="7" t="str">
        <f>IF(ISBLANK(FR!G23),"",FR!G23)</f>
        <v/>
      </c>
      <c r="J23" s="6" t="str">
        <f>IF(ISBLANK(FR!H23),"",FR!H23)</f>
        <v/>
      </c>
    </row>
    <row r="24" spans="1:10" ht="30" x14ac:dyDescent="0.25">
      <c r="A24" s="10" t="str">
        <f>FR!A24</f>
        <v>FR-DSRSW-1304</v>
      </c>
      <c r="B24" s="7" t="b">
        <f>ISERROR(FIND("-",FR!B24))</f>
        <v>0</v>
      </c>
      <c r="C24" s="7">
        <f>SetIndent(D24,(FR!C24-1)*2)</f>
        <v>4</v>
      </c>
      <c r="D24" s="35" t="str">
        <f>IF(ISERROR(FIND("-",FR!B24)),FR!B24&amp;" "&amp;FR!D24,FR!D24)</f>
        <v>IUM: Manufacturability, Installability, Usability, Interoperability, and Maintainability Requirements</v>
      </c>
      <c r="E24" s="7" t="str">
        <f>IF(H24="Modified",VLOOKUP(A24,'Prev PMR'!A$2:D$190,4),"")</f>
        <v/>
      </c>
      <c r="F24" s="7" t="str">
        <f>FR!E24</f>
        <v>Com</v>
      </c>
      <c r="G24" s="37" t="str">
        <f>IF(ISERROR(FIND("Adara 1.0",FR!F24)),
        IF(ISERROR(FIND("Adara 1.1",FR!F24)),
                IF(ISERROR(FIND("Deneb",FR!F24)),"errorRob","Deneb"),
         "Adara 1.1"),
  "Adara 1.0")</f>
        <v>Adara 1.0</v>
      </c>
      <c r="H24" s="19" t="str">
        <f>FR!I24</f>
        <v>Approved</v>
      </c>
      <c r="I24" s="7" t="str">
        <f>IF(ISBLANK(FR!G24),"",FR!G24)</f>
        <v/>
      </c>
      <c r="J24" s="6" t="str">
        <f>IF(ISBLANK(FR!H24),"",FR!H24)</f>
        <v/>
      </c>
    </row>
    <row r="25" spans="1:10" x14ac:dyDescent="0.25">
      <c r="A25" s="10" t="str">
        <f>FR!A25</f>
        <v>FR-DSRSW-1305</v>
      </c>
      <c r="B25" s="7" t="b">
        <f>ISERROR(FIND("-",FR!B25))</f>
        <v>0</v>
      </c>
      <c r="C25" s="7">
        <f>SetIndent(D25,(FR!C25-1)*2)</f>
        <v>4</v>
      </c>
      <c r="D25" s="35" t="str">
        <f>IF(ISERROR(FIND("-",FR!B25)),FR!B25&amp;" "&amp;FR!D25,FR!D25)</f>
        <v>QRR: Quality and Reliability Requirements</v>
      </c>
      <c r="E25" s="7" t="str">
        <f>IF(H25="Modified",VLOOKUP(A25,'Prev PMR'!A$2:D$190,4),"")</f>
        <v/>
      </c>
      <c r="F25" s="7" t="str">
        <f>FR!E25</f>
        <v>Com</v>
      </c>
      <c r="G25" s="37" t="str">
        <f>IF(ISERROR(FIND("Adara 1.0",FR!F25)),
        IF(ISERROR(FIND("Adara 1.1",FR!F25)),
                IF(ISERROR(FIND("Deneb",FR!F25)),"errorRob","Deneb"),
         "Adara 1.1"),
  "Adara 1.0")</f>
        <v>Adara 1.0</v>
      </c>
      <c r="H25" s="19" t="str">
        <f>FR!I25</f>
        <v>Approved</v>
      </c>
      <c r="I25" s="7" t="str">
        <f>IF(ISBLANK(FR!G25),"",FR!G25)</f>
        <v/>
      </c>
      <c r="J25" s="6" t="str">
        <f>IF(ISBLANK(FR!H25),"",FR!H25)</f>
        <v/>
      </c>
    </row>
    <row r="26" spans="1:10" x14ac:dyDescent="0.25">
      <c r="A26" s="10" t="str">
        <f>FR!A26</f>
        <v>FR-DSRSW-1306</v>
      </c>
      <c r="B26" s="7" t="b">
        <f>ISERROR(FIND("-",FR!B26))</f>
        <v>0</v>
      </c>
      <c r="C26" s="7">
        <f>SetIndent(D26,(FR!C26-1)*2)</f>
        <v>4</v>
      </c>
      <c r="D26" s="35" t="str">
        <f>IF(ISERROR(FIND("-",FR!B26)),FR!B26&amp;" "&amp;FR!D26,FR!D26)</f>
        <v>SES: Safety, Environmental, Sustainability, and Security Requirements</v>
      </c>
      <c r="E26" s="7" t="str">
        <f>IF(H26="Modified",VLOOKUP(A26,'Prev PMR'!A$2:D$190,4),"")</f>
        <v/>
      </c>
      <c r="F26" s="7" t="str">
        <f>FR!E26</f>
        <v>Com</v>
      </c>
      <c r="G26" s="37" t="str">
        <f>IF(ISERROR(FIND("Adara 1.0",FR!F26)),
        IF(ISERROR(FIND("Adara 1.1",FR!F26)),
                IF(ISERROR(FIND("Deneb",FR!F26)),"errorRob","Deneb"),
         "Adara 1.1"),
  "Adara 1.0")</f>
        <v>Adara 1.0</v>
      </c>
      <c r="H26" s="19" t="str">
        <f>FR!I26</f>
        <v>Approved</v>
      </c>
      <c r="I26" s="7" t="str">
        <f>IF(ISBLANK(FR!G26),"",FR!G26)</f>
        <v/>
      </c>
      <c r="J26" s="6" t="str">
        <f>IF(ISBLANK(FR!H26),"",FR!H26)</f>
        <v/>
      </c>
    </row>
    <row r="27" spans="1:10" x14ac:dyDescent="0.25">
      <c r="A27" s="10" t="str">
        <f>FR!A27</f>
        <v>FR-DSRSW-1307</v>
      </c>
      <c r="B27" s="7" t="b">
        <f>ISERROR(FIND("-",FR!B27))</f>
        <v>0</v>
      </c>
      <c r="C27" s="7">
        <f>SetIndent(D27,(FR!C27-1)*2)</f>
        <v>4</v>
      </c>
      <c r="D27" s="35" t="str">
        <f>IF(ISERROR(FIND("-",FR!B27)),FR!B27&amp;" "&amp;FR!D27,FR!D27)</f>
        <v>REG: Statutory and Regulatory Requirements</v>
      </c>
      <c r="E27" s="7" t="str">
        <f>IF(H27="Modified",VLOOKUP(A27,'Prev PMR'!A$2:D$190,4),"")</f>
        <v/>
      </c>
      <c r="F27" s="7" t="str">
        <f>FR!E27</f>
        <v>Com</v>
      </c>
      <c r="G27" s="37" t="str">
        <f>IF(ISERROR(FIND("Adara 1.0",FR!F27)),
        IF(ISERROR(FIND("Adara 1.1",FR!F27)),
                IF(ISERROR(FIND("Deneb",FR!F27)),"errorRob","Deneb"),
         "Adara 1.1"),
  "Adara 1.0")</f>
        <v>Adara 1.0</v>
      </c>
      <c r="H27" s="19" t="str">
        <f>FR!I27</f>
        <v>Approved</v>
      </c>
      <c r="I27" s="7" t="str">
        <f>IF(ISBLANK(FR!G27),"",FR!G27)</f>
        <v/>
      </c>
      <c r="J27" s="6" t="str">
        <f>IF(ISBLANK(FR!H27),"",FR!H27)</f>
        <v/>
      </c>
    </row>
    <row r="28" spans="1:10" x14ac:dyDescent="0.25">
      <c r="A28" s="10" t="str">
        <f>FR!A28</f>
        <v>FR-DSRSW-1308</v>
      </c>
      <c r="B28" s="7" t="b">
        <f>ISERROR(FIND("-",FR!B28))</f>
        <v>0</v>
      </c>
      <c r="C28" s="7">
        <f>SetIndent(D28,(FR!C28-1)*2)</f>
        <v>4</v>
      </c>
      <c r="D28" s="35" t="str">
        <f>IF(ISERROR(FIND("-",FR!B28)),FR!B28&amp;" "&amp;FR!D28,FR!D28)</f>
        <v>TST: Testing Requirements</v>
      </c>
      <c r="E28" s="7" t="str">
        <f>IF(H28="Modified",VLOOKUP(A28,'Prev PMR'!A$2:D$190,4),"")</f>
        <v/>
      </c>
      <c r="F28" s="7" t="str">
        <f>FR!E28</f>
        <v>Com</v>
      </c>
      <c r="G28" s="37" t="str">
        <f>IF(ISERROR(FIND("Adara 1.0",FR!F28)),
        IF(ISERROR(FIND("Adara 1.1",FR!F28)),
                IF(ISERROR(FIND("Deneb",FR!F28)),"errorRob","Deneb"),
         "Adara 1.1"),
  "Adara 1.0")</f>
        <v>Adara 1.0</v>
      </c>
      <c r="H28" s="19" t="str">
        <f>FR!I28</f>
        <v>Approved</v>
      </c>
      <c r="I28" s="7" t="str">
        <f>IF(ISBLANK(FR!G28),"",FR!G28)</f>
        <v/>
      </c>
      <c r="J28" s="6" t="str">
        <f>IF(ISBLANK(FR!H28),"",FR!H28)</f>
        <v/>
      </c>
    </row>
    <row r="29" spans="1:10" x14ac:dyDescent="0.25">
      <c r="A29" s="10" t="str">
        <f>FR!A29</f>
        <v>FR-DSRSW-1309</v>
      </c>
      <c r="B29" s="7" t="b">
        <f>ISERROR(FIND("-",FR!B29))</f>
        <v>0</v>
      </c>
      <c r="C29" s="7">
        <f>SetIndent(D29,(FR!C29-1)*2)</f>
        <v>4</v>
      </c>
      <c r="D29" s="35" t="str">
        <f>IF(ISERROR(FIND("-",FR!B29)),FR!B29&amp;" "&amp;FR!D29,FR!D29)</f>
        <v>CRR: Computer Resources Requirements</v>
      </c>
      <c r="E29" s="7" t="str">
        <f>IF(H29="Modified",VLOOKUP(A29,'Prev PMR'!A$2:D$190,4),"")</f>
        <v/>
      </c>
      <c r="F29" s="7" t="str">
        <f>FR!E29</f>
        <v>Com</v>
      </c>
      <c r="G29" s="37" t="str">
        <f>IF(ISERROR(FIND("Adara 1.0",FR!F29)),
        IF(ISERROR(FIND("Adara 1.1",FR!F29)),
                IF(ISERROR(FIND("Deneb",FR!F29)),"errorRob","Deneb"),
         "Adara 1.1"),
  "Adara 1.0")</f>
        <v>Adara 1.0</v>
      </c>
      <c r="H29" s="19" t="str">
        <f>FR!I29</f>
        <v>Approved</v>
      </c>
      <c r="I29" s="7" t="str">
        <f>IF(ISBLANK(FR!G29),"",FR!G29)</f>
        <v/>
      </c>
      <c r="J29" s="6" t="str">
        <f>IF(ISBLANK(FR!H29),"",FR!H29)</f>
        <v/>
      </c>
    </row>
    <row r="30" spans="1:10" x14ac:dyDescent="0.25">
      <c r="A30" s="10" t="str">
        <f>FR!A30</f>
        <v>FR-DSRSW-1310</v>
      </c>
      <c r="B30" s="7" t="b">
        <f>ISERROR(FIND("-",FR!B30))</f>
        <v>1</v>
      </c>
      <c r="C30" s="7">
        <f>SetIndent(D30,(FR!C30-1)*2)</f>
        <v>0</v>
      </c>
      <c r="D30" s="7" t="str">
        <f>IF(ISERROR(FIND("-",FR!B30)),FR!B30&amp;" "&amp;FR!D30,FR!D30)</f>
        <v xml:space="preserve">2 Industry Standards and Specifications </v>
      </c>
      <c r="E30" s="7" t="str">
        <f>IF(H30="Modified",VLOOKUP(A30,'Prev PMR'!A$2:D$190,4),"")</f>
        <v/>
      </c>
      <c r="F30" s="7" t="str">
        <f>FR!E30</f>
        <v>Com</v>
      </c>
      <c r="G30" s="37" t="str">
        <f>IF(ISERROR(FIND("Adara 1.0",FR!F30)),
        IF(ISERROR(FIND("Adara 1.1",FR!F30)),
                IF(ISERROR(FIND("Deneb",FR!F30)),"errorRob","Deneb"),
         "Adara 1.1"),
  "Adara 1.0")</f>
        <v>Adara 1.0</v>
      </c>
      <c r="H30" s="19" t="str">
        <f>FR!I30</f>
        <v>Approved</v>
      </c>
      <c r="I30" s="7" t="str">
        <f>IF(ISBLANK(FR!G30),"",FR!G30)</f>
        <v/>
      </c>
      <c r="J30" s="6" t="str">
        <f>IF(ISBLANK(FR!H30),"",FR!H30)</f>
        <v/>
      </c>
    </row>
    <row r="31" spans="1:10" ht="30" x14ac:dyDescent="0.25">
      <c r="A31" s="10" t="str">
        <f>FR!A31</f>
        <v>FR-DSRSW-1311</v>
      </c>
      <c r="B31" s="7" t="b">
        <f>ISERROR(FIND("-",FR!B31))</f>
        <v>0</v>
      </c>
      <c r="C31" s="7">
        <f>SetIndent(D31,(FR!C31-1)*2)</f>
        <v>2</v>
      </c>
      <c r="D31" s="34" t="str">
        <f>IF(ISERROR(FIND("-",FR!B31)),FR!B31&amp;" "&amp;FR!D31,FR!D31)</f>
        <v>[CEA 608B - 1]  "Line 21 Data Service," Consumer Electronics Association CEA-608 Revision B, December 2000</v>
      </c>
      <c r="E31" s="7" t="str">
        <f>IF(H31="Modified",VLOOKUP(A31,'Prev PMR'!A$2:D$190,4),"")</f>
        <v/>
      </c>
      <c r="F31" s="7" t="str">
        <f>FR!E31</f>
        <v>Com</v>
      </c>
      <c r="G31" s="37" t="str">
        <f>IF(ISERROR(FIND("Adara 1.0",FR!F31)),
        IF(ISERROR(FIND("Adara 1.1",FR!F31)),
                IF(ISERROR(FIND("Deneb",FR!F31)),"errorRob","Deneb"),
         "Adara 1.1"),
  "Adara 1.0")</f>
        <v>Adara 1.0</v>
      </c>
      <c r="H31" s="19" t="str">
        <f>FR!I31</f>
        <v>Approved</v>
      </c>
      <c r="I31" s="7" t="str">
        <f>IF(ISBLANK(FR!G31),"",FR!G31)</f>
        <v/>
      </c>
      <c r="J31" s="6" t="str">
        <f>IF(ISBLANK(FR!H31),"",FR!H31)</f>
        <v/>
      </c>
    </row>
    <row r="32" spans="1:10" ht="30" x14ac:dyDescent="0.25">
      <c r="A32" s="10" t="str">
        <f>FR!A32</f>
        <v>FR-DSRSW-1312</v>
      </c>
      <c r="B32" s="7" t="b">
        <f>ISERROR(FIND("-",FR!B32))</f>
        <v>0</v>
      </c>
      <c r="C32" s="7">
        <f>SetIndent(D32,(FR!C32-1)*2)</f>
        <v>2</v>
      </c>
      <c r="D32" s="34" t="str">
        <f>IF(ISERROR(FIND("-",FR!B32)),FR!B32&amp;" "&amp;FR!D32,FR!D32)</f>
        <v>[CEA 608C - 1]  "Line 21 Data Service," Consumer Electronics Association CEA-608 Revision C, August 2005</v>
      </c>
      <c r="E32" s="7" t="str">
        <f>IF(H32="Modified",VLOOKUP(A32,'Prev PMR'!A$2:D$190,4),"")</f>
        <v/>
      </c>
      <c r="F32" s="7" t="str">
        <f>FR!E32</f>
        <v>Com</v>
      </c>
      <c r="G32" s="37" t="str">
        <f>IF(ISERROR(FIND("Adara 1.0",FR!F32)),
        IF(ISERROR(FIND("Adara 1.1",FR!F32)),
                IF(ISERROR(FIND("Deneb",FR!F32)),"errorRob","Deneb"),
         "Adara 1.1"),
  "Adara 1.0")</f>
        <v>Adara 1.0</v>
      </c>
      <c r="H32" s="19" t="str">
        <f>FR!I32</f>
        <v>Approved</v>
      </c>
      <c r="I32" s="7" t="str">
        <f>IF(ISBLANK(FR!G32),"",FR!G32)</f>
        <v/>
      </c>
      <c r="J32" s="6" t="str">
        <f>IF(ISBLANK(FR!H32),"",FR!H32)</f>
        <v/>
      </c>
    </row>
    <row r="33" spans="1:10" ht="30" x14ac:dyDescent="0.25">
      <c r="A33" s="10" t="str">
        <f>FR!A33</f>
        <v>FR-DSRSW-1313</v>
      </c>
      <c r="B33" s="7" t="b">
        <f>ISERROR(FIND("-",FR!B33))</f>
        <v>0</v>
      </c>
      <c r="C33" s="7">
        <f>SetIndent(D33,(FR!C33-1)*2)</f>
        <v>2</v>
      </c>
      <c r="D33" s="34" t="str">
        <f>IF(ISERROR(FIND("-",FR!B33)),FR!B33&amp;" "&amp;FR!D33,FR!D33)</f>
        <v>[CEA-805 - 2]  "Data Services on the Component Video Interfaces," Consumer Electronics Association, Revision B, August 2005</v>
      </c>
      <c r="E33" s="7" t="str">
        <f>IF(H33="Modified",VLOOKUP(A33,'Prev PMR'!A$2:D$190,4),"")</f>
        <v/>
      </c>
      <c r="F33" s="7" t="str">
        <f>FR!E33</f>
        <v>Com</v>
      </c>
      <c r="G33" s="37" t="str">
        <f>IF(ISERROR(FIND("Adara 1.0",FR!F33)),
        IF(ISERROR(FIND("Adara 1.1",FR!F33)),
                IF(ISERROR(FIND("Deneb",FR!F33)),"errorRob","Deneb"),
         "Adara 1.1"),
  "Adara 1.0")</f>
        <v>Adara 1.0</v>
      </c>
      <c r="H33" s="19" t="str">
        <f>FR!I33</f>
        <v>Approved</v>
      </c>
      <c r="I33" s="7" t="str">
        <f>IF(ISBLANK(FR!G33),"",FR!G33)</f>
        <v/>
      </c>
      <c r="J33" s="6" t="str">
        <f>IF(ISBLANK(FR!H33),"",FR!H33)</f>
        <v/>
      </c>
    </row>
    <row r="34" spans="1:10" ht="30" x14ac:dyDescent="0.25">
      <c r="A34" s="10" t="str">
        <f>FR!A34</f>
        <v>FR-DSRSW-1314</v>
      </c>
      <c r="B34" s="7" t="b">
        <f>ISERROR(FIND("-",FR!B34))</f>
        <v>0</v>
      </c>
      <c r="C34" s="7">
        <f>SetIndent(D34,(FR!C34-1)*2)</f>
        <v>2</v>
      </c>
      <c r="D34" s="34" t="str">
        <f>IF(ISERROR(FIND("-",FR!B34)),FR!B34&amp;" "&amp;FR!D34,FR!D34)</f>
        <v>[EN 50494 - 1] "Satellite signal distribution over a single coaxial cable in single dwelling installations", CENELEC EN 50494:2007,, March 2007</v>
      </c>
      <c r="E34" s="7" t="str">
        <f>IF(H34="Modified",VLOOKUP(A34,'Prev PMR'!A$2:D$190,4),"")</f>
        <v/>
      </c>
      <c r="F34" s="7" t="str">
        <f>FR!E34</f>
        <v>Com</v>
      </c>
      <c r="G34" s="37" t="str">
        <f>IF(ISERROR(FIND("Adara 1.0",FR!F34)),
        IF(ISERROR(FIND("Adara 1.1",FR!F34)),
                IF(ISERROR(FIND("Deneb",FR!F34)),"errorRob","Deneb"),
         "Adara 1.1"),
  "Adara 1.0")</f>
        <v>Adara 1.0</v>
      </c>
      <c r="H34" s="19" t="str">
        <f>FR!I34</f>
        <v>Approved</v>
      </c>
      <c r="I34" s="7" t="str">
        <f>IF(ISBLANK(FR!G34),"",FR!G34)</f>
        <v/>
      </c>
      <c r="J34" s="6" t="str">
        <f>IF(ISBLANK(FR!H34),"",FR!H34)</f>
        <v/>
      </c>
    </row>
    <row r="35" spans="1:10" ht="30" x14ac:dyDescent="0.25">
      <c r="A35" s="10" t="str">
        <f>FR!A35</f>
        <v>FR-DSRSW-1315</v>
      </c>
      <c r="B35" s="7" t="b">
        <f>ISERROR(FIND("-",FR!B35))</f>
        <v>0</v>
      </c>
      <c r="C35" s="7">
        <f>SetIndent(D35,(FR!C35-1)*2)</f>
        <v>2</v>
      </c>
      <c r="D35" s="34" t="str">
        <f>IF(ISERROR(FIND("-",FR!B35)),FR!B35&amp;" "&amp;FR!D35,FR!D35)</f>
        <v>[HDCP - 0]  "High-Bandwidth Digital Content Protection System v 1.0," Digital Content Protection LLC, February 2000</v>
      </c>
      <c r="E35" s="7" t="str">
        <f>IF(H35="Modified",VLOOKUP(A35,'Prev PMR'!A$2:D$190,4),"")</f>
        <v/>
      </c>
      <c r="F35" s="7" t="str">
        <f>FR!E35</f>
        <v>Com</v>
      </c>
      <c r="G35" s="37" t="str">
        <f>IF(ISERROR(FIND("Adara 1.0",FR!F35)),
        IF(ISERROR(FIND("Adara 1.1",FR!F35)),
                IF(ISERROR(FIND("Deneb",FR!F35)),"errorRob","Deneb"),
         "Adara 1.1"),
  "Adara 1.0")</f>
        <v>Adara 1.0</v>
      </c>
      <c r="H35" s="19" t="str">
        <f>FR!I35</f>
        <v>Approved</v>
      </c>
      <c r="I35" s="7" t="str">
        <f>IF(ISBLANK(FR!G35),"",FR!G35)</f>
        <v/>
      </c>
      <c r="J35" s="6" t="str">
        <f>IF(ISBLANK(FR!H35),"",FR!H35)</f>
        <v/>
      </c>
    </row>
    <row r="36" spans="1:10" ht="30" x14ac:dyDescent="0.25">
      <c r="A36" s="10" t="str">
        <f>FR!A36</f>
        <v>FR-DSRSW-1316</v>
      </c>
      <c r="B36" s="7" t="b">
        <f>ISERROR(FIND("-",FR!B36))</f>
        <v>0</v>
      </c>
      <c r="C36" s="7">
        <f>SetIndent(D36,(FR!C36-1)*2)</f>
        <v>2</v>
      </c>
      <c r="D36" s="34" t="str">
        <f>IF(ISERROR(FIND("-",FR!B36)),FR!B36&amp;" "&amp;FR!D36,FR!D36)</f>
        <v>[HDMI]  "High Definition Multimedia Interface Specification v 1.4b," HDMI Licensing LLC, November 2011</v>
      </c>
      <c r="E36" s="7" t="str">
        <f>IF(H36="Modified",VLOOKUP(A36,'Prev PMR'!A$2:D$190,4),"")</f>
        <v/>
      </c>
      <c r="F36" s="7" t="str">
        <f>FR!E36</f>
        <v>Com</v>
      </c>
      <c r="G36" s="37" t="str">
        <f>IF(ISERROR(FIND("Adara 1.0",FR!F36)),
        IF(ISERROR(FIND("Adara 1.1",FR!F36)),
                IF(ISERROR(FIND("Deneb",FR!F36)),"errorRob","Deneb"),
         "Adara 1.1"),
  "Adara 1.0")</f>
        <v>Adara 1.0</v>
      </c>
      <c r="H36" s="19" t="str">
        <f>FR!I36</f>
        <v>Approved</v>
      </c>
      <c r="I36" s="7" t="str">
        <f>IF(ISBLANK(FR!G36),"",FR!G36)</f>
        <v/>
      </c>
      <c r="J36" s="6" t="str">
        <f>IF(ISBLANK(FR!H36),"",FR!H36)</f>
        <v/>
      </c>
    </row>
    <row r="37" spans="1:10" ht="45" x14ac:dyDescent="0.25">
      <c r="A37" s="10" t="str">
        <f>FR!A37</f>
        <v>FR-DSRSW-1317</v>
      </c>
      <c r="B37" s="7" t="b">
        <f>ISERROR(FIND("-",FR!B37))</f>
        <v>0</v>
      </c>
      <c r="C37" s="7">
        <f>SetIndent(D37,(FR!C37-1)*2)</f>
        <v>2</v>
      </c>
      <c r="D37" s="34" t="str">
        <f>IF(ISERROR(FIND("-",FR!B37)),FR!B37&amp;" "&amp;FR!D37,FR!D37)</f>
        <v>[ISO 13818-1 - 1]  "Information technology - Generic coding of moving pictures and associated audio (MPEG): Systems," International Standard ISO/IEC 13818-1, 1 March 2002</v>
      </c>
      <c r="E37" s="7" t="str">
        <f>IF(H37="Modified",VLOOKUP(A37,'Prev PMR'!A$2:D$190,4),"")</f>
        <v/>
      </c>
      <c r="F37" s="7" t="str">
        <f>FR!E37</f>
        <v>Com</v>
      </c>
      <c r="G37" s="37" t="str">
        <f>IF(ISERROR(FIND("Adara 1.0",FR!F37)),
        IF(ISERROR(FIND("Adara 1.1",FR!F37)),
                IF(ISERROR(FIND("Deneb",FR!F37)),"errorRob","Deneb"),
         "Adara 1.1"),
  "Adara 1.0")</f>
        <v>Adara 1.0</v>
      </c>
      <c r="H37" s="19" t="str">
        <f>FR!I37</f>
        <v>Approved</v>
      </c>
      <c r="I37" s="7" t="str">
        <f>IF(ISBLANK(FR!G37),"",FR!G37)</f>
        <v/>
      </c>
      <c r="J37" s="6" t="str">
        <f>IF(ISBLANK(FR!H37),"",FR!H37)</f>
        <v/>
      </c>
    </row>
    <row r="38" spans="1:10" ht="45" x14ac:dyDescent="0.25">
      <c r="A38" s="10" t="str">
        <f>FR!A38</f>
        <v>FR-DSRSW-1318</v>
      </c>
      <c r="B38" s="7" t="b">
        <f>ISERROR(FIND("-",FR!B38))</f>
        <v>0</v>
      </c>
      <c r="C38" s="7">
        <f>SetIndent(D38,(FR!C38-1)*2)</f>
        <v>2</v>
      </c>
      <c r="D38" s="34" t="str">
        <f>IF(ISERROR(FIND("-",FR!B38)),FR!B38&amp;" "&amp;FR!D38,FR!D38)</f>
        <v>[JPEG - 1]  "ISO/IEC 10918-1 ITU-T Recommendation T.81 -- Information Technology, -Digital Compression and Coding Of Continuous-Tone Still Images, Requirements and Guidelines", 1994</v>
      </c>
      <c r="E38" s="7" t="str">
        <f>IF(H38="Modified",VLOOKUP(A38,'Prev PMR'!A$2:D$190,4),"")</f>
        <v/>
      </c>
      <c r="F38" s="7" t="str">
        <f>FR!E38</f>
        <v>Com</v>
      </c>
      <c r="G38" s="37" t="str">
        <f>IF(ISERROR(FIND("Adara 1.0",FR!F38)),
        IF(ISERROR(FIND("Adara 1.1",FR!F38)),
                IF(ISERROR(FIND("Deneb",FR!F38)),"errorRob","Deneb"),
         "Adara 1.1"),
  "Adara 1.0")</f>
        <v>Adara 1.0</v>
      </c>
      <c r="H38" s="19" t="str">
        <f>FR!I38</f>
        <v>Approved</v>
      </c>
      <c r="I38" s="7" t="str">
        <f>IF(ISBLANK(FR!G38),"",FR!G38)</f>
        <v/>
      </c>
      <c r="J38" s="6" t="str">
        <f>IF(ISBLANK(FR!H38),"",FR!H38)</f>
        <v/>
      </c>
    </row>
    <row r="39" spans="1:10" ht="30" x14ac:dyDescent="0.25">
      <c r="A39" s="10" t="str">
        <f>FR!A39</f>
        <v>FR-DSRSW-1319</v>
      </c>
      <c r="B39" s="7" t="b">
        <f>ISERROR(FIND("-",FR!B39))</f>
        <v>0</v>
      </c>
      <c r="C39" s="7">
        <f>SetIndent(D39,(FR!C39-1)*2)</f>
        <v>2</v>
      </c>
      <c r="D39" s="34" t="str">
        <f>IF(ISERROR(FIND("-",FR!B39)),FR!B39&amp;" "&amp;FR!D39,FR!D39)</f>
        <v>[SCTE 20 - 1]  "Method for Carriage of Closed Captions and Non-Real Time Sampled Video," American National Standards Institute ANSI/SCTE 20 2004</v>
      </c>
      <c r="E39" s="7" t="str">
        <f>IF(H39="Modified",VLOOKUP(A39,'Prev PMR'!A$2:D$190,4),"")</f>
        <v/>
      </c>
      <c r="F39" s="7" t="str">
        <f>FR!E39</f>
        <v>Com</v>
      </c>
      <c r="G39" s="37" t="str">
        <f>IF(ISERROR(FIND("Adara 1.0",FR!F39)),
        IF(ISERROR(FIND("Adara 1.1",FR!F39)),
                IF(ISERROR(FIND("Deneb",FR!F39)),"errorRob","Deneb"),
         "Adara 1.1"),
  "Adara 1.0")</f>
        <v>Adara 1.0</v>
      </c>
      <c r="H39" s="19" t="str">
        <f>FR!I39</f>
        <v>Approved</v>
      </c>
      <c r="I39" s="7" t="str">
        <f>IF(ISBLANK(FR!G39),"",FR!G39)</f>
        <v/>
      </c>
      <c r="J39" s="6" t="str">
        <f>IF(ISBLANK(FR!H39),"",FR!H39)</f>
        <v/>
      </c>
    </row>
    <row r="40" spans="1:10" ht="30" x14ac:dyDescent="0.25">
      <c r="A40" s="10" t="str">
        <f>FR!A40</f>
        <v>FR-DSRSW-1320</v>
      </c>
      <c r="B40" s="7" t="b">
        <f>ISERROR(FIND("-",FR!B40))</f>
        <v>0</v>
      </c>
      <c r="C40" s="7">
        <f>SetIndent(D40,(FR!C40-1)*2)</f>
        <v>2</v>
      </c>
      <c r="D40" s="34" t="str">
        <f>IF(ISERROR(FIND("-",FR!B40)),FR!B40&amp;" "&amp;FR!D40,FR!D40)</f>
        <v>[SCTE 21 - 1]  "Standard for Carriage of NTSC VBI Data in Cable Digital Transport Streams," American National Standards Institute ANSI/SCTE 21 2001</v>
      </c>
      <c r="E40" s="7" t="str">
        <f>IF(H40="Modified",VLOOKUP(A40,'Prev PMR'!A$2:D$190,4),"")</f>
        <v/>
      </c>
      <c r="F40" s="7" t="str">
        <f>FR!E40</f>
        <v>Com</v>
      </c>
      <c r="G40" s="37" t="str">
        <f>IF(ISERROR(FIND("Adara 1.0",FR!F40)),
        IF(ISERROR(FIND("Adara 1.1",FR!F40)),
                IF(ISERROR(FIND("Deneb",FR!F40)),"errorRob","Deneb"),
         "Adara 1.1"),
  "Adara 1.0")</f>
        <v>Adara 1.0</v>
      </c>
      <c r="H40" s="19" t="str">
        <f>FR!I40</f>
        <v>Approved</v>
      </c>
      <c r="I40" s="7" t="str">
        <f>IF(ISBLANK(FR!G40),"",FR!G40)</f>
        <v/>
      </c>
      <c r="J40" s="6" t="str">
        <f>IF(ISBLANK(FR!H40),"",FR!H40)</f>
        <v/>
      </c>
    </row>
    <row r="41" spans="1:10" ht="45" x14ac:dyDescent="0.25">
      <c r="A41" s="10" t="str">
        <f>FR!A41</f>
        <v>FR-DSRSW-1321</v>
      </c>
      <c r="B41" s="7" t="b">
        <f>ISERROR(FIND("-",FR!B41))</f>
        <v>0</v>
      </c>
      <c r="C41" s="7">
        <f>SetIndent(D41,(FR!C41-1)*2)</f>
        <v>2</v>
      </c>
      <c r="D41" s="34" t="str">
        <f>IF(ISERROR(FIND("-",FR!B41)),FR!B41&amp;" "&amp;FR!D41,FR!D41)</f>
        <v>[VESA E-EDID - 1] "Enhanced Extended Display Identification Data Standard (E-EDID)," VESA-2006-9 Release A, 2.0, Video Electronics Standards Association, September 2006</v>
      </c>
      <c r="E41" s="7" t="str">
        <f>IF(H41="Modified",VLOOKUP(A41,'Prev PMR'!A$2:D$190,4),"")</f>
        <v/>
      </c>
      <c r="F41" s="7" t="str">
        <f>FR!E41</f>
        <v>Com</v>
      </c>
      <c r="G41" s="37" t="str">
        <f>IF(ISERROR(FIND("Adara 1.0",FR!F41)),
        IF(ISERROR(FIND("Adara 1.1",FR!F41)),
                IF(ISERROR(FIND("Deneb",FR!F41)),"errorRob","Deneb"),
         "Adara 1.1"),
  "Adara 1.0")</f>
        <v>Adara 1.0</v>
      </c>
      <c r="H41" s="19" t="str">
        <f>FR!I41</f>
        <v>Approved</v>
      </c>
      <c r="I41" s="7" t="str">
        <f>IF(ISBLANK(FR!G41),"",FR!G41)</f>
        <v/>
      </c>
      <c r="J41" s="6" t="str">
        <f>IF(ISBLANK(FR!H41),"",FR!H41)</f>
        <v/>
      </c>
    </row>
    <row r="42" spans="1:10" x14ac:dyDescent="0.25">
      <c r="A42" s="10" t="str">
        <f>FR!A42</f>
        <v>FR-DSRSW-1322</v>
      </c>
      <c r="B42" s="7" t="b">
        <f>ISERROR(FIND("-",FR!B42))</f>
        <v>1</v>
      </c>
      <c r="C42" s="7">
        <f>SetIndent(D42,(FR!C42-1)*2)</f>
        <v>0</v>
      </c>
      <c r="D42" s="7" t="str">
        <f>IF(ISERROR(FIND("-",FR!B42)),FR!B42&amp;" "&amp;FR!D42,FR!D42)</f>
        <v xml:space="preserve">3 ARRIS Internal Document References </v>
      </c>
      <c r="E42" s="7" t="str">
        <f>IF(H42="Modified",VLOOKUP(A42,'Prev PMR'!A$2:D$190,4),"")</f>
        <v/>
      </c>
      <c r="F42" s="7" t="str">
        <f>FR!E42</f>
        <v>Com</v>
      </c>
      <c r="G42" s="37" t="str">
        <f>IF(ISERROR(FIND("Adara 1.0",FR!F42)),
        IF(ISERROR(FIND("Adara 1.1",FR!F42)),
                IF(ISERROR(FIND("Deneb",FR!F42)),"errorRob","Deneb"),
         "Adara 1.1"),
  "Adara 1.0")</f>
        <v>Adara 1.0</v>
      </c>
      <c r="H42" s="19" t="str">
        <f>FR!I42</f>
        <v>Approved</v>
      </c>
      <c r="I42" s="7" t="str">
        <f>IF(ISBLANK(FR!G42),"",FR!G42)</f>
        <v/>
      </c>
      <c r="J42" s="6" t="str">
        <f>IF(ISBLANK(FR!H42),"",FR!H42)</f>
        <v/>
      </c>
    </row>
    <row r="43" spans="1:10" ht="30" x14ac:dyDescent="0.25">
      <c r="A43" s="10" t="str">
        <f>FR!A43</f>
        <v>FR-DSRSW-1323</v>
      </c>
      <c r="B43" s="7" t="b">
        <f>ISERROR(FIND("-",FR!B43))</f>
        <v>0</v>
      </c>
      <c r="C43" s="7">
        <f>SetIndent(D43,(FR!C43-1)*2)</f>
        <v>2</v>
      </c>
      <c r="D43" s="34" t="str">
        <f>IF(ISERROR(FIND("-",FR!B43)),FR!B43&amp;" "&amp;FR!D43,FR!D43)</f>
        <v>[MOT DCII MSP-1]  "Digicipher II Message Stream Protocol", Motorola DCII-093-043 Rev 1.12, 31 July 2001</v>
      </c>
      <c r="E43" s="7" t="str">
        <f>IF(H43="Modified",VLOOKUP(A43,'Prev PMR'!A$2:D$190,4),"")</f>
        <v/>
      </c>
      <c r="F43" s="7" t="str">
        <f>FR!E43</f>
        <v>Com</v>
      </c>
      <c r="G43" s="37" t="str">
        <f>IF(ISERROR(FIND("Adara 1.0",FR!F43)),
        IF(ISERROR(FIND("Adara 1.1",FR!F43)),
                IF(ISERROR(FIND("Deneb",FR!F43)),"errorRob","Deneb"),
         "Adara 1.1"),
  "Adara 1.0")</f>
        <v>Adara 1.0</v>
      </c>
      <c r="H43" s="19" t="str">
        <f>FR!I43</f>
        <v>Approved</v>
      </c>
      <c r="I43" s="7" t="str">
        <f>IF(ISBLANK(FR!G43),"",FR!G43)</f>
        <v/>
      </c>
      <c r="J43" s="6" t="str">
        <f>IF(ISBLANK(FR!H43),"",FR!H43)</f>
        <v/>
      </c>
    </row>
    <row r="44" spans="1:10" ht="30" x14ac:dyDescent="0.25">
      <c r="A44" s="10" t="str">
        <f>FR!A44</f>
        <v>FR-DSRSW-1324</v>
      </c>
      <c r="B44" s="7" t="b">
        <f>ISERROR(FIND("-",FR!B44))</f>
        <v>0</v>
      </c>
      <c r="C44" s="7">
        <f>SetIndent(D44,(FR!C44-1)*2)</f>
        <v>2</v>
      </c>
      <c r="D44" s="34" t="str">
        <f>IF(ISERROR(FIND("-",FR!B44)),FR!B44&amp;" "&amp;FR!D44,FR!D44)</f>
        <v>[MOT DCII ACP-1] "Digicipher II Access Control Message Stream Protocol", 486835-001 Rev B, 11/292004</v>
      </c>
      <c r="E44" s="7" t="str">
        <f>IF(H44="Modified",VLOOKUP(A44,'Prev PMR'!A$2:D$190,4),"")</f>
        <v/>
      </c>
      <c r="F44" s="7" t="str">
        <f>FR!E44</f>
        <v>Com</v>
      </c>
      <c r="G44" s="37" t="str">
        <f>IF(ISERROR(FIND("Adara 1.0",FR!F44)),
        IF(ISERROR(FIND("Adara 1.1",FR!F44)),
                IF(ISERROR(FIND("Deneb",FR!F44)),"errorRob","Deneb"),
         "Adara 1.1"),
  "Adara 1.0")</f>
        <v>Adara 1.0</v>
      </c>
      <c r="H44" s="19" t="str">
        <f>FR!I44</f>
        <v>Approved</v>
      </c>
      <c r="I44" s="7" t="str">
        <f>IF(ISBLANK(FR!G44),"",FR!G44)</f>
        <v/>
      </c>
      <c r="J44" s="6" t="str">
        <f>IF(ISBLANK(FR!H44),"",FR!H44)</f>
        <v/>
      </c>
    </row>
    <row r="45" spans="1:10" ht="30" x14ac:dyDescent="0.25">
      <c r="A45" s="10" t="str">
        <f>FR!A45</f>
        <v>FR-DSRSW-1326</v>
      </c>
      <c r="B45" s="7" t="b">
        <f>ISERROR(FIND("-",FR!B45))</f>
        <v>0</v>
      </c>
      <c r="C45" s="7">
        <f>SetIndent(D45,(FR!C45-1)*2)</f>
        <v>2</v>
      </c>
      <c r="D45" s="34" t="str">
        <f>IF(ISERROR(FIND("-",FR!B45)),FR!B45&amp;" "&amp;FR!D45,FR!D45)</f>
        <v>[MOT DSR DIAG-1]  "DSR 5XX/3XX Diagnostic Reference", Motorola 365-095-07152 Rev. X.18, 28 Sep, 2010</v>
      </c>
      <c r="E45" s="7" t="str">
        <f>IF(H45="Modified",VLOOKUP(A45,'Prev PMR'!A$2:D$190,4),"")</f>
        <v/>
      </c>
      <c r="F45" s="7" t="str">
        <f>FR!E45</f>
        <v>Com</v>
      </c>
      <c r="G45" s="37" t="str">
        <f>IF(ISERROR(FIND("Adara 1.0",FR!F45)),
        IF(ISERROR(FIND("Adara 1.1",FR!F45)),
                IF(ISERROR(FIND("Deneb",FR!F45)),"errorRob","Deneb"),
         "Adara 1.1"),
  "Adara 1.0")</f>
        <v>Adara 1.0</v>
      </c>
      <c r="H45" s="19" t="str">
        <f>FR!I45</f>
        <v>Approved</v>
      </c>
      <c r="I45" s="7" t="str">
        <f>IF(ISBLANK(FR!G45),"",FR!G45)</f>
        <v/>
      </c>
      <c r="J45" s="6" t="str">
        <f>IF(ISBLANK(FR!H45),"",FR!H45)</f>
        <v/>
      </c>
    </row>
    <row r="46" spans="1:10" x14ac:dyDescent="0.25">
      <c r="A46" s="10" t="str">
        <f>FR!A46</f>
        <v>FR-DSRSW-1493</v>
      </c>
      <c r="B46" s="7" t="b">
        <f>ISERROR(FIND("-",FR!B46))</f>
        <v>1</v>
      </c>
      <c r="C46" s="7">
        <f>SetIndent(D46,(FR!C46-1)*2)</f>
        <v>0</v>
      </c>
      <c r="D46" s="7" t="str">
        <f>IF(ISERROR(FIND("-",FR!B46)),FR!B46&amp;" "&amp;FR!D46,FR!D46)</f>
        <v>4 Hardware Platform Support</v>
      </c>
      <c r="E46" s="7" t="str">
        <f>IF(H46="Modified",VLOOKUP(A46,'Prev PMR'!A$2:D$190,4),"")</f>
        <v/>
      </c>
      <c r="F46" s="7" t="str">
        <f>FR!E46</f>
        <v>Com</v>
      </c>
      <c r="G46" s="37" t="str">
        <f>IF(ISERROR(FIND("Adara 1.0",FR!F46)),
        IF(ISERROR(FIND("Adara 1.1",FR!F46)),
                IF(ISERROR(FIND("Deneb",FR!F46)),"errorRob","Deneb"),
         "Adara 1.1"),
  "Adara 1.0")</f>
        <v>Adara 1.0</v>
      </c>
      <c r="H46" s="19" t="str">
        <f>FR!I46</f>
        <v>Approved</v>
      </c>
      <c r="I46" s="7" t="str">
        <f>IF(ISBLANK(FR!G46),"",FR!G46)</f>
        <v/>
      </c>
      <c r="J46" s="6" t="str">
        <f>IF(ISBLANK(FR!H46),"",FR!H46)</f>
        <v xml:space="preserve">TR-DSRSW-2154 Hardware Platform Support </v>
      </c>
    </row>
    <row r="47" spans="1:10" x14ac:dyDescent="0.25">
      <c r="A47" s="10" t="str">
        <f>FR!A47</f>
        <v>FR-DSRSW-1457</v>
      </c>
      <c r="B47" s="7" t="b">
        <f>ISERROR(FIND("-",FR!B47))</f>
        <v>0</v>
      </c>
      <c r="C47" s="7">
        <f>SetIndent(D47,(FR!C47-1)*2)</f>
        <v>2</v>
      </c>
      <c r="D47" s="34" t="str">
        <f>IF(ISERROR(FIND("-",FR!B47)),FR!B47&amp;" "&amp;FR!D47,FR!D47)</f>
        <v>The product SHALL support executing on DSR800 hardware platform.</v>
      </c>
      <c r="E47" s="7" t="str">
        <f>IF(H47="Modified",VLOOKUP(A47,'Prev PMR'!A$2:D$190,4),"")</f>
        <v/>
      </c>
      <c r="F47" s="7" t="str">
        <f>FR!E47</f>
        <v>Req</v>
      </c>
      <c r="G47" s="37" t="str">
        <f>IF(ISERROR(FIND("Adara 1.0",FR!F47)),
        IF(ISERROR(FIND("Adara 1.1",FR!F47)),
                IF(ISERROR(FIND("Deneb",FR!F47)),"errorRob","Deneb"),
         "Adara 1.1"),
  "Adara 1.0")</f>
        <v>Adara 1.0</v>
      </c>
      <c r="H47" s="19" t="str">
        <f>FR!I47</f>
        <v>Approved</v>
      </c>
      <c r="I47" s="7" t="str">
        <f>IF(ISBLANK(FR!G47),"",FR!G47)</f>
        <v/>
      </c>
      <c r="J47" s="6" t="str">
        <f>IF(ISBLANK(FR!H47),"",FR!H47)</f>
        <v>TR-DSRSW-2149  The product SHALL run on the DSR800 hardware platform</v>
      </c>
    </row>
    <row r="48" spans="1:10" ht="30" x14ac:dyDescent="0.25">
      <c r="A48" s="10" t="str">
        <f>FR!A48</f>
        <v>FR-DSRSW-1458</v>
      </c>
      <c r="B48" s="7" t="b">
        <f>ISERROR(FIND("-",FR!B48))</f>
        <v>0</v>
      </c>
      <c r="C48" s="7">
        <f>SetIndent(D48,(FR!C48-1)*2)</f>
        <v>2</v>
      </c>
      <c r="D48" s="34" t="str">
        <f>IF(ISERROR(FIND("-",FR!B48)),FR!B48&amp;" "&amp;FR!D48,FR!D48)</f>
        <v>The product SHALL support executing on DSR830 hardware platform.</v>
      </c>
      <c r="E48" s="7" t="str">
        <f>IF(H48="Modified",VLOOKUP(A48,'Prev PMR'!A$2:D$190,4),"")</f>
        <v/>
      </c>
      <c r="F48" s="7" t="str">
        <f>FR!E48</f>
        <v>Req</v>
      </c>
      <c r="G48" s="37" t="str">
        <f>IF(ISERROR(FIND("Adara 1.0",FR!F48)),
        IF(ISERROR(FIND("Adara 1.1",FR!F48)),
                IF(ISERROR(FIND("Deneb",FR!F48)),"errorRob","Deneb"),
         "Adara 1.1"),
  "Adara 1.0")</f>
        <v>Adara 1.0</v>
      </c>
      <c r="H48" s="19" t="str">
        <f>FR!I48</f>
        <v>Approved</v>
      </c>
      <c r="I48" s="7" t="str">
        <f>IF(ISBLANK(FR!G48),"",FR!G48)</f>
        <v/>
      </c>
      <c r="J48" s="6" t="str">
        <f>IF(ISBLANK(FR!H48),"",FR!H48)</f>
        <v>TR-DSRSW-2150  The product SHALL run on the DSR830 hardware platform
TR-DSRSW-2536  The product SHALL run on the DSR830p2 hardware platform</v>
      </c>
    </row>
    <row r="49" spans="1:10" ht="180" x14ac:dyDescent="0.25">
      <c r="A49" s="10" t="str">
        <f>FR!A49</f>
        <v>FR-DSRSW-1543</v>
      </c>
      <c r="B49" s="7" t="b">
        <f>ISERROR(FIND("-",FR!B49))</f>
        <v>0</v>
      </c>
      <c r="C49" s="7">
        <f>SetIndent(D49,(FR!C49-1)*2)</f>
        <v>2</v>
      </c>
      <c r="D49" s="34" t="str">
        <f>IF(ISERROR(FIND("-",FR!B49)),FR!B49&amp;" "&amp;FR!D49,FR!D49)</f>
        <v>The product SHALL have unique model ID.</v>
      </c>
      <c r="E49" s="7" t="str">
        <f>IF(H49="Modified",VLOOKUP(A49,'Prev PMR'!A$2:D$190,4),"")</f>
        <v/>
      </c>
      <c r="F49" s="7" t="str">
        <f>FR!E49</f>
        <v>Req</v>
      </c>
      <c r="G49" s="37" t="str">
        <f>IF(ISERROR(FIND("Adara 1.0",FR!F49)),
        IF(ISERROR(FIND("Adara 1.1",FR!F49)),
                IF(ISERROR(FIND("Deneb",FR!F49)),"errorRob","Deneb"),
         "Adara 1.1"),
  "Adara 1.0")</f>
        <v>Deneb</v>
      </c>
      <c r="H49" s="19" t="str">
        <f>FR!I49</f>
        <v>New</v>
      </c>
      <c r="I49" s="7" t="str">
        <f>IF(ISBLANK(FR!G49),"",FR!G49)</f>
        <v/>
      </c>
      <c r="J49" s="6" t="str">
        <f>IF(ISBLANK(FR!H49),"",FR!H49)</f>
        <v>TR-DSRSW-2565  The DSR800 SHALL have a model ID value of 0x0097 hexadecimal.
TR-DSRSW-2566  The DSR830 SHALL have a model ID value of 0x0096 hexadecimal.
TR-DSRSW-2567  The DSR830p2 SHALL have a model ID value of 0x0098 hexadecimal.
TR-DSRSW-2568  The DSR630 SHALL have a model ID value of 0x0094 hexadecimal.
TR-DSRSW-2569  The DSR605 SHALL have a model ID value of 0x0093 hexadecimal.
TR-DSRSW-2570  The DSR600 SHALL have a model ID value of 0x0095 hexadecimal.</v>
      </c>
    </row>
    <row r="50" spans="1:10" x14ac:dyDescent="0.25">
      <c r="A50" s="10" t="str">
        <f>FR!A50</f>
        <v>FR-DSRSW-1468</v>
      </c>
      <c r="B50" s="7" t="b">
        <f>ISERROR(FIND("-",FR!B50))</f>
        <v>1</v>
      </c>
      <c r="C50" s="7">
        <f>SetIndent(D50,(FR!C50-1)*2)</f>
        <v>0</v>
      </c>
      <c r="D50" s="33" t="str">
        <f>IF(ISERROR(FIND("-",FR!B50)),FR!B50&amp;" "&amp;FR!D50,FR!D50)</f>
        <v>5 Flash Storage of Platform Software</v>
      </c>
      <c r="E50" s="7" t="str">
        <f>IF(H50="Modified",VLOOKUP(A50,'Prev PMR'!A$2:D$190,4),"")</f>
        <v/>
      </c>
      <c r="F50" s="7" t="str">
        <f>FR!E50</f>
        <v>Com</v>
      </c>
      <c r="G50" s="37" t="str">
        <f>IF(ISERROR(FIND("Adara 1.0",FR!F50)),
        IF(ISERROR(FIND("Adara 1.1",FR!F50)),
                IF(ISERROR(FIND("Deneb",FR!F50)),"errorRob","Deneb"),
         "Adara 1.1"),
  "Adara 1.0")</f>
        <v>Adara 1.0</v>
      </c>
      <c r="H50" s="19" t="str">
        <f>FR!I50</f>
        <v>Approved</v>
      </c>
      <c r="I50" s="7" t="str">
        <f>IF(ISBLANK(FR!G50),"",FR!G50)</f>
        <v/>
      </c>
      <c r="J50" s="6" t="str">
        <f>IF(ISBLANK(FR!H50),"",FR!H50)</f>
        <v xml:space="preserve">TR-DSRSW-2151 Flash Storage of Platform Software </v>
      </c>
    </row>
    <row r="51" spans="1:10" ht="120" x14ac:dyDescent="0.25">
      <c r="A51" s="10" t="str">
        <f>FR!A51</f>
        <v>FR-DSRSW-1331</v>
      </c>
      <c r="B51" s="7" t="b">
        <f>ISERROR(FIND("-",FR!B51))</f>
        <v>0</v>
      </c>
      <c r="C51" s="7">
        <f>SetIndent(D51,(FR!C51-1)*2)</f>
        <v>2</v>
      </c>
      <c r="D51" s="34" t="str">
        <f>IF(ISERROR(FIND("-",FR!B51)),FR!B51&amp;" "&amp;FR!D51,FR!D51)</f>
        <v>The product SHALL maintain the last known good platform software.</v>
      </c>
      <c r="E51" s="7" t="str">
        <f>IF(H51="Modified",VLOOKUP(A51,'Prev PMR'!A$2:D$190,4),"")</f>
        <v/>
      </c>
      <c r="F51" s="7" t="str">
        <f>FR!E51</f>
        <v>Req</v>
      </c>
      <c r="G51" s="37" t="str">
        <f>IF(ISERROR(FIND("Adara 1.0",FR!F51)),
        IF(ISERROR(FIND("Adara 1.1",FR!F51)),
                IF(ISERROR(FIND("Deneb",FR!F51)),"errorRob","Deneb"),
         "Adara 1.1"),
  "Adara 1.0")</f>
        <v>Adara 1.0</v>
      </c>
      <c r="H51" s="19" t="str">
        <f>FR!I51</f>
        <v>Approved</v>
      </c>
      <c r="I51" s="7" t="str">
        <f>IF(ISBLANK(FR!G51),"",FR!G51)</f>
        <v/>
      </c>
      <c r="J51" s="6" t="str">
        <f>IF(ISBLANK(FR!H51),"",FR!H51)</f>
        <v>TR-DSRSW-1335  The product SHALL retain the platform object stored in FLASH memory through an A/C power cycle or dropout or through a reset.
TR-DSRSW-1336  The product SHALL delete the old platform object from FLASH memory only after a new platform object has been authenticated and stored to FLASH memory.
TR-DSRSW-1337  When storing its platform object in FLASH memory, the product SHALL delete the old platform object from FLASH memory once the new platform object has been authenticated and stored to FLASH memory.</v>
      </c>
    </row>
    <row r="52" spans="1:10" x14ac:dyDescent="0.25">
      <c r="A52" s="10" t="str">
        <f>FR!A52</f>
        <v>FR-DSRSW-1499</v>
      </c>
      <c r="B52" s="7" t="b">
        <f>ISERROR(FIND("-",FR!B52))</f>
        <v>1</v>
      </c>
      <c r="C52" s="7">
        <f>SetIndent(D52,(FR!C52-1)*2)</f>
        <v>0</v>
      </c>
      <c r="D52" s="33" t="str">
        <f>IF(ISERROR(FIND("-",FR!B52)),FR!B52&amp;" "&amp;FR!D52,FR!D52)</f>
        <v>6 OS</v>
      </c>
      <c r="E52" s="7" t="str">
        <f>IF(H52="Modified",VLOOKUP(A52,'Prev PMR'!A$2:D$190,4),"")</f>
        <v/>
      </c>
      <c r="F52" s="7" t="str">
        <f>FR!E52</f>
        <v>Com</v>
      </c>
      <c r="G52" s="37" t="str">
        <f>IF(ISERROR(FIND("Adara 1.0",FR!F52)),
        IF(ISERROR(FIND("Adara 1.1",FR!F52)),
                IF(ISERROR(FIND("Deneb",FR!F52)),"errorRob","Deneb"),
         "Adara 1.1"),
  "Adara 1.0")</f>
        <v>Adara 1.0</v>
      </c>
      <c r="H52" s="19" t="str">
        <f>FR!I52</f>
        <v>Approved</v>
      </c>
      <c r="I52" s="7" t="str">
        <f>IF(ISBLANK(FR!G52),"",FR!G52)</f>
        <v/>
      </c>
      <c r="J52" s="6" t="str">
        <f>IF(ISBLANK(FR!H52),"",FR!H52)</f>
        <v xml:space="preserve">TR-DSRSW-2207 Operating System </v>
      </c>
    </row>
    <row r="53" spans="1:10" ht="45" x14ac:dyDescent="0.25">
      <c r="A53" s="10" t="str">
        <f>FR!A53</f>
        <v>FR-DSRSW-1465</v>
      </c>
      <c r="B53" s="7" t="b">
        <f>ISERROR(FIND("-",FR!B53))</f>
        <v>0</v>
      </c>
      <c r="C53" s="7">
        <f>SetIndent(D53,(FR!C53-1)*2)</f>
        <v>2</v>
      </c>
      <c r="D53" s="34" t="str">
        <f>IF(ISERROR(FIND("-",FR!B53)),FR!B53&amp;" "&amp;FR!D53,FR!D53)</f>
        <v>The product SHALL support the Linux operating system.</v>
      </c>
      <c r="E53" s="7" t="str">
        <f>IF(H53="Modified",VLOOKUP(A53,'Prev PMR'!A$2:D$190,4),"")</f>
        <v/>
      </c>
      <c r="F53" s="7" t="str">
        <f>FR!E53</f>
        <v>Req</v>
      </c>
      <c r="G53" s="37" t="str">
        <f>IF(ISERROR(FIND("Adara 1.0",FR!F53)),
        IF(ISERROR(FIND("Adara 1.1",FR!F53)),
                IF(ISERROR(FIND("Deneb",FR!F53)),"errorRob","Deneb"),
         "Adara 1.1"),
  "Adara 1.0")</f>
        <v>Adara 1.0</v>
      </c>
      <c r="H53" s="19" t="str">
        <f>FR!I53</f>
        <v>Approved</v>
      </c>
      <c r="I53" s="7" t="str">
        <f>IF(ISBLANK(FR!G53),"",FR!G53)</f>
        <v/>
      </c>
      <c r="J53" s="6" t="str">
        <f>IF(ISBLANK(FR!H53),"",FR!H53)</f>
        <v>TR-DSRSW-2207 Operating System 
TR-DSRSW-2208  The product SHALL run on the Linux operating system
TR-DSRSW-2521  The product SHALL run on the VxWorks operating system</v>
      </c>
    </row>
    <row r="54" spans="1:10" ht="30" x14ac:dyDescent="0.25">
      <c r="A54" s="10" t="str">
        <f>FR!A54</f>
        <v>FR-DSRSW-1327</v>
      </c>
      <c r="B54" s="7" t="b">
        <f>ISERROR(FIND("-",FR!B54))</f>
        <v>1</v>
      </c>
      <c r="C54" s="7">
        <f>SetIndent(D54,(FR!C54-1)*2)</f>
        <v>0</v>
      </c>
      <c r="D54" s="33" t="str">
        <f>IF(ISERROR(FIND("-",FR!B54)),FR!B54&amp;" "&amp;FR!D54,FR!D54)</f>
        <v>7 Application Support</v>
      </c>
      <c r="E54" s="7" t="str">
        <f>IF(H54="Modified",VLOOKUP(A54,'Prev PMR'!A$2:D$190,4),"")</f>
        <v/>
      </c>
      <c r="F54" s="7" t="str">
        <f>FR!E54</f>
        <v>Com</v>
      </c>
      <c r="G54" s="37" t="str">
        <f>IF(ISERROR(FIND("Adara 1.0",FR!F54)),
        IF(ISERROR(FIND("Adara 1.1",FR!F54)),
                IF(ISERROR(FIND("Deneb",FR!F54)),"errorRob","Deneb"),
         "Adara 1.1"),
  "Adara 1.0")</f>
        <v>Adara 1.0</v>
      </c>
      <c r="H54" s="19" t="str">
        <f>FR!I54</f>
        <v>Approved</v>
      </c>
      <c r="I54" s="7" t="str">
        <f>IF(ISBLANK(FR!G54),"",FR!G54)</f>
        <v/>
      </c>
      <c r="J54" s="6" t="str">
        <f>IF(ISBLANK(FR!H54),"",FR!H54)</f>
        <v xml:space="preserve">TR-DSRSW-1327 Application Support 
TR-DSRSW-2153 Application Support </v>
      </c>
    </row>
    <row r="55" spans="1:10" x14ac:dyDescent="0.25">
      <c r="A55" s="10" t="str">
        <f>FR!A55</f>
        <v>FR-DSRSW-1344</v>
      </c>
      <c r="B55" s="7" t="b">
        <f>ISERROR(FIND("-",FR!B55))</f>
        <v>1</v>
      </c>
      <c r="C55" s="7">
        <f>SetIndent(D55,(FR!C55-1)*2)</f>
        <v>2</v>
      </c>
      <c r="D55" s="34" t="str">
        <f>IF(ISERROR(FIND("-",FR!B55)),FR!B55&amp;" "&amp;FR!D55,FR!D55)</f>
        <v>7.1 Application RAM</v>
      </c>
      <c r="E55" s="7" t="str">
        <f>IF(H55="Modified",VLOOKUP(A55,'Prev PMR'!A$2:D$190,4),"")</f>
        <v/>
      </c>
      <c r="F55" s="7" t="str">
        <f>FR!E55</f>
        <v>Com</v>
      </c>
      <c r="G55" s="37" t="str">
        <f>IF(ISERROR(FIND("Adara 1.0",FR!F55)),
        IF(ISERROR(FIND("Adara 1.1",FR!F55)),
                IF(ISERROR(FIND("Deneb",FR!F55)),"errorRob","Deneb"),
         "Adara 1.1"),
  "Adara 1.0")</f>
        <v>Adara 1.0</v>
      </c>
      <c r="H55" s="19" t="str">
        <f>FR!I55</f>
        <v>Approved</v>
      </c>
      <c r="I55" s="7" t="str">
        <f>IF(ISBLANK(FR!G55),"",FR!G55)</f>
        <v/>
      </c>
      <c r="J55" s="6" t="str">
        <f>IF(ISBLANK(FR!H55),"",FR!H55)</f>
        <v xml:space="preserve">TR-DSRSW-1448 Application RAM </v>
      </c>
    </row>
    <row r="56" spans="1:10" ht="60" x14ac:dyDescent="0.25">
      <c r="A56" s="10" t="str">
        <f>FR!A56</f>
        <v>FR-DSRSW-1345</v>
      </c>
      <c r="B56" s="7" t="b">
        <f>ISERROR(FIND("-",FR!B56))</f>
        <v>0</v>
      </c>
      <c r="C56" s="7">
        <f>SetIndent(D56,(FR!C56-1)*2)</f>
        <v>4</v>
      </c>
      <c r="D56" s="35" t="str">
        <f>IF(ISERROR(FIND("-",FR!B56)),FR!B56&amp;" "&amp;FR!D56,FR!D56)</f>
        <v>The product SHALL provide that at least 50% of DRAM is available for exclusive application use.</v>
      </c>
      <c r="E56" s="7" t="str">
        <f>IF(H56="Modified",VLOOKUP(A56,'Prev PMR'!A$2:D$190,4),"")</f>
        <v/>
      </c>
      <c r="F56" s="7" t="str">
        <f>FR!E56</f>
        <v>Req</v>
      </c>
      <c r="G56" s="37" t="str">
        <f>IF(ISERROR(FIND("Adara 1.0",FR!F56)),
        IF(ISERROR(FIND("Adara 1.1",FR!F56)),
                IF(ISERROR(FIND("Deneb",FR!F56)),"errorRob","Deneb"),
         "Adara 1.1"),
  "Adara 1.0")</f>
        <v>Adara 1.0</v>
      </c>
      <c r="H56" s="19" t="str">
        <f>FR!I56</f>
        <v>Approved</v>
      </c>
      <c r="I56" s="7" t="str">
        <f>IF(ISBLANK(FR!G56),"",FR!G56)</f>
        <v/>
      </c>
      <c r="J56" s="6" t="str">
        <f>IF(ISBLANK(FR!H56),"",FR!H56)</f>
        <v>TR-DSRSW-1450  The product SHALL make at least 50% of DRAM available to applications for the Adara feature set.
TR-DSRSW-2537  The product SHALL make at least 50% of DRAM available to applications for the Copernicus feature set.</v>
      </c>
    </row>
    <row r="57" spans="1:10" x14ac:dyDescent="0.25">
      <c r="A57" s="10" t="str">
        <f>FR!A57</f>
        <v>FR-DSRSW-1495</v>
      </c>
      <c r="B57" s="7" t="b">
        <f>ISERROR(FIND("-",FR!B57))</f>
        <v>1</v>
      </c>
      <c r="C57" s="7">
        <f>SetIndent(D57,(FR!C57-1)*2)</f>
        <v>2</v>
      </c>
      <c r="D57" s="34" t="str">
        <f>IF(ISERROR(FIND("-",FR!B57)),FR!B57&amp;" "&amp;FR!D57,FR!D57)</f>
        <v>7.2 General API Support</v>
      </c>
      <c r="E57" s="7" t="str">
        <f>IF(H57="Modified",VLOOKUP(A57,'Prev PMR'!A$2:D$190,4),"")</f>
        <v/>
      </c>
      <c r="F57" s="7" t="str">
        <f>FR!E57</f>
        <v>Com</v>
      </c>
      <c r="G57" s="37" t="str">
        <f>IF(ISERROR(FIND("Adara 1.0",FR!F57)),
        IF(ISERROR(FIND("Adara 1.1",FR!F57)),
                IF(ISERROR(FIND("Deneb",FR!F57)),"errorRob","Deneb"),
         "Adara 1.1"),
  "Adara 1.0")</f>
        <v>Adara 1.0</v>
      </c>
      <c r="H57" s="19" t="str">
        <f>FR!I57</f>
        <v>Approved</v>
      </c>
      <c r="I57" s="7" t="str">
        <f>IF(ISBLANK(FR!G57),"",FR!G57)</f>
        <v/>
      </c>
      <c r="J57" s="6" t="str">
        <f>IF(ISBLANK(FR!H57),"",FR!H57)</f>
        <v xml:space="preserve">TR-DSRSW-2211 General API Support </v>
      </c>
    </row>
    <row r="58" spans="1:10" ht="30" x14ac:dyDescent="0.25">
      <c r="A58" s="10" t="str">
        <f>FR!A58</f>
        <v>FR-DSRSW-1477</v>
      </c>
      <c r="B58" s="7" t="b">
        <f>ISERROR(FIND("-",FR!B58))</f>
        <v>0</v>
      </c>
      <c r="C58" s="7">
        <f>SetIndent(D58,(FR!C58-1)*2)</f>
        <v>4</v>
      </c>
      <c r="D58" s="35" t="str">
        <f>IF(ISERROR(FIND("-",FR!B58)),FR!B58&amp;" "&amp;FR!D58,FR!D58)</f>
        <v>The Arris platform layer shall provide an agreed API set common to the 8xx and 6xx platforms.</v>
      </c>
      <c r="E58" s="7" t="str">
        <f>IF(H58="Modified",VLOOKUP(A58,'Prev PMR'!A$2:D$190,4),"")</f>
        <v/>
      </c>
      <c r="F58" s="7" t="str">
        <f>FR!E58</f>
        <v>Req</v>
      </c>
      <c r="G58" s="37" t="str">
        <f>IF(ISERROR(FIND("Adara 1.0",FR!F58)),
        IF(ISERROR(FIND("Adara 1.1",FR!F58)),
                IF(ISERROR(FIND("Deneb",FR!F58)),"errorRob","Deneb"),
         "Adara 1.1"),
  "Adara 1.0")</f>
        <v>Adara 1.0</v>
      </c>
      <c r="H58" s="19" t="str">
        <f>FR!I58</f>
        <v>Approved</v>
      </c>
      <c r="I58" s="7" t="str">
        <f>IF(ISBLANK(FR!G58),"",FR!G58)</f>
        <v/>
      </c>
      <c r="J58" s="6" t="str">
        <f>IF(ISBLANK(FR!H58),"",FR!H58)</f>
        <v>TR-DSRSW-2217  The product SHALL support applictaions via the ARRIS Neptune API.</v>
      </c>
    </row>
    <row r="59" spans="1:10" ht="30" x14ac:dyDescent="0.25">
      <c r="A59" s="10" t="str">
        <f>FR!A59</f>
        <v>FR-DSRSW-1466</v>
      </c>
      <c r="B59" s="7" t="b">
        <f>ISERROR(FIND("-",FR!B59))</f>
        <v>0</v>
      </c>
      <c r="C59" s="7">
        <f>SetIndent(D59,(FR!C59-1)*2)</f>
        <v>4</v>
      </c>
      <c r="D59" s="35" t="str">
        <f>IF(ISERROR(FIND("-",FR!B59)),FR!B59&amp;" "&amp;FR!D59,FR!D59)</f>
        <v>The product SHALL support ARRIS Neptune middleware and API.</v>
      </c>
      <c r="E59" s="7" t="str">
        <f>IF(H59="Modified",VLOOKUP(A59,'Prev PMR'!A$2:D$190,4),"")</f>
        <v/>
      </c>
      <c r="F59" s="7" t="str">
        <f>FR!E59</f>
        <v>Req</v>
      </c>
      <c r="G59" s="37" t="str">
        <f>IF(ISERROR(FIND("Adara 1.0",FR!F59)),
        IF(ISERROR(FIND("Adara 1.1",FR!F59)),
                IF(ISERROR(FIND("Deneb",FR!F59)),"errorRob","Deneb"),
         "Adara 1.1"),
  "Adara 1.0")</f>
        <v>Adara 1.0</v>
      </c>
      <c r="H59" s="19" t="str">
        <f>FR!I59</f>
        <v>Approved</v>
      </c>
      <c r="I59" s="7" t="str">
        <f>IF(ISBLANK(FR!G59),"",FR!G59)</f>
        <v/>
      </c>
      <c r="J59" s="6" t="str">
        <f>IF(ISBLANK(FR!H59),"",FR!H59)</f>
        <v>TR-DSRSW-2217  The product SHALL support applictaions via the ARRIS Neptune API.</v>
      </c>
    </row>
    <row r="60" spans="1:10" ht="45" x14ac:dyDescent="0.25">
      <c r="A60" s="10" t="str">
        <f>FR!A60</f>
        <v>FR-DSRSW-1494</v>
      </c>
      <c r="B60" s="7" t="b">
        <f>ISERROR(FIND("-",FR!B60))</f>
        <v>0</v>
      </c>
      <c r="C60" s="7">
        <f>SetIndent(D60,(FR!C60-1)*2)</f>
        <v>4</v>
      </c>
      <c r="D60" s="35" t="str">
        <f>IF(ISERROR(FIND("-",FR!B60)),FR!B60&amp;" "&amp;FR!D60,FR!D60)</f>
        <v>The product SHALL support an OSD API seperate from the Neptune API, to allow seperate application porting and Neptune developement.</v>
      </c>
      <c r="E60" s="7" t="str">
        <f>IF(H60="Modified",VLOOKUP(A60,'Prev PMR'!A$2:D$190,4),"")</f>
        <v/>
      </c>
      <c r="F60" s="7" t="str">
        <f>FR!E60</f>
        <v>Req</v>
      </c>
      <c r="G60" s="37" t="str">
        <f>IF(ISERROR(FIND("Adara 1.0",FR!F60)),
        IF(ISERROR(FIND("Adara 1.1",FR!F60)),
                IF(ISERROR(FIND("Deneb",FR!F60)),"errorRob","Deneb"),
         "Adara 1.1"),
  "Adara 1.0")</f>
        <v>Adara 1.0</v>
      </c>
      <c r="H60" s="19" t="str">
        <f>FR!I60</f>
        <v>Approved</v>
      </c>
      <c r="I60" s="7" t="str">
        <f>IF(ISBLANK(FR!G60),"",FR!G60)</f>
        <v/>
      </c>
      <c r="J60" s="6" t="str">
        <f>IF(ISBLANK(FR!H60),"",FR!H60)</f>
        <v>TR-DSRSW-2235  The product SHALL support the OpenGL graphics library.
TR-DSRSW-2236  The product SHALL support a graphics library that is seperate from, and not dependant upon, the Neptune API.</v>
      </c>
    </row>
    <row r="61" spans="1:10" ht="45" x14ac:dyDescent="0.25">
      <c r="A61" s="10" t="str">
        <f>FR!A61</f>
        <v>FR-DSRSW-1467</v>
      </c>
      <c r="B61" s="7" t="b">
        <f>ISERROR(FIND("-",FR!B61))</f>
        <v>0</v>
      </c>
      <c r="C61" s="7">
        <f>SetIndent(D61,(FR!C61-1)*2)</f>
        <v>4</v>
      </c>
      <c r="D61" s="35" t="str">
        <f>IF(ISERROR(FIND("-",FR!B61)),FR!B61&amp;" "&amp;FR!D61,FR!D61)</f>
        <v>The product SHALL provide an inter-process communication (IPC) mechanism to decouple the Shaw Direct HD Guide application and ARRIS Neptune middleware.</v>
      </c>
      <c r="E61" s="7" t="str">
        <f>IF(H61="Modified",VLOOKUP(A61,'Prev PMR'!A$2:D$190,4),"")</f>
        <v/>
      </c>
      <c r="F61" s="7" t="str">
        <f>FR!E61</f>
        <v>Req</v>
      </c>
      <c r="G61" s="37" t="str">
        <f>IF(ISERROR(FIND("Adara 1.0",FR!F61)),
        IF(ISERROR(FIND("Adara 1.1",FR!F61)),
                IF(ISERROR(FIND("Deneb",FR!F61)),"errorRob","Deneb"),
         "Adara 1.1"),
  "Adara 1.0")</f>
        <v>Adara 1.0</v>
      </c>
      <c r="H61" s="19" t="str">
        <f>FR!I61</f>
        <v>Approved</v>
      </c>
      <c r="I61" s="7" t="str">
        <f>IF(ISBLANK(FR!G61),"",FR!G61)</f>
        <v/>
      </c>
      <c r="J61" s="6" t="str">
        <f>IF(ISBLANK(FR!H61),"",FR!H61)</f>
        <v>TR-DSRSW-2218  The product SHALL provide an inter-process communication (IPC) mechanism to decouple the Shaw Direct HD Guide application and ARRIS Neptune middleware.</v>
      </c>
    </row>
    <row r="62" spans="1:10" ht="30" x14ac:dyDescent="0.25">
      <c r="A62" s="10" t="str">
        <f>FR!A62</f>
        <v>FR-DSRSW-1513</v>
      </c>
      <c r="B62" s="7" t="b">
        <f>ISERROR(FIND("-",FR!B62))</f>
        <v>0</v>
      </c>
      <c r="C62" s="7">
        <f>SetIndent(D62,(FR!C62-1)*2)</f>
        <v>4</v>
      </c>
      <c r="D62" s="35" t="str">
        <f>IF(ISERROR(FIND("-",FR!B62)),FR!B62&amp;" "&amp;FR!D62,FR!D62)</f>
        <v>The product SHALL allow the application to select MPEG-2 transport data streams. (For example: guide stream, or EAS stream)</v>
      </c>
      <c r="E62" s="7" t="str">
        <f>IF(H62="Modified",VLOOKUP(A62,'Prev PMR'!A$2:D$190,4),"")</f>
        <v/>
      </c>
      <c r="F62" s="7" t="str">
        <f>FR!E62</f>
        <v>Req</v>
      </c>
      <c r="G62" s="37" t="str">
        <f>IF(ISERROR(FIND("Adara 1.0",FR!F62)),
        IF(ISERROR(FIND("Adara 1.1",FR!F62)),
                IF(ISERROR(FIND("Deneb",FR!F62)),"errorRob","Deneb"),
         "Adara 1.1"),
  "Adara 1.0")</f>
        <v>Adara 1.0</v>
      </c>
      <c r="H62" s="19" t="str">
        <f>FR!I62</f>
        <v>Approved</v>
      </c>
      <c r="I62" s="7" t="str">
        <f>IF(ISBLANK(FR!G62),"",FR!G62)</f>
        <v/>
      </c>
      <c r="J62" s="6" t="str">
        <f>IF(ISBLANK(FR!H62),"",FR!H62)</f>
        <v>TR-DSRSW-1342  The product SHALL be capable of allowing the application to select data streams by PID, MC16 address, and message type.</v>
      </c>
    </row>
    <row r="63" spans="1:10" ht="30" x14ac:dyDescent="0.25">
      <c r="A63" s="10" t="str">
        <f>FR!A63</f>
        <v>FR-DSRSW-1496</v>
      </c>
      <c r="B63" s="7" t="b">
        <f>ISERROR(FIND("-",FR!B63))</f>
        <v>1</v>
      </c>
      <c r="C63" s="7">
        <f>SetIndent(D63,(FR!C63-1)*2)</f>
        <v>2</v>
      </c>
      <c r="D63" s="34" t="str">
        <f>IF(ISERROR(FIND("-",FR!B63)),FR!B63&amp;" "&amp;FR!D63,FR!D63)</f>
        <v>7.3 Guide</v>
      </c>
      <c r="E63" s="7" t="str">
        <f>IF(H63="Modified",VLOOKUP(A63,'Prev PMR'!A$2:D$190,4),"")</f>
        <v/>
      </c>
      <c r="F63" s="7" t="str">
        <f>FR!E63</f>
        <v>Com</v>
      </c>
      <c r="G63" s="37" t="str">
        <f>IF(ISERROR(FIND("Adara 1.0",FR!F63)),
        IF(ISERROR(FIND("Adara 1.1",FR!F63)),
                IF(ISERROR(FIND("Deneb",FR!F63)),"errorRob","Deneb"),
         "Adara 1.1"),
  "Adara 1.0")</f>
        <v>Adara 1.0</v>
      </c>
      <c r="H63" s="19" t="str">
        <f>FR!I63</f>
        <v>Approved</v>
      </c>
      <c r="I63" s="7" t="str">
        <f>IF(ISBLANK(FR!G63),"",FR!G63)</f>
        <v/>
      </c>
      <c r="J63" s="6" t="str">
        <f>IF(ISBLANK(FR!H63),"",FR!H63)</f>
        <v xml:space="preserve">TR-DSRSW-2155 Guide App Support 
TR-DSRSW-2160 Guide </v>
      </c>
    </row>
    <row r="64" spans="1:10" ht="30" x14ac:dyDescent="0.25">
      <c r="A64" s="10" t="str">
        <f>FR!A64</f>
        <v>FR-DSRSW-1459</v>
      </c>
      <c r="B64" s="7" t="b">
        <f>ISERROR(FIND("-",FR!B64))</f>
        <v>0</v>
      </c>
      <c r="C64" s="7">
        <f>SetIndent(D64,(FR!C64-1)*2)</f>
        <v>4</v>
      </c>
      <c r="D64" s="35" t="str">
        <f>IF(ISERROR(FIND("-",FR!B64)),FR!B64&amp;" "&amp;FR!D64,FR!D64)</f>
        <v>The product SHALL support the Shaw Direct HD Guide application.</v>
      </c>
      <c r="E64" s="7" t="str">
        <f>IF(H64="Modified",VLOOKUP(A64,'Prev PMR'!A$2:D$190,4),"")</f>
        <v/>
      </c>
      <c r="F64" s="7" t="str">
        <f>FR!E64</f>
        <v>Req</v>
      </c>
      <c r="G64" s="37" t="str">
        <f>IF(ISERROR(FIND("Adara 1.0",FR!F64)),
        IF(ISERROR(FIND("Adara 1.1",FR!F64)),
                IF(ISERROR(FIND("Deneb",FR!F64)),"errorRob","Deneb"),
         "Adara 1.1"),
  "Adara 1.0")</f>
        <v>Adara 1.0</v>
      </c>
      <c r="H64" s="19" t="str">
        <f>FR!I64</f>
        <v>Approved</v>
      </c>
      <c r="I64" s="7" t="str">
        <f>IF(ISBLANK(FR!G64),"",FR!G64)</f>
        <v/>
      </c>
      <c r="J64" s="6" t="str">
        <f>IF(ISBLANK(FR!H64),"",FR!H64)</f>
        <v>TR-DSRSW-2158  The product SHALL support the Shaw Direct HD Guide application.</v>
      </c>
    </row>
    <row r="65" spans="1:10" x14ac:dyDescent="0.25">
      <c r="A65" s="10" t="str">
        <f>FR!A65</f>
        <v>FR-DSRSW-1544</v>
      </c>
      <c r="B65" s="7" t="b">
        <f>ISERROR(FIND("-",FR!B65))</f>
        <v>0</v>
      </c>
      <c r="C65" s="7">
        <f>SetIndent(D65,(FR!C65-1)*2)</f>
        <v>4</v>
      </c>
      <c r="D65" s="35" t="str">
        <f>IF(ISERROR(FIND("-",FR!B65)),FR!B65&amp;" "&amp;FR!D65,FR!D65)</f>
        <v>The product SHALL support the Shaw Direct Deneb application.</v>
      </c>
      <c r="E65" s="7" t="str">
        <f>IF(H65="Modified",VLOOKUP(A65,'Prev PMR'!A$2:D$190,4),"")</f>
        <v/>
      </c>
      <c r="F65" s="7" t="str">
        <f>FR!E65</f>
        <v>Req</v>
      </c>
      <c r="G65" s="37" t="str">
        <f>IF(ISERROR(FIND("Adara 1.0",FR!F65)),
        IF(ISERROR(FIND("Adara 1.1",FR!F65)),
                IF(ISERROR(FIND("Deneb",FR!F65)),"errorRob","Deneb"),
         "Adara 1.1"),
  "Adara 1.0")</f>
        <v>Deneb</v>
      </c>
      <c r="H65" s="19" t="str">
        <f>FR!I65</f>
        <v>New</v>
      </c>
      <c r="I65" s="7" t="str">
        <f>IF(ISBLANK(FR!G65),"",FR!G65)</f>
        <v/>
      </c>
      <c r="J65" s="6" t="str">
        <f>IF(ISBLANK(FR!H65),"",FR!H65)</f>
        <v>TR-DSRSW-2571  The product SHALL support the Shaw Direct Deneb application.</v>
      </c>
    </row>
    <row r="66" spans="1:10" ht="105" x14ac:dyDescent="0.25">
      <c r="A66" s="10" t="str">
        <f>FR!A66</f>
        <v>FR-DSRSW-1333</v>
      </c>
      <c r="B66" s="7" t="b">
        <f>ISERROR(FIND("-",FR!B66))</f>
        <v>0</v>
      </c>
      <c r="C66" s="7">
        <f>SetIndent(D66,(FR!C66-1)*2)</f>
        <v>4</v>
      </c>
      <c r="D66" s="35" t="str">
        <f>IF(ISERROR(FIND("-",FR!B66)),FR!B66&amp;" "&amp;FR!D66,FR!D66)</f>
        <v>The product SHALL support an alternate trickle stream.</v>
      </c>
      <c r="E66" s="7" t="str">
        <f>IF(H66="Modified",VLOOKUP(A66,'Prev PMR'!A$2:D$190,4),"")</f>
        <v/>
      </c>
      <c r="F66" s="7" t="str">
        <f>FR!E66</f>
        <v>Req</v>
      </c>
      <c r="G66" s="19" t="str">
        <f>IF(ISERROR(FIND("Adara 1.0",FR!F66)),
        IF(ISERROR(FIND("Adara 1.1",FR!F66)),
                IF(ISERROR(FIND("Deneb",FR!F66)),"errorRob","Deneb"),
         "Adara 1.1"),
  "Adara 1.0")</f>
        <v>Adara 1.0</v>
      </c>
      <c r="H66" s="19" t="str">
        <f>FR!I66</f>
        <v>Approved</v>
      </c>
      <c r="I66" s="7" t="str">
        <f>IF(ISBLANK(FR!G66),"",FR!G66)</f>
        <v/>
      </c>
      <c r="J66" s="6" t="str">
        <f>IF(ISBLANK(FR!H66),"",FR!H66)</f>
        <v>TR-DSRSW-1341 Guide Stream Support 
TR-DSRSW-1343  The product SHALL be capable of receiving Third Party Messages, Message Type = 0xA5, and forwarding those messages to the guide application.
TR-DSRSW-1344  The product SHALL be capable of receiving Third Party Messages, Message Type = 0xE6, and forwarding those messages to the guide application.</v>
      </c>
    </row>
    <row r="67" spans="1:10" x14ac:dyDescent="0.25">
      <c r="A67" s="10" t="str">
        <f>FR!A67</f>
        <v>FR-DSRSW-1498</v>
      </c>
      <c r="B67" s="7" t="b">
        <f>ISERROR(FIND("-",FR!B67))</f>
        <v>1</v>
      </c>
      <c r="C67" s="7">
        <f>SetIndent(D67,(FR!C67-1)*2)</f>
        <v>2</v>
      </c>
      <c r="D67" s="34" t="str">
        <f>IF(ISERROR(FIND("-",FR!B67)),FR!B67&amp;" "&amp;FR!D67,FR!D67)</f>
        <v>7.4 EAS (Emergency Alert Service)</v>
      </c>
      <c r="E67" s="7" t="str">
        <f>IF(H67="Modified",VLOOKUP(A67,'Prev PMR'!A$2:D$190,4),"")</f>
        <v/>
      </c>
      <c r="F67" s="7" t="str">
        <f>FR!E67</f>
        <v>Com</v>
      </c>
      <c r="G67" s="37" t="str">
        <f>IF(ISERROR(FIND("Adara 1.0",FR!F67)),
        IF(ISERROR(FIND("Adara 1.1",FR!F67)),
                IF(ISERROR(FIND("Deneb",FR!F67)),"errorRob","Deneb"),
         "Adara 1.1"),
  "Adara 1.0")</f>
        <v>Adara 1.0</v>
      </c>
      <c r="H67" s="19" t="str">
        <f>FR!I67</f>
        <v>Approved</v>
      </c>
      <c r="I67" s="7" t="str">
        <f>IF(ISBLANK(FR!G67),"",FR!G67)</f>
        <v/>
      </c>
      <c r="J67" s="6" t="str">
        <f>IF(ISBLANK(FR!H67),"",FR!H67)</f>
        <v/>
      </c>
    </row>
    <row r="68" spans="1:10" ht="60" x14ac:dyDescent="0.25">
      <c r="A68" s="10" t="str">
        <f>FR!A68</f>
        <v>FR-DSRSW-1335</v>
      </c>
      <c r="B68" s="7" t="b">
        <f>ISERROR(FIND("-",FR!B68))</f>
        <v>0</v>
      </c>
      <c r="C68" s="7">
        <f>SetIndent(D68,(FR!C68-1)*2)</f>
        <v>4</v>
      </c>
      <c r="D68" s="35" t="str">
        <f>IF(ISERROR(FIND("-",FR!B68)),FR!B68&amp;" "&amp;FR!D68,FR!D68)</f>
        <v>The product SHALL provide an API that allows applications to determine the product's geographic location.</v>
      </c>
      <c r="E68" s="7" t="str">
        <f>IF(H68="Modified",VLOOKUP(A68,'Prev PMR'!A$2:D$190,4),"")</f>
        <v/>
      </c>
      <c r="F68" s="7" t="str">
        <f>FR!E68</f>
        <v>Req</v>
      </c>
      <c r="G68" s="37" t="str">
        <f>IF(ISERROR(FIND("Adara 1.0",FR!F68)),
        IF(ISERROR(FIND("Adara 1.1",FR!F68)),
                IF(ISERROR(FIND("Deneb",FR!F68)),"errorRob","Deneb"),
         "Adara 1.1"),
  "Adara 1.0")</f>
        <v>Adara 1.0</v>
      </c>
      <c r="H68" s="19" t="str">
        <f>FR!I68</f>
        <v>Approved</v>
      </c>
      <c r="I68" s="7" t="str">
        <f>IF(ISBLANK(FR!G68),"",FR!G68)</f>
        <v/>
      </c>
      <c r="J68" s="6" t="str">
        <f>IF(ISBLANK(FR!H68),"",FR!H68)</f>
        <v xml:space="preserve">TR-DSRSW-1349 EAS 
TR-DSRSW-1350  The product SHALL provide an API that allows software applications to ascertain the three-coordinate geosynchronous location of the product, as given in the category rekey message [DCII ACP-1]. </v>
      </c>
    </row>
    <row r="69" spans="1:10" x14ac:dyDescent="0.25">
      <c r="A69" s="10" t="str">
        <f>FR!A69</f>
        <v>FR-DSRSW-1450</v>
      </c>
      <c r="B69" s="7" t="b">
        <f>ISERROR(FIND("-",FR!B69))</f>
        <v>1</v>
      </c>
      <c r="C69" s="7">
        <f>SetIndent(D69,(FR!C69-1)*2)</f>
        <v>2</v>
      </c>
      <c r="D69" s="34" t="str">
        <f>IF(ISERROR(FIND("-",FR!B69)),FR!B69&amp;" "&amp;FR!D69,FR!D69)</f>
        <v>7.5 EPMs (Mail)</v>
      </c>
      <c r="E69" s="7" t="str">
        <f>IF(H69="Modified",VLOOKUP(A69,'Prev PMR'!A$2:D$190,4),"")</f>
        <v/>
      </c>
      <c r="F69" s="7" t="str">
        <f>FR!E69</f>
        <v>Com</v>
      </c>
      <c r="G69" s="37" t="str">
        <f>IF(ISERROR(FIND("Adara 1.0",FR!F69)),
        IF(ISERROR(FIND("Adara 1.1",FR!F69)),
                IF(ISERROR(FIND("Deneb",FR!F69)),"errorRob","Deneb"),
         "Adara 1.1"),
  "Adara 1.0")</f>
        <v>Adara 1.0</v>
      </c>
      <c r="H69" s="19" t="str">
        <f>FR!I69</f>
        <v>Approved</v>
      </c>
      <c r="I69" s="7" t="str">
        <f>IF(ISBLANK(FR!G69),"",FR!G69)</f>
        <v/>
      </c>
      <c r="J69" s="6" t="str">
        <f>IF(ISBLANK(FR!H69),"",FR!H69)</f>
        <v/>
      </c>
    </row>
    <row r="70" spans="1:10" ht="255" x14ac:dyDescent="0.25">
      <c r="A70" s="10" t="str">
        <f>FR!A70</f>
        <v>FR-DSRSW-1451</v>
      </c>
      <c r="B70" s="7" t="b">
        <f>ISERROR(FIND("-",FR!B70))</f>
        <v>0</v>
      </c>
      <c r="C70" s="7">
        <f>SetIndent(D70,(FR!C70-1)*2)</f>
        <v>4</v>
      </c>
      <c r="D70" s="35" t="str">
        <f>IF(ISERROR(FIND("-",FR!B70)),FR!B70&amp;" "&amp;FR!D70,FR!D70)</f>
        <v>The product SHALL support Electronic Personal Messages (EPMS), a.k.a. "Mail."</v>
      </c>
      <c r="E70" s="7" t="str">
        <f>IF(H70="Modified",VLOOKUP(A70,'Prev PMR'!A$2:D$190,4),"")</f>
        <v/>
      </c>
      <c r="F70" s="7" t="str">
        <f>FR!E70</f>
        <v>Req</v>
      </c>
      <c r="G70" s="37" t="str">
        <f>IF(ISERROR(FIND("Adara 1.0",FR!F70)),
        IF(ISERROR(FIND("Adara 1.1",FR!F70)),
                IF(ISERROR(FIND("Deneb",FR!F70)),"errorRob","Deneb"),
         "Adara 1.1"),
  "Adara 1.0")</f>
        <v>Adara 1.0</v>
      </c>
      <c r="H70" s="19" t="str">
        <f>FR!I70</f>
        <v>Approved</v>
      </c>
      <c r="I70" s="7" t="str">
        <f>IF(ISBLANK(FR!G70),"",FR!G70)</f>
        <v/>
      </c>
      <c r="J70" s="6" t="str">
        <f>IF(ISBLANK(FR!H70),"",FR!H70)</f>
        <v>TR-DSRSW-2124 Electronic Personal Messages (EPMS) a.k.a., "Mail"
TR-DSRSW-2125  The Product SHALL process Unit addressed EPMs (Electronic Personal Messages). 
TR-DSRSW-2126  The Product SHALL display "immediate display"EPMs until either the OSD timeout is exceeded, or an item with higher OSD precedence is displayed.
TR-DSRSW-2127  The Product SHALL display "non-immediate display" EPMs when the user selects the message within the mail application. 
TR-DSRSW-2128  The Product SHALL display "store till read" EPMs when the user selects the message within the mail application. 
TR-DSRSW-2129  The Product SHALL retain EPMs through an AC Power Reset. 
TR-DSRSW-2130  The Product SHALL process EPMs while in stand-by.
TR-DSRSW-2131  The Product SHALL discard EPMs during a Factory Reset.
TR-DSRSW-2132  The Poduct SHALL, after the IRD displays an EPM, represent that EPM as a "read" message (that is, "not new"), including after a power cycle. 
TR-DSRSW-2242  NOTE:  The requirements in this section are for Test only.  The Shaw app implements EPM handling.</v>
      </c>
    </row>
    <row r="71" spans="1:10" ht="30" x14ac:dyDescent="0.25">
      <c r="A71" s="10" t="str">
        <f>FR!A71</f>
        <v>FR-DSRSW-1511</v>
      </c>
      <c r="B71" s="7" t="b">
        <f>ISERROR(FIND("-",FR!B71))</f>
        <v>1</v>
      </c>
      <c r="C71" s="7">
        <f>SetIndent(D71,(FR!C71-1)*2)</f>
        <v>2</v>
      </c>
      <c r="D71" s="34" t="str">
        <f>IF(ISERROR(FIND("-",FR!B71)),FR!B71&amp;" "&amp;FR!D71,FR!D71)</f>
        <v>7.6 TAMs</v>
      </c>
      <c r="E71" s="7" t="str">
        <f>IF(H71="Modified",VLOOKUP(A71,'Prev PMR'!A$2:D$190,4),"")</f>
        <v/>
      </c>
      <c r="F71" s="7" t="str">
        <f>FR!E71</f>
        <v>Com</v>
      </c>
      <c r="G71" s="37" t="str">
        <f>IF(ISERROR(FIND("Adara 1.0",FR!F71)),
        IF(ISERROR(FIND("Adara 1.1",FR!F71)),
                IF(ISERROR(FIND("Deneb",FR!F71)),"errorRob","Deneb"),
         "Adara 1.1"),
  "Adara 1.0")</f>
        <v>Adara 1.0</v>
      </c>
      <c r="H71" s="19" t="str">
        <f>FR!I71</f>
        <v>Approved</v>
      </c>
      <c r="I71" s="7" t="str">
        <f>IF(ISBLANK(FR!G71),"",FR!G71)</f>
        <v/>
      </c>
      <c r="J71" s="6" t="str">
        <f>IF(ISBLANK(FR!H71),"",FR!H71)</f>
        <v>TR-DSRSW-2133 Non-Slotted Text Messages a.k.a., "TAMs" (Tier-Addressed Messages)</v>
      </c>
    </row>
    <row r="72" spans="1:10" ht="409.5" x14ac:dyDescent="0.25">
      <c r="A72" s="10" t="str">
        <f>FR!A72</f>
        <v>FR-DSRSW-1452</v>
      </c>
      <c r="B72" s="7" t="b">
        <f>ISERROR(FIND("-",FR!B72))</f>
        <v>0</v>
      </c>
      <c r="C72" s="7">
        <f>SetIndent(D72,(FR!C72-1)*2)</f>
        <v>4</v>
      </c>
      <c r="D72" s="35" t="str">
        <f>IF(ISERROR(FIND("-",FR!B72)),FR!B72&amp;" "&amp;FR!D72,FR!D72)</f>
        <v>The product SHALL support Non-Slotted Text Messages, a.k.a., "TAMs"(Tier-Addressed Messages).</v>
      </c>
      <c r="E72" s="7" t="str">
        <f>IF(H72="Modified",VLOOKUP(A72,'Prev PMR'!A$2:D$190,4),"")</f>
        <v/>
      </c>
      <c r="F72" s="7" t="str">
        <f>FR!E72</f>
        <v>Req</v>
      </c>
      <c r="G72" s="37" t="str">
        <f>IF(ISERROR(FIND("Adara 1.0",FR!F72)),
        IF(ISERROR(FIND("Adara 1.1",FR!F72)),
                IF(ISERROR(FIND("Deneb",FR!F72)),"errorRob","Deneb"),
         "Adara 1.1"),
  "Adara 1.0")</f>
        <v>Adara 1.0</v>
      </c>
      <c r="H72" s="19" t="str">
        <f>FR!I72</f>
        <v>Approved</v>
      </c>
      <c r="I72" s="7" t="str">
        <f>IF(ISBLANK(FR!G72),"",FR!G72)</f>
        <v/>
      </c>
      <c r="J72" s="6" t="str">
        <f>IF(ISBLANK(FR!H72),"",FR!H72)</f>
        <v>TR-DSRSW-2134  The product SHALL support Non-Slotted Messages (a.k.a., "TAMs). 
TR-DSRSW-2135  The product SHALL display the received Non-Slotted message text when the product's current state(s) match the Decoder Condition contained in the message preamble. 
TR-DSRSW-2136  The product SHALL support preamble "tier_match" state evaluation in the Non-Slotted message.  Note, the preamble may include zero, one, or more tier_match states.
TR-DSRSW-2137  The product SHALL support preamble "region" state evaluation in the Non-Slotted message.  Note, the preamble may include zero, one, or more tier_match states.  
TR-DSRSW-2138  The product SHALL support preamble "circle_test" (a.k.a. "Postal") state evaluation in the Non-Slotted message.  Note, the preamble may include zero, one, or more circle_match states.
TR-DSRSW-2139  The product SHALL consider the preamble "circular_blacked_out" state evaluation in the Non-Slotted message.  Note, the preamble may include zero or one circular_blacked_out state. 
TR-DSRSW-2140  The product SHALL support preamble "bought" state evaluation in the Non-Slotted message.  Note, the non-slotted text messages always include the bought state for evaluation.
TR-DSRSW-2141  The product SHALL support preamble condition evaluation for up to 10 states in the Non-Slotted message.
TR-DSRSW-2142  The product SHALL discontinue displaying a non-slotted text message if the display duration given in the non-slotted text message is exceeded.
TR-DSRSW-2143  The product SHALL discontinue displaying a non-slotted text message if the product's current state no longer matches the Decoder Condition.
TR-DSRSW-2144  The product SHALL discontinue displaying a non-slotted text message at the request of application software.
TR-DSRSW-2145  The product SHALL delete any current non-slotted text messages upon discontinuation of the service (for example, channel change).
TR-DSRSW-2146  The product SHALL delete all non-slotted text messages upon power interruption.</v>
      </c>
    </row>
    <row r="73" spans="1:10" ht="45" x14ac:dyDescent="0.25">
      <c r="A73" s="10" t="str">
        <f>FR!A73</f>
        <v>FR-DSRSW-1512</v>
      </c>
      <c r="B73" s="7" t="b">
        <f>ISERROR(FIND("-",FR!B73))</f>
        <v>1</v>
      </c>
      <c r="C73" s="7">
        <f>SetIndent(D73,(FR!C73-1)*2)</f>
        <v>0</v>
      </c>
      <c r="D73" s="33" t="str">
        <f>IF(ISERROR(FIND("-",FR!B73)),FR!B73&amp;" "&amp;FR!D73,FR!D73)</f>
        <v>8 Download</v>
      </c>
      <c r="E73" s="7" t="str">
        <f>IF(H73="Modified",VLOOKUP(A73,'Prev PMR'!A$2:D$190,4),"")</f>
        <v/>
      </c>
      <c r="F73" s="7" t="str">
        <f>FR!E73</f>
        <v>Com</v>
      </c>
      <c r="G73" s="37" t="str">
        <f>IF(ISERROR(FIND("Adara 1.0",FR!F73)),
        IF(ISERROR(FIND("Adara 1.1",FR!F73)),
                IF(ISERROR(FIND("Deneb",FR!F73)),"errorRob","Deneb"),
         "Adara 1.1"),
  "Adara 1.0")</f>
        <v>Adara 1.0</v>
      </c>
      <c r="H73" s="19" t="str">
        <f>FR!I73</f>
        <v>Approved</v>
      </c>
      <c r="I73" s="7" t="str">
        <f>IF(ISBLANK(FR!G73),"",FR!G73)</f>
        <v/>
      </c>
      <c r="J73" s="6" t="str">
        <f>IF(ISBLANK(FR!H73),"",FR!H73)</f>
        <v xml:space="preserve">TR-DSRSW-1351 Code Download over Satellite 
TR-DSRSW-2164 JTAG for Development Support 
TR-DSRSW-2165 General Code Download Requirements </v>
      </c>
    </row>
    <row r="74" spans="1:10" ht="409.5" x14ac:dyDescent="0.25">
      <c r="A74" s="10" t="str">
        <f>FR!A74</f>
        <v>FR-DSRSW-1336</v>
      </c>
      <c r="B74" s="7" t="b">
        <f>ISERROR(FIND("-",FR!B74))</f>
        <v>0</v>
      </c>
      <c r="C74" s="7">
        <f>SetIndent(D74,(FR!C74-1)*2)</f>
        <v>2</v>
      </c>
      <c r="D74" s="34" t="str">
        <f>IF(ISERROR(FIND("-",FR!B74)),FR!B74&amp;" "&amp;FR!D74,FR!D74)</f>
        <v>The product SHALL support code download over satellite.</v>
      </c>
      <c r="E74" s="7" t="str">
        <f>IF(H74="Modified",VLOOKUP(A74,'Prev PMR'!A$2:D$190,4),"")</f>
        <v/>
      </c>
      <c r="F74" s="7" t="str">
        <f>FR!E74</f>
        <v>Req</v>
      </c>
      <c r="G74" s="37" t="str">
        <f>IF(ISERROR(FIND("Adara 1.0",FR!F74)),
        IF(ISERROR(FIND("Adara 1.1",FR!F74)),
                IF(ISERROR(FIND("Deneb",FR!F74)),"errorRob","Deneb"),
         "Adara 1.1"),
  "Adara 1.0")</f>
        <v>Adara 1.0</v>
      </c>
      <c r="H74" s="19" t="str">
        <f>FR!I74</f>
        <v>Approved</v>
      </c>
      <c r="I74" s="7" t="str">
        <f>IF(ISBLANK(FR!G74),"",FR!G74)</f>
        <v/>
      </c>
      <c r="J74" s="6" t="str">
        <f>IF(ISBLANK(FR!H74),"",FR!H74)</f>
        <v>TR-DSRSW-1352  The product SHALL support an onboard JTAG connector for code download.
TR-DSRSW-1353  The product SHALL comply with the consumer IRD applicable requirements in 486998-001, the "DigiCipher II ROM Patch Code Download Specification."
TR-DSRSW-1354  The product SHALL be capable of executing downloaded code.
TR-DSRSW-1355  The product SHALL retain downloaded code in standby mode.
TR-DSRSW-1356  The product SHALL retain completed code updates when AC power is removed.
TR-DSRSW-1357  The product SHALL, through a code update, retain favorite channel selections. [Note: this requirement is implemented by Shaw, and tested by ARRIS]
TR-DSRSW-1358  The product SHALL, through a code update, retain the user password(s). [Note: this requirement is implemented by Shaw, and tested by ARRIS]
TR-DSRSW-1359  The product SHALL, through a code update, retain rating ceilings. [Note: this requirement is implemented by Shaw, and tested by ARRIS]
TR-DSRSW-1360  The product SHALL, through a code update, retain channel lockout selections. [Note: this requirement is implemented by Shaw, and tested by ARRIS]
TR-DSRSW-1362  The product SHALL, through a code update, retain scheduled recording settings. [Note: this requirement is implemented by Shaw, and tested by ARRIS]
TR-DSRSW-1363  The product SHALL, through a code update, retain network information tables.
TR-DSRSW-1364  The product SHALL, through a code update, retain the virtual channel table.
TR-DSRSW-1365  The product SHALL, through a code update, retain user video settings. [Note: this requirement is implemented by Shaw, and tested by ARRIS]
TR-DSRSW-1366  The product SHALL, through a code update, retain user audio settings. [Note: this requirement is implemented by Shaw, and tested by ARRIS]
TR-DSRSW-1367  The product SHALL, through a code update, retain user GUI language settings. [Note: this requirement is implemented by Shaw, and tested by ARRIS]
TR-DSRSW-1368  The product SHALL, through a code update, retain EPMs (Electronic Personal Mail). [Note: this requirement is implemented by Shaw, and tested by ARRIS]
TR-DSRSW-1369  The product SHALL, through a code update, retain geographic location.
TR-DSRSW-1370  The product SHALL, through a code update, retain region.
TR-DSRSW-1371  The product SHALL, through a code update, retain multicast 16 addresses.
TR-DSRSW-1372  The product SHALL, through a code update, retain last channel viewed. [Note: this requirement is implemented by Shaw, and tested by ARRIS]
TR-DSRSW-1373  The product SHALL, through a code update, retain tier authorizations.
TR-DSRSW-1374  The product SHALL, through a code update, retain the Remote Control Unit address.
TR-DSRSW-1375  The product SHALL download any file updates if the product has received a valid download_preamble() message with the force_download_now flag set to "yes." (NOTE: This will interrupt service if a tuner is not available].
TR-DSRSW-1376  The product SHALL initiate the code download process at 2:10 AM (+/- 5 min) local time if the product has received a valid download_preamble() message, subtype 0x00, with the force_download_now flag set to "no," AND a bought PPV program is not being viewed.
TR-DSRSW-1377  The product SHALL initiate the code download process at 2:40 AM (+/- 5 min) local time if the product has received a valid download_preamble() message, subtype 0x00, with the force_download_now flag set to "no," AND a bought IPPV program is not being viewed.
TR-DSRSW-1378  The product SHALL initiate the code download process at 3:10 AM (+/- 5 min) local time if the product has received a valid download_preamble() message, subtype 0x00, with the force_download_now flag set to "no," AND a bought IPPV program is not being viewed.
TR-DSRSW-1379  The product SHALL initiate the code download process at 3:40 AM (+/- 5 min) local time if the product has received a valid download_preamble() message, subtype 0x00, with the force_download_now flag set to "no," AND a bought IPPV program is not being viewed.
TR-DSRSW-1380  The product SHALL initiate the code download process at 4:10 AM (+/- 5 min) local time if the product has received a valid download_preamble() message, subtype 0x00, with the force_download_now flag set to "no," AND a bought IPPV program is not being viewed.
TR-DSRSW-1381  The product SHALL initiate the code download process at 4:40 AM (+/- 5 min) local time if the product has received a valid download_preamble() message, subtype 0x00, with the force_download_now flag set to "no," AND a bought IPPV program is not being viewed.
TR-DSRSW-1382  The product SHALL initiate the code download process at 5:10 AM (+/- 5 min) local time if the product has received a valid download_preamble() message, subtype 0x00, with the force_download_now flag set to "no," AND a bought IPPV program is not being viewed.
TR-DSRSW-1390  The product SHALL initiate the code download process if the user has taken the proper confirmation steps in the code download screen.
TR-DSRSW-1391 User Friendly Download Screen 
TR-DSRSW-1392  A User Friendly Download Screen is shown here as a reference:
TR-DSRSW-1393  The product SHALL display the "User Friendly Download Screen" when code download begins.
TR-DSRSW-1394  The product SHALL display the unit address on the User Friendly Download Screen.
TR-DSRSW-1395  The product SHALL display a timer that indicates the amount of time since code download started on the User Friendly Download Screen.
TR-DSRSW-1396  The product SHALL display, in English and French on the User Friendly Download Screen, a notification that a code download is in progress and not to unplug the unit.
TR-DSRSW-1397  The product SHALL display a download progress indication on the User Friendly Download Screen.
TR-DSRSW-1398  The product SHALL display, in English and French on the User Friendly Download Screen, a notification that to cancel the code download, the user can press the EXIT button on the RCU.  e.g., "To cancel this download, press EXIT".
TR-DSRSW-1399  The product SHALL cancel the download if the user presses the RCU EXIT button in the Download Screen.
TR-DSRSW-1400  The product SHALL display the User Friendly Download Screen when the remote control up or down arrow is pressed while the Standard Download Screen is active.
TR-DSRSW-1401 Standard Download Screen 
TR-DSRSW-1402  A Standard Download Screen is shown here as a reference:
TR-DSRSW-1403  The product SHALL display the Standard Download Screen when the remote control up or down arrow is pressed while the User Friendly Download Screen is active.
TR-DSRSW-1404  The product SHALL display the unit address on the Standard Download Screen.
TR-DSRSW-1405  The product SHALL display a timer that indicates the amount of time since code download started on the Standard Download Screen.
TR-DSRSW-1406  The product SHALL display the current "in unit" version of IPG in the Standard Download Screen.
TR-DSRSW-1407  The product SHALL display the current "in unit" version of Neptune in the Standard Download Screen.
TR-DSRSW-1408  The product SHALL display the current "in unit" versions of Packing List in the Standard Download Screen.
TR-DSRSW-1409  The product SHALL display the current "in unit" versions of Brcmlib in the Standard Download Screen.
TR-DSRSW-1410  The product SHALL display the current "target" version of IPG in the Standard Download Screen.
TR-DSRSW-1411  The product SHALL display the current "target" version of Neptune in the Standard Download Screen.
TR-DSRSW-1412  The product SHALL display the current "target" version of Packing List in the Standard Download Screen.
TR-DSRSW-1413  The product SHALL display the current "target" version of Brcmlib in the Standard Download Screen.
TR-DSRSW-1414  The product SHALL display the current "in unit" BSP version in the Standard Download Screen.
TR-DSRSW-1415  The product SHALL display the preamble/network PID in the Standard Download Screen.
TR-DSRSW-1416  The product SHALL display the Download PID in the Standard Download Screen.
TR-DSRSW-1417  The product SHALL display the Download Channel Number in the Standard Download Screen.
TR-DSRSW-1418  The product SHALL display the Transport Locked State in the Standard Download Screen.
TR-DSRSW-1419  The product SHALL display the Signal Level in the Standard Download Screen.
TR-DSRSW-1420  The product SHALL display the VCT ID in the Standard Download Screen.
TR-DSRSW-1421  The product SHALL display the download channel Frequency in the Standard Download Screen.
TR-DSRSW-1422  The product SHALL display the download channel Code Rate in the Standard Download Screen.
TR-DSRSW-1423  The product SHALL display the download channel Symbol Rate in the Standard Download Screen.
TR-DSRSW-1424  The product SHALL display the download state in the Standard Download Screen.
TR-DSRSW-1425  The product SHALL display the Total Files Collected in the Standard Download Screen.
TR-DSRSW-1426  The product SHALL display the Total Number of Files in the Standard Download Screen.
TR-DSRSW-1427  The product SHALL which indicate which files are collected with a "1" in the Standard Download Screen.
TR-DSRSW-1428  The product SHALL which indicate which files have not been collected with a "0" in the Standard Download Screen.
TR-DSRSW-1429  The product SHALL, in the Standard Download Screen, display the  Download Preamble Filter State (0,1,2) where 0 = no request, 1= waiting on PAT, 2=received.
TR-DSRSW-1430  The product SHALL, in the Standard Download Screen, display the Download Msg Filter State (0,1,2) 0=no request, 1=waiting on PMT/SMAP, 2=Messages being received.
TR-DSRSW-1431  The product SHALL, in the Standard Download Screen, display the Download Channel Tune State (0,1,2) 0=no tune request, 1=tuned no lock, 2, tuned and locked.
TR-DSRSW-1432  The product SHALL, in the Standard Download Screen, display the bad Section count.
TR-DSRSW-1433  The product SHALL, in the Standard Download Screen, display the Last Section Number.
TR-DSRSW-1434  The product SHALL, in the Standard Download Screen, display the Remaining Section Count.
TR-DSRSW-1435  The product SHALL, in the Standard Download Screen, display the Current Section Number.
TR-DSRSW-2166 Code Update Variable State Retention 
TR-DSRSW-2167 Code Download and Initiation 
TR-DSRSW-2168 Forced Download 
TR-DSRSW-2169 Opportunity Download 
TR-DSRSW-2171 User Download 
TR-DSRSW-2413 Download Status 
TR-DSRSW-2414  The product SHALL provide an API to allow the application to determine the code download progress.
TR-DSRSW-2415  The product SHALL provide an API to allow the application to determine the time since the code download started.
TR-DSRSW-2416  The product SHALL provide an API to allow the application to determine the current download status of the files being updated.
TR-DSRSW-2417  The product SHALL provide enough memory to complete a 100 MByte code download, without interrupting unit performance. (NOTE: Once the code has been downloaded, the actual code update may interrupt service.) 
TR-DSRSW-2434  Opportunity Download forces a download at night, or immeadiatly if the forced DL flag is set.
TR-DSRSW-2435  The product SHALL activate the newly downloaded code when the opportunity download is complete.
TR-DSRSW-2437  The product SHALL activate the newly downloaded code when the forced download is complete.
TR-DSRSW-2438  The Standard Download Screen is in the Shaw app domain.  However, Neptune does need to provide API that reports the download status.
TR-DSRSW-2439  The product SHALL display the current "target" BSP version in the Standard Download Screen.
TR-DSRSW-2479  The product SHALL alert the application of a forced download if the product has received a valid download_preamble() message with the force_download_now flag set to "yes."
TR-DSRSW-2480  The product SHALL alert the application of a opportunity download if the product has received a valid download_preamble() message with the force_download_now flag set to "no.</v>
      </c>
    </row>
    <row r="75" spans="1:10" ht="409.5" x14ac:dyDescent="0.25">
      <c r="A75" s="10" t="str">
        <f>FR!A75</f>
        <v>FR-DSRSW-1485</v>
      </c>
      <c r="B75" s="7" t="b">
        <f>ISERROR(FIND("-",FR!B75))</f>
        <v>0</v>
      </c>
      <c r="C75" s="7">
        <f>SetIndent(D75,(FR!C75-1)*2)</f>
        <v>2</v>
      </c>
      <c r="D75" s="34" t="str">
        <f>IF(ISERROR(FIND("-",FR!B75)),FR!B75&amp;" "&amp;FR!D75,FR!D75)</f>
        <v>The product SHALL support background code download.</v>
      </c>
      <c r="E75" s="7" t="str">
        <f>IF(H75="Modified",VLOOKUP(A75,'Prev PMR'!A$2:D$190,4),"")</f>
        <v/>
      </c>
      <c r="F75" s="7" t="str">
        <f>FR!E75</f>
        <v>Com</v>
      </c>
      <c r="G75" s="37" t="str">
        <f>IF(ISERROR(FIND("Adara 1.0",FR!F75)),
        IF(ISERROR(FIND("Adara 1.1",FR!F75)),
                IF(ISERROR(FIND("Deneb",FR!F75)),"errorRob","Deneb"),
         "Adara 1.1"),
  "Adara 1.0")</f>
        <v>Adara 1.0</v>
      </c>
      <c r="H75" s="19" t="str">
        <f>FR!I75</f>
        <v>Approved</v>
      </c>
      <c r="I75" s="7" t="str">
        <f>IF(ISBLANK(FR!G75),"",FR!G75)</f>
        <v/>
      </c>
      <c r="J75" s="6" t="str">
        <f>IF(ISBLANK(FR!H75),"",FR!H75)</f>
        <v>TR-DSRSW-1383  The product SHALL activate a completed code download if the product has: 
	(1) received a background download_preamble() message, subtype 0x01, with the code_application_mode set to "elective," AND 
	(2) the code_application_time is less than the current GPS time, AND 
	(3) a bought IPPV program is not being viewed.
TR-DSRSW-1384  The product SHALL initiate the code download process at 2:40 AM (+/- 5 min) local time if the product has received a valid download_preamble() message, subtype 0x01, with the code_application_mode set to "elective," AND the code_application_time is less than the current GPS time, AND a bought IPPV program is not being viewed.
TR-DSRSW-1385  The product SHALL initiate the code download process at 3:10 AM (+/- 5 min) local time if the product has received a valid download_preamble() message, subtype 0x01, with the code_application_mode set to "elective," AND the code_application_time is less than the current GPS time, AND a bought IPPV program is not being viewed.
TR-DSRSW-1386  The product SHALL initiate the code download process at 3:40 AM (+/- 5 min) local time if the product has received a valid download_preamble() message, subtype 0x01, with the code_application_mode set to "elective," AND the code_application_time is less than the current GPS time, AND a bought IPPV program is not being viewed.
TR-DSRSW-1387  The product SHALL initiate the code download process at 4:10 AM (+/- 5 min) local time if the product has received a valid download_preamble() message, subtype 0x01, with the code_application_mode set to "elective," AND the code_application_time is less than the current GPS time, AND a bought IPPV program is not being viewed.
TR-DSRSW-1388  The product SHALL initiate the code download process at 4:40 AM (+/- 5 min) local time if the product has received a valid download_preamble() message, subtype 0x01, with the code_application_mode set to "elective," AND the code_application_time is less than the current GPS time, AND a bought IPPV program is not being viewed.
TR-DSRSW-1389  The product SHALL initiate the code download process at 5:10 AM (+/- 5 min) local time if the product has received a valid download_preamble() message, subtype 0x01, with the code_application_mode set to "elective," AND the code_application_time is less than the current GPS time, AND a bought IPPV program is not being viewed.
TR-DSRSW-2170 Elective Download 
TR-DSRSW-2172  Note: The following "2:10 AM", etc. cases apply for the elective download when the application does not elect to take the download.  That is, the download will continue regardless, at the normal opportunity times.
TR-DSRSW-2401  The product SHALL provide an API to allow the application to determine if a background code update is available.
TR-DSRSW-2402  Typically, a DSR800 tuner will be available during standby mode.  A DSR830 tuner will be available when at least one of the two tuners is not being used. 
TR-DSRSW-2404  The product SHALL provide an API to allow the application to notify Neptune to start, or resume, code download collection.
TR-DSRSW-2405  The product SHALL provide an API to allow the application to notify Neptune to stop code download collection.
TR-DSRSW-2408  The product SHALL retain any code acquired during the code download process if the application stops the code download, except in the case of power loss.
TR-DSRSW-2409  The product SHALL resume code dowload after the application starts/resumes the code download.
TR-DSRSW-2410  The product SHALL discard the code download if the code download preamble is updated prior the code update.
TR-DSRSW-2411  The product SHALL provide an API to allow the application to determine when the code download is complete and the new code update is ready for activation.
TR-DSRSW-2412  The product SHALL provide an API to allow the application to activate the code update. (the application will reboot the STB to activate the code update)
TR-DSRSW-2436 Background Download 
TR-DSRSW-2441  The product SHALL discard the code download if the code download preamble is not received for 60 minutes.
TR-DSRSW-2479  The product SHALL alert the application of a forced download if the product has received a valid download_preamble() message with the force_download_now flag set to "yes."
TR-DSRSW-2480  The product SHALL alert the application of a opportunity download if the product has received a valid download_preamble() message with the force_download_now flag set to "no.
TR-DSRSW-2483  The product SHALL discard the code download in the event of power loss.</v>
      </c>
    </row>
    <row r="76" spans="1:10" x14ac:dyDescent="0.25">
      <c r="A76" s="10" t="str">
        <f>FR!A76</f>
        <v>FR-DSRSW-1337</v>
      </c>
      <c r="B76" s="7" t="b">
        <f>ISERROR(FIND("-",FR!B76))</f>
        <v>1</v>
      </c>
      <c r="C76" s="7">
        <f>SetIndent(D76,(FR!C76-1)*2)</f>
        <v>0</v>
      </c>
      <c r="D76" s="33" t="str">
        <f>IF(ISERROR(FIND("-",FR!B76)),FR!B76&amp;" "&amp;FR!D76,FR!D76)</f>
        <v>9 Boot</v>
      </c>
      <c r="E76" s="7" t="str">
        <f>IF(H76="Modified",VLOOKUP(A76,'Prev PMR'!A$2:D$190,4),"")</f>
        <v/>
      </c>
      <c r="F76" s="7" t="str">
        <f>FR!E76</f>
        <v>Com</v>
      </c>
      <c r="G76" s="37" t="str">
        <f>IF(ISERROR(FIND("Adara 1.0",FR!F76)),
        IF(ISERROR(FIND("Adara 1.1",FR!F76)),
                IF(ISERROR(FIND("Deneb",FR!F76)),"errorRob","Deneb"),
         "Adara 1.1"),
  "Adara 1.0")</f>
        <v>Adara 1.0</v>
      </c>
      <c r="H76" s="19" t="str">
        <f>FR!I76</f>
        <v>Approved</v>
      </c>
      <c r="I76" s="7" t="str">
        <f>IF(ISBLANK(FR!G76),"",FR!G76)</f>
        <v/>
      </c>
      <c r="J76" s="6" t="str">
        <f>IF(ISBLANK(FR!H76),"",FR!H76)</f>
        <v/>
      </c>
    </row>
    <row r="77" spans="1:10" x14ac:dyDescent="0.25">
      <c r="A77" s="10" t="str">
        <f>FR!A77</f>
        <v>FR-DSRSW-1338</v>
      </c>
      <c r="B77" s="7" t="b">
        <f>ISERROR(FIND("-",FR!B77))</f>
        <v>1</v>
      </c>
      <c r="C77" s="7">
        <f>SetIndent(D77,(FR!C77-1)*2)</f>
        <v>2</v>
      </c>
      <c r="D77" s="34" t="str">
        <f>IF(ISERROR(FIND("-",FR!B77)),FR!B77&amp;" "&amp;FR!D77,FR!D77)</f>
        <v>9.1 Boot Code</v>
      </c>
      <c r="E77" s="7" t="str">
        <f>IF(H77="Modified",VLOOKUP(A77,'Prev PMR'!A$2:D$190,4),"")</f>
        <v/>
      </c>
      <c r="F77" s="7" t="str">
        <f>FR!E77</f>
        <v>Com</v>
      </c>
      <c r="G77" s="37" t="str">
        <f>IF(ISERROR(FIND("Adara 1.0",FR!F77)),
        IF(ISERROR(FIND("Adara 1.1",FR!F77)),
                IF(ISERROR(FIND("Deneb",FR!F77)),"errorRob","Deneb"),
         "Adara 1.1"),
  "Adara 1.0")</f>
        <v>Adara 1.0</v>
      </c>
      <c r="H77" s="19" t="str">
        <f>FR!I77</f>
        <v>Approved</v>
      </c>
      <c r="I77" s="7" t="str">
        <f>IF(ISBLANK(FR!G77),"",FR!G77)</f>
        <v/>
      </c>
      <c r="J77" s="6" t="str">
        <f>IF(ISBLANK(FR!H77),"",FR!H77)</f>
        <v/>
      </c>
    </row>
    <row r="78" spans="1:10" ht="165" x14ac:dyDescent="0.25">
      <c r="A78" s="10" t="str">
        <f>FR!A78</f>
        <v>FR-DSRSW-1339</v>
      </c>
      <c r="B78" s="7" t="b">
        <f>ISERROR(FIND("-",FR!B78))</f>
        <v>0</v>
      </c>
      <c r="C78" s="7">
        <f>SetIndent(D78,(FR!C78-1)*2)</f>
        <v>4</v>
      </c>
      <c r="D78" s="35" t="str">
        <f>IF(ISERROR(FIND("-",FR!B78)),FR!B78&amp;" "&amp;FR!D78,FR!D78)</f>
        <v>The product SHALL provide boot code capable of authenticating a platform software image.</v>
      </c>
      <c r="E78" s="7" t="str">
        <f>IF(H78="Modified",VLOOKUP(A78,'Prev PMR'!A$2:D$190,4),"")</f>
        <v/>
      </c>
      <c r="F78" s="7" t="str">
        <f>FR!E78</f>
        <v>Req</v>
      </c>
      <c r="G78" s="37" t="str">
        <f>IF(ISERROR(FIND("Adara 1.0",FR!F78)),
        IF(ISERROR(FIND("Adara 1.1",FR!F78)),
                IF(ISERROR(FIND("Deneb",FR!F78)),"errorRob","Deneb"),
         "Adara 1.1"),
  "Adara 1.0")</f>
        <v>Adara 1.0</v>
      </c>
      <c r="H78" s="19" t="str">
        <f>FR!I78</f>
        <v>Approved</v>
      </c>
      <c r="I78" s="7" t="str">
        <f>IF(ISBLANK(FR!G78),"",FR!G78)</f>
        <v/>
      </c>
      <c r="J78" s="6" t="str">
        <f>IF(ISBLANK(FR!H78),"",FR!H78)</f>
        <v xml:space="preserve">TR-DSRSW-1436 Boot 
TR-DSRSW-1437 Boot Code 
TR-DSRSW-1438  The product SHALL provide boot code capable of authenticating a platform software image.
TR-DSRSW-1439  The product SHALL authenticate a Platform Object prior to enabling it at the completion of a download.
TR-DSRSW-1440  Note:  The use of the term "authenticate" is intended to refer to any method of verification of the correct object.
TR-DSRSW-1441 Boot from FLASH 
TR-DSRSW-1444 Remote Control Reset Sequence 
TR-DSRSW-1446 Maximum Boot Time </v>
      </c>
    </row>
    <row r="79" spans="1:10" x14ac:dyDescent="0.25">
      <c r="A79" s="10" t="str">
        <f>FR!A79</f>
        <v>FR-DSRSW-1340</v>
      </c>
      <c r="B79" s="7" t="b">
        <f>ISERROR(FIND("-",FR!B79))</f>
        <v>1</v>
      </c>
      <c r="C79" s="7">
        <f>SetIndent(D79,(FR!C79-1)*2)</f>
        <v>2</v>
      </c>
      <c r="D79" s="34" t="str">
        <f>IF(ISERROR(FIND("-",FR!B79)),FR!B79&amp;" "&amp;FR!D79,FR!D79)</f>
        <v>9.2 Boot from FLASH</v>
      </c>
      <c r="E79" s="7" t="str">
        <f>IF(H79="Modified",VLOOKUP(A79,'Prev PMR'!A$2:D$190,4),"")</f>
        <v/>
      </c>
      <c r="F79" s="7" t="str">
        <f>FR!E79</f>
        <v>Com</v>
      </c>
      <c r="G79" s="37" t="str">
        <f>IF(ISERROR(FIND("Adara 1.0",FR!F79)),
        IF(ISERROR(FIND("Adara 1.1",FR!F79)),
                IF(ISERROR(FIND("Deneb",FR!F79)),"errorRob","Deneb"),
         "Adara 1.1"),
  "Adara 1.0")</f>
        <v>Adara 1.0</v>
      </c>
      <c r="H79" s="19" t="str">
        <f>FR!I79</f>
        <v>Approved</v>
      </c>
      <c r="I79" s="7" t="str">
        <f>IF(ISBLANK(FR!G79),"",FR!G79)</f>
        <v/>
      </c>
      <c r="J79" s="6" t="str">
        <f>IF(ISBLANK(FR!H79),"",FR!H79)</f>
        <v/>
      </c>
    </row>
    <row r="80" spans="1:10" ht="30" x14ac:dyDescent="0.25">
      <c r="A80" s="10" t="str">
        <f>FR!A80</f>
        <v>FR-DSRSW-1341</v>
      </c>
      <c r="B80" s="7" t="b">
        <f>ISERROR(FIND("-",FR!B80))</f>
        <v>0</v>
      </c>
      <c r="C80" s="7">
        <f>SetIndent(D80,(FR!C80-1)*2)</f>
        <v>4</v>
      </c>
      <c r="D80" s="35" t="str">
        <f>IF(ISERROR(FIND("-",FR!B80)),FR!B80&amp;" "&amp;FR!D80,FR!D80)</f>
        <v>The product SHALL support loading platform software from FLASH.</v>
      </c>
      <c r="E80" s="7" t="str">
        <f>IF(H80="Modified",VLOOKUP(A80,'Prev PMR'!A$2:D$190,4),"")</f>
        <v/>
      </c>
      <c r="F80" s="7" t="str">
        <f>FR!E80</f>
        <v>Req</v>
      </c>
      <c r="G80" s="37" t="str">
        <f>IF(ISERROR(FIND("Adara 1.0",FR!F80)),
        IF(ISERROR(FIND("Adara 1.1",FR!F80)),
                IF(ISERROR(FIND("Deneb",FR!F80)),"errorRob","Deneb"),
         "Adara 1.1"),
  "Adara 1.0")</f>
        <v>Adara 1.0</v>
      </c>
      <c r="H80" s="19" t="str">
        <f>FR!I80</f>
        <v>Approved</v>
      </c>
      <c r="I80" s="7" t="str">
        <f>IF(ISBLANK(FR!G80),"",FR!G80)</f>
        <v/>
      </c>
      <c r="J80" s="6" t="str">
        <f>IF(ISBLANK(FR!H80),"",FR!H80)</f>
        <v>TR-DSRSW-1443  The product SHALL be capable of booting from FLASH memory after an AC power cycle or reset.</v>
      </c>
    </row>
    <row r="81" spans="1:10" x14ac:dyDescent="0.25">
      <c r="A81" s="10" t="str">
        <f>FR!A81</f>
        <v>FR-DSRSW-1510</v>
      </c>
      <c r="B81" s="7" t="b">
        <f>ISERROR(FIND("-",FR!B81))</f>
        <v>1</v>
      </c>
      <c r="C81" s="7">
        <f>SetIndent(D81,(FR!C81-1)*2)</f>
        <v>2</v>
      </c>
      <c r="D81" s="34" t="str">
        <f>IF(ISERROR(FIND("-",FR!B81)),FR!B81&amp;" "&amp;FR!D81,FR!D81)</f>
        <v>9.3 Startup</v>
      </c>
      <c r="E81" s="7" t="str">
        <f>IF(H81="Modified",VLOOKUP(A81,'Prev PMR'!A$2:D$190,4),"")</f>
        <v/>
      </c>
      <c r="F81" s="7" t="str">
        <f>FR!E81</f>
        <v>Com</v>
      </c>
      <c r="G81" s="37" t="str">
        <f>IF(ISERROR(FIND("Adara 1.0",FR!F81)),
        IF(ISERROR(FIND("Adara 1.1",FR!F81)),
                IF(ISERROR(FIND("Deneb",FR!F81)),"errorRob","Deneb"),
         "Adara 1.1"),
  "Adara 1.0")</f>
        <v>Adara 1.0</v>
      </c>
      <c r="H81" s="19" t="str">
        <f>FR!I81</f>
        <v>Approved</v>
      </c>
      <c r="I81" s="7" t="str">
        <f>IF(ISBLANK(FR!G81),"",FR!G81)</f>
        <v/>
      </c>
      <c r="J81" s="6" t="str">
        <f>IF(ISBLANK(FR!H81),"",FR!H81)</f>
        <v/>
      </c>
    </row>
    <row r="82" spans="1:10" ht="60" x14ac:dyDescent="0.25">
      <c r="A82" s="10" t="str">
        <f>FR!A82</f>
        <v>FR-DSRSW-1343</v>
      </c>
      <c r="B82" s="7" t="b">
        <f>ISERROR(FIND("-",FR!B82))</f>
        <v>0</v>
      </c>
      <c r="C82" s="7">
        <f>SetIndent(D82,(FR!C82-1)*2)</f>
        <v>4</v>
      </c>
      <c r="D82" s="35" t="str">
        <f>IF(ISERROR(FIND("-",FR!B82)),FR!B82&amp;" "&amp;FR!D82,FR!D82)</f>
        <v>The product SHALL be capable of completing execution of the boot code and begin execution of platform software available on the product within 15 seconds of application of power.</v>
      </c>
      <c r="E82" s="7" t="str">
        <f>IF(H82="Modified",VLOOKUP(A82,'Prev PMR'!A$2:D$190,4),"")</f>
        <v/>
      </c>
      <c r="F82" s="7" t="str">
        <f>FR!E82</f>
        <v>Req</v>
      </c>
      <c r="G82" s="37" t="str">
        <f>IF(ISERROR(FIND("Adara 1.0",FR!F82)),
        IF(ISERROR(FIND("Adara 1.1",FR!F82)),
                IF(ISERROR(FIND("Deneb",FR!F82)),"errorRob","Deneb"),
         "Adara 1.1"),
  "Adara 1.0")</f>
        <v>Adara 1.0</v>
      </c>
      <c r="H82" s="19" t="str">
        <f>FR!I82</f>
        <v>Approved</v>
      </c>
      <c r="I82" s="7" t="str">
        <f>IF(ISBLANK(FR!G82),"",FR!G82)</f>
        <v/>
      </c>
      <c r="J82" s="6" t="str">
        <f>IF(ISBLANK(FR!H82),"",FR!H82)</f>
        <v>TR-DSRSW-1447  The product SHALL complete execution of the boot code and authentication of the platform image within 15 seconds after an AC power cycle. [The requirement ends with beginning of platform software execution and only applies to a boot from FLASH, not a boot from the HDD or the network.]</v>
      </c>
    </row>
    <row r="83" spans="1:10" ht="75" x14ac:dyDescent="0.25">
      <c r="A83" s="10" t="str">
        <f>FR!A83</f>
        <v>FR-DSRSW-1472</v>
      </c>
      <c r="B83" s="7" t="b">
        <f>ISERROR(FIND("-",FR!B83))</f>
        <v>0</v>
      </c>
      <c r="C83" s="7">
        <f>SetIndent(D83,(FR!C83-1)*2)</f>
        <v>4</v>
      </c>
      <c r="D83" s="35" t="str">
        <f>IF(ISERROR(FIND("-",FR!B83)),FR!B83&amp;" "&amp;FR!D83,FR!D83)</f>
        <v xml:space="preserve">The product SHALL support synchronized startup, where the platform notifies the application when the platform layer is ready to use. If the DSR8xx platform startup time is higher than the current 6xx platform startup time then this discrepancy should be justified by Arris. </v>
      </c>
      <c r="E83" s="7" t="str">
        <f>IF(H83="Modified",VLOOKUP(A83,'Prev PMR'!A$2:D$190,4),"")</f>
        <v/>
      </c>
      <c r="F83" s="7" t="str">
        <f>FR!E83</f>
        <v>Req</v>
      </c>
      <c r="G83" s="37" t="str">
        <f>IF(ISERROR(FIND("Adara 1.0",FR!F83)),
        IF(ISERROR(FIND("Adara 1.1",FR!F83)),
                IF(ISERROR(FIND("Deneb",FR!F83)),"errorRob","Deneb"),
         "Adara 1.1"),
  "Adara 1.0")</f>
        <v>Adara 1.0</v>
      </c>
      <c r="H83" s="19" t="str">
        <f>FR!I83</f>
        <v>Approved</v>
      </c>
      <c r="I83" s="7" t="str">
        <f>IF(ISBLANK(FR!G83),"",FR!G83)</f>
        <v/>
      </c>
      <c r="J83" s="6" t="str">
        <f>IF(ISBLANK(FR!H83),"",FR!H83)</f>
        <v>TR-DSRSW-2232 Synchronized Startup 
TR-DSRSW-2233  The product SHALL start the Shaw application when the plaform layer is ready for use.
TR-DSRSW-2234  The product SHALL acheive a platform startup time that is less than the DSR6xx platform startup time.</v>
      </c>
    </row>
    <row r="84" spans="1:10" ht="60" x14ac:dyDescent="0.25">
      <c r="A84" s="10" t="str">
        <f>FR!A84</f>
        <v>FR-DSRSW-1342</v>
      </c>
      <c r="B84" s="7" t="b">
        <f>ISERROR(FIND("-",FR!B84))</f>
        <v>0</v>
      </c>
      <c r="C84" s="7">
        <f>SetIndent(D84,(FR!C84-1)*2)</f>
        <v>4</v>
      </c>
      <c r="D84" s="35" t="str">
        <f>IF(ISERROR(FIND("-",FR!B84)),FR!B84&amp;" "&amp;FR!D84,FR!D84)</f>
        <v>The product SHALL initiate a reboot cycle when the remote control reset sequence is entered.</v>
      </c>
      <c r="E84" s="7" t="str">
        <f>IF(H84="Modified",VLOOKUP(A84,'Prev PMR'!A$2:D$190,4),"")</f>
        <v/>
      </c>
      <c r="F84" s="7" t="str">
        <f>FR!E84</f>
        <v>Req</v>
      </c>
      <c r="G84" s="37" t="str">
        <f>IF(ISERROR(FIND("Adara 1.0",FR!F84)),
        IF(ISERROR(FIND("Adara 1.1",FR!F84)),
                IF(ISERROR(FIND("Deneb",FR!F84)),"errorRob","Deneb"),
         "Adara 1.1"),
  "Adara 1.0")</f>
        <v>Adara 1.0</v>
      </c>
      <c r="H84" s="19" t="str">
        <f>FR!I84</f>
        <v>Approved</v>
      </c>
      <c r="I84" s="7" t="str">
        <f>IF(ISBLANK(FR!G84),"",FR!G84)</f>
        <v/>
      </c>
      <c r="J84" s="6" t="str">
        <f>IF(ISBLANK(FR!H84),"",FR!H84)</f>
        <v>TR-DSRSW-1445  The product SHALL invoke a system reset if the remote control button sequence, "HELP, OPTIONS, POWER," is received with less than 1 second between each button press, provided that the firmware is functioning properly (that is, not unresponsive or otherwise disabled).</v>
      </c>
    </row>
    <row r="85" spans="1:10" x14ac:dyDescent="0.25">
      <c r="A85" s="10" t="str">
        <f>FR!A85</f>
        <v>FR-DSRSW-1524</v>
      </c>
      <c r="B85" s="7" t="b">
        <f>ISERROR(FIND("-",FR!B85))</f>
        <v>1</v>
      </c>
      <c r="C85" s="7">
        <f>SetIndent(D85,(FR!C85-1)*2)</f>
        <v>0</v>
      </c>
      <c r="D85" s="33" t="str">
        <f>IF(ISERROR(FIND("-",FR!B85)),FR!B85&amp;" "&amp;FR!D85,FR!D85)</f>
        <v>10 Remote Control Interface</v>
      </c>
      <c r="E85" s="7" t="str">
        <f>IF(H85="Modified",VLOOKUP(A85,'Prev PMR'!A$2:D$190,4),"")</f>
        <v/>
      </c>
      <c r="F85" s="7" t="str">
        <f>FR!E85</f>
        <v>Com</v>
      </c>
      <c r="G85" s="37" t="str">
        <f>IF(ISERROR(FIND("Adara 1.0",FR!F85)),
        IF(ISERROR(FIND("Adara 1.1",FR!F85)),
                IF(ISERROR(FIND("Deneb",FR!F85)),"errorRob","Deneb"),
         "Adara 1.1"),
  "Adara 1.0")</f>
        <v>Adara 1.0</v>
      </c>
      <c r="H85" s="19" t="str">
        <f>FR!I85</f>
        <v>Approved</v>
      </c>
      <c r="I85" s="7" t="str">
        <f>IF(ISBLANK(FR!G85),"",FR!G85)</f>
        <v/>
      </c>
      <c r="J85" s="6" t="str">
        <f>IF(ISBLANK(FR!H85),"",FR!H85)</f>
        <v/>
      </c>
    </row>
    <row r="86" spans="1:10" ht="75" x14ac:dyDescent="0.25">
      <c r="A86" s="10" t="str">
        <f>FR!A86</f>
        <v>FR-DSRSW-1525</v>
      </c>
      <c r="B86" s="7" t="b">
        <f>ISERROR(FIND("-",FR!B86))</f>
        <v>0</v>
      </c>
      <c r="C86" s="7">
        <f>SetIndent(D86,(FR!C86-1)*2)</f>
        <v>2</v>
      </c>
      <c r="D86" s="34" t="str">
        <f>IF(ISERROR(FIND("-",FR!B86)),FR!B86&amp;" "&amp;FR!D86,FR!D86)</f>
        <v>The product shalll provide a Remote Control Unit (RCU) Infrared interface.</v>
      </c>
      <c r="E86" s="7" t="str">
        <f>IF(H86="Modified",VLOOKUP(A86,'Prev PMR'!A$2:D$190,4),"")</f>
        <v/>
      </c>
      <c r="F86" s="7" t="str">
        <f>FR!E86</f>
        <v>Req</v>
      </c>
      <c r="G86" s="37" t="str">
        <f>IF(ISERROR(FIND("Adara 1.0",FR!F86)),
        IF(ISERROR(FIND("Adara 1.1",FR!F86)),
                IF(ISERROR(FIND("Deneb",FR!F86)),"errorRob","Deneb"),
         "Adara 1.1"),
  "Adara 1.0")</f>
        <v>Adara 1.0</v>
      </c>
      <c r="H86" s="19" t="str">
        <f>FR!I86</f>
        <v>Approved</v>
      </c>
      <c r="I86" s="7" t="str">
        <f>IF(ISBLANK(FR!G86),"",FR!G86)</f>
        <v/>
      </c>
      <c r="J86" s="6" t="str">
        <f>IF(ISBLANK(FR!H86),"",FR!H86)</f>
        <v>TR-DSRSW-2379 Remote Control Interface 
TR-DSRSW-2380  The product SHALL provide an API to set the Remote Control Unit (RCU) IR interface address to a value from 0 to 7.
TR-DSRSW-2397  The product SHALL provide an API to allow the appliaction to receive RCU IR commands for the selected RCU IR interface address.</v>
      </c>
    </row>
    <row r="87" spans="1:10" ht="120" x14ac:dyDescent="0.25">
      <c r="A87" s="10" t="str">
        <f>FR!A87</f>
        <v>FR-DSRSW-1526</v>
      </c>
      <c r="B87" s="7" t="b">
        <f>ISERROR(FIND("-",FR!B87))</f>
        <v>0</v>
      </c>
      <c r="C87" s="7">
        <f>SetIndent(D87,(FR!C87-1)*2)</f>
        <v>2</v>
      </c>
      <c r="D87" s="34" t="str">
        <f>IF(ISERROR(FIND("-",FR!B87)),FR!B87&amp;" "&amp;FR!D87,FR!D87)</f>
        <v>The DSR830 product shalll provide a Remote Control Unit (RCU) UHF interface.</v>
      </c>
      <c r="E87" s="7" t="str">
        <f>IF(H87="Modified",VLOOKUP(A87,'Prev PMR'!A$2:D$190,4),"")</f>
        <v/>
      </c>
      <c r="F87" s="7" t="str">
        <f>FR!E87</f>
        <v>Req</v>
      </c>
      <c r="G87" s="37" t="str">
        <f>IF(ISERROR(FIND("Adara 1.0",FR!F87)),
        IF(ISERROR(FIND("Adara 1.1",FR!F87)),
                IF(ISERROR(FIND("Deneb",FR!F87)),"errorRob","Deneb"),
         "Adara 1.1"),
  "Adara 1.0")</f>
        <v>Adara 1.0</v>
      </c>
      <c r="H87" s="19" t="str">
        <f>FR!I87</f>
        <v>Approved</v>
      </c>
      <c r="I87" s="7" t="str">
        <f>IF(ISBLANK(FR!G87),"",FR!G87)</f>
        <v/>
      </c>
      <c r="J87" s="6" t="str">
        <f>IF(ISBLANK(FR!H87),"",FR!H87)</f>
        <v>TR-DSRSW-2381  The product SHALL, if the platform suppports a Remote Control Unit (RCU) UHF interface, provide an API to set the RCU UHF interface Address to a value from 0 to 7.
TR-DSRSW-2384  The product SHALLL, if the platform supports a Remote Control Unit (RCU) UHF interface, provide an API to enable/disable the UHF Remote Control interface.
TR-DSRSW-2398  The product SHALL provide an API to allow the appliaction to receive RCU UHF commands for the selected RCU UHF interface address.</v>
      </c>
    </row>
    <row r="88" spans="1:10" x14ac:dyDescent="0.25">
      <c r="A88" s="10" t="str">
        <f>FR!A88</f>
        <v>FR-DSRSW-1346</v>
      </c>
      <c r="B88" s="7" t="b">
        <f>ISERROR(FIND("-",FR!B88))</f>
        <v>1</v>
      </c>
      <c r="C88" s="7">
        <f>SetIndent(D88,(FR!C88-1)*2)</f>
        <v>0</v>
      </c>
      <c r="D88" s="33" t="str">
        <f>IF(ISERROR(FIND("-",FR!B88)),FR!B88&amp;" "&amp;FR!D88,FR!D88)</f>
        <v>11 System Security and Robustness</v>
      </c>
      <c r="E88" s="7" t="str">
        <f>IF(H88="Modified",VLOOKUP(A88,'Prev PMR'!A$2:D$190,4),"")</f>
        <v/>
      </c>
      <c r="F88" s="7" t="str">
        <f>FR!E88</f>
        <v>Com</v>
      </c>
      <c r="G88" s="37" t="str">
        <f>IF(ISERROR(FIND("Adara 1.0",FR!F88)),
        IF(ISERROR(FIND("Adara 1.1",FR!F88)),
                IF(ISERROR(FIND("Deneb",FR!F88)),"errorRob","Deneb"),
         "Adara 1.1"),
  "Adara 1.0")</f>
        <v>Adara 1.0</v>
      </c>
      <c r="H88" s="19" t="str">
        <f>FR!I88</f>
        <v>Approved</v>
      </c>
      <c r="I88" s="7" t="str">
        <f>IF(ISBLANK(FR!G88),"",FR!G88)</f>
        <v/>
      </c>
      <c r="J88" s="6" t="str">
        <f>IF(ISBLANK(FR!H88),"",FR!H88)</f>
        <v xml:space="preserve">TR-DSRSW-1451 System Security and Robustness </v>
      </c>
    </row>
    <row r="89" spans="1:10" x14ac:dyDescent="0.25">
      <c r="A89" s="10" t="str">
        <f>FR!A89</f>
        <v>FR-DSRSW-1351</v>
      </c>
      <c r="B89" s="7" t="b">
        <f>ISERROR(FIND("-",FR!B89))</f>
        <v>1</v>
      </c>
      <c r="C89" s="7">
        <f>SetIndent(D89,(FR!C89-1)*2)</f>
        <v>2</v>
      </c>
      <c r="D89" s="34" t="str">
        <f>IF(ISERROR(FIND("-",FR!B89)),FR!B89&amp;" "&amp;FR!D89,FR!D89)</f>
        <v>11.1 Embedded MediaCipher</v>
      </c>
      <c r="E89" s="7" t="str">
        <f>IF(H89="Modified",VLOOKUP(A89,'Prev PMR'!A$2:D$190,4),"")</f>
        <v/>
      </c>
      <c r="F89" s="7" t="str">
        <f>FR!E89</f>
        <v>Com</v>
      </c>
      <c r="G89" s="37" t="str">
        <f>IF(ISERROR(FIND("Adara 1.0",FR!F89)),
        IF(ISERROR(FIND("Adara 1.1",FR!F89)),
                IF(ISERROR(FIND("Deneb",FR!F89)),"errorRob","Deneb"),
         "Adara 1.1"),
  "Adara 1.0")</f>
        <v>Adara 1.0</v>
      </c>
      <c r="H89" s="19" t="str">
        <f>FR!I89</f>
        <v>Approved</v>
      </c>
      <c r="I89" s="7" t="str">
        <f>IF(ISBLANK(FR!G89),"",FR!G89)</f>
        <v/>
      </c>
      <c r="J89" s="6" t="str">
        <f>IF(ISBLANK(FR!H89),"",FR!H89)</f>
        <v/>
      </c>
    </row>
    <row r="90" spans="1:10" ht="409.5" x14ac:dyDescent="0.25">
      <c r="A90" s="10" t="str">
        <f>FR!A90</f>
        <v>FR-DSRSW-1352</v>
      </c>
      <c r="B90" s="7" t="b">
        <f>ISERROR(FIND("-",FR!B90))</f>
        <v>0</v>
      </c>
      <c r="C90" s="7">
        <f>SetIndent(D90,(FR!C90-1)*2)</f>
        <v>4</v>
      </c>
      <c r="D90" s="35" t="str">
        <f>IF(ISERROR(FIND("-",FR!B90)),FR!B90&amp;" "&amp;FR!D90,FR!D90)</f>
        <v>The product SHALL provide an embedded MediaCipher security element for Embedded CA factory option.</v>
      </c>
      <c r="E90" s="7" t="str">
        <f>IF(H90="Modified",VLOOKUP(A90,'Prev PMR'!A$2:D$190,4),"")</f>
        <v/>
      </c>
      <c r="F90" s="7" t="str">
        <f>FR!E90</f>
        <v>Req</v>
      </c>
      <c r="G90" s="37" t="str">
        <f>IF(ISERROR(FIND("Adara 1.0",FR!F90)),
        IF(ISERROR(FIND("Adara 1.1",FR!F90)),
                IF(ISERROR(FIND("Deneb",FR!F90)),"errorRob","Deneb"),
         "Adara 1.1"),
  "Adara 1.0")</f>
        <v>Adara 1.0</v>
      </c>
      <c r="H90" s="19" t="str">
        <f>FR!I90</f>
        <v>Approved</v>
      </c>
      <c r="I90" s="7" t="str">
        <f>IF(ISBLANK(FR!G90),"",FR!G90)</f>
        <v/>
      </c>
      <c r="J90" s="6" t="str">
        <f>IF(ISBLANK(FR!H90),"",FR!H90)</f>
        <v>TR-DSRSW-1518 MediaCipher 
TR-DSRSW-1519  The product SHALL provide an embedded MediaCipher security element for Embedded CA factory option.
TR-DSRSW-1520  The product SHALL receive a service if the product possesses any of the subscription tiers, for the current category, on which the service is offered. 
TR-DSRSW-1522  The product SHALL encrypt the interface between the MediaCipher processor and the SoC.
TR-DSRSW-1523  The product SHALL enter the EMM stream search after an Authorization Reset.
TR-DSRSW-1524  The product SHALL enter the EMM stream search after an Factory Reset.
TR-DSRSW-1525  The product SHALL monitor the first 5 GI EMM streams in the CAT list during the EMM stream search until the product receives an EMM with a unit address that matches the product's unit address.
TR-DSRSW-1526  The product SHALL store the EMM Provider ID of the unit addressed EMM found in the EMM Stream Search.
TR-DSRSW-1527  The product SHALL monitor the EMM PID as defined in the CAT for the EMM Provider found in the EMM stream search.
TR-DSRSW-1528  The product SHALL retain the EMM Provider in non-volatile memory.
TR-DSRSW-1529 CA Processing 
TR-DSRSW-1530  The product SHALL maintain the current and next DCII category keys in non-volatile memory, as received in the last received EMM message.
TR-DSRSW-1531  The product SHALL decrypt authorized programs under either the current or next category key.
TR-DSRSW-1532 Regional, Circular, and Spotbeam Blackouts 
TR-DSRSW-1533  The product SHALL receive an assignment to one of 256 (0-255) Geographic Regions via the EMM.
TR-DSRSW-1534  The product SHALL mute all components of the service if service is blacked out for the product's region.
TR-DSRSW-1535  The product SHALL receive an assignment to a geographic location (x,y,z) via the EMM.
TR-DSRSW-1536  The product SHALL blackout the service if circular blackouts are enabled AND the product is within at least one of the service's circular blackout regions.
TR-DSRSW-1537  The product SHALL blackout the service if spotbeam blackouts are enabled AND the product is outside all of the service's spotbeam blackout regions.
TR-DSRSW-2176 MediaCipher General Requirements 
TR-DSRSW-2426 Hardware 
TR-DSRSW-2427 Platform Code Authentication 
TR-DSRSW-2428 Application Code Authentication 
TR-DSRSW-2431 Boot Code Authentication 
TR-DSRSW-2466 EMM Stream Search 
TR-DSRSW-2467  The product SHALL support storage of 2,048 MediaCipher permanent tiers numbered from 0 to 2,047.
TR-DSRSW-2468  The product SHALL support storage of 32 MediaCipher temporary tiers, numbered from 65,536 to 16,777,215. 
TR-DSRSW-2471  The product SHALL, while in standby mode, continue to support EMM message handling.
TR-DSRSW-2473  The product SHALL, while in standby mode, continue to support Conditional Access control message handling.</v>
      </c>
    </row>
    <row r="91" spans="1:10" ht="409.5" x14ac:dyDescent="0.25">
      <c r="A91" s="10" t="str">
        <f>FR!A91</f>
        <v>FR-DSRSW-1357</v>
      </c>
      <c r="B91" s="7" t="b">
        <f>ISERROR(FIND("-",FR!B91))</f>
        <v>0</v>
      </c>
      <c r="C91" s="7">
        <f>SetIndent(D91,(FR!C91-1)*2)</f>
        <v>4</v>
      </c>
      <c r="D91" s="35" t="str">
        <f>IF(ISERROR(FIND("-",FR!B91)),FR!B91&amp;" "&amp;FR!D91,FR!D91)</f>
        <v>The product SHALL support all of the software security measures necessary to satisfy the Robustness and Compliance Rules required by Mediacipher.</v>
      </c>
      <c r="E91" s="7" t="str">
        <f>IF(H91="Modified",VLOOKUP(A91,'Prev PMR'!A$2:D$190,4),"")</f>
        <v/>
      </c>
      <c r="F91" s="7" t="str">
        <f>FR!E91</f>
        <v>Req</v>
      </c>
      <c r="G91" s="37" t="str">
        <f>IF(ISERROR(FIND("Adara 1.0",FR!F91)),
        IF(ISERROR(FIND("Adara 1.1",FR!F91)),
                IF(ISERROR(FIND("Deneb",FR!F91)),"errorRob","Deneb"),
         "Adara 1.1"),
  "Adara 1.0")</f>
        <v>Adara 1.0</v>
      </c>
      <c r="H91" s="19" t="str">
        <f>FR!I91</f>
        <v>Approved</v>
      </c>
      <c r="I91" s="7" t="str">
        <f>IF(ISBLANK(FR!G91),"",FR!G91)</f>
        <v/>
      </c>
      <c r="J91" s="6" t="str">
        <f>IF(ISBLANK(FR!H91),"",FR!H91)</f>
        <v>TR-DSRSW-1542 Code Validation 
TR-DSRSW-1543  The product SHALL make Private Keys inaccessible on user accessible busses.
TR-DSRSW-1544  The product SHALL authenticate the platform code including validating SHA-1 hash over the SignedContent as defined in PKCS#7 RFC 3369 as part of the download process.
TR-DSRSW-1545  The product SHALL authenticate the platform code including validating SHA-1 hash over the SignedContent as defined in PKCS#7 RFC 3369 every time that the platform code is loaded for execution.
TR-DSRSW-1546  The product shall validate the application code CVC issuer signature using the CVC CA Public Key from the CVC CA certificate included in the PKCS#7 signature.
TR-DSRSW-1547  The product shall validate the application code CVC CA issuer signature using the CVC Root Public Key held by the product.
TR-DSRSW-1548  The product SHALL authenticate each application code including validating SHA-1 hash over the SignedContent as defined in PKCS#7 RFC 3369 as part of the download process.
TR-DSRSW-1549  The product SHALL authenticate the application code including validating SHA-1 hash over the SignedContent as defined in PKCS#7 RFC 3369 each time that the application is loaded for execution.
TR-DSRSW-1550  The product SHALL be provisioned with Code Verification CA by platform download.
TR-DSRSW-1551  The product SHALL validate the PKCS#7 Platform Code Signature embedded in the platform download object. 
TR-DSRSW-1552  The product shall validate the platform code CVC issuer signature using the CVC CA Public Key from the CVC CA certificate included in the PKCS#7 signature.
TR-DSRSW-1553  The product shall validate the platform code CVC CA issuer signature using the Motorola CVC Root Public Key held by the product.
TR-DSRSW-1554  The product SHALL validate that the codeAccessStart (synonymous with the PKCS attribute signingTime) parameter in the downloaded platform code image is greater than or equal to the codeAccessStart parameter for the currently executing platform code image at platform download.
TR-DSRSW-1555  The product SHALL save the downloaded PKCS#7 platform signatures along with the downloaded platform code image after successfully evaluating all required platform code signature parameters.
TR-DSRSW-1556  The product shall discard the platform download object if the validation of the Platform Code Signature embedded in the platform download object fails.
TR-DSRSW-1557  The product shall discard an application download object if the validation of the Platform Code Signature embedded in the application download object fails.</v>
      </c>
    </row>
    <row r="92" spans="1:10" x14ac:dyDescent="0.25">
      <c r="A92" s="10" t="str">
        <f>FR!A92</f>
        <v>FR-DSRSW-1531</v>
      </c>
      <c r="B92" s="7" t="b">
        <f>ISERROR(FIND("-",FR!B92))</f>
        <v>1</v>
      </c>
      <c r="C92" s="7">
        <f>SetIndent(D92,(FR!C92-1)*2)</f>
        <v>2</v>
      </c>
      <c r="D92" s="34" t="str">
        <f>IF(ISERROR(FIND("-",FR!B92)),FR!B92&amp;" "&amp;FR!D92,FR!D92)</f>
        <v>11.2 Code Validation</v>
      </c>
      <c r="E92" s="7" t="str">
        <f>IF(H92="Modified",VLOOKUP(A92,'Prev PMR'!A$2:D$190,4),"")</f>
        <v/>
      </c>
      <c r="F92" s="7" t="str">
        <f>FR!E92</f>
        <v>Com</v>
      </c>
      <c r="G92" s="37" t="str">
        <f>IF(ISERROR(FIND("Adara 1.0",FR!F92)),
        IF(ISERROR(FIND("Adara 1.1",FR!F92)),
                IF(ISERROR(FIND("Deneb",FR!F92)),"errorRob","Deneb"),
         "Adara 1.1"),
  "Adara 1.0")</f>
        <v>Adara 1.0</v>
      </c>
      <c r="H92" s="19" t="str">
        <f>FR!I92</f>
        <v>Approved</v>
      </c>
      <c r="I92" s="7" t="str">
        <f>IF(ISBLANK(FR!G92),"",FR!G92)</f>
        <v/>
      </c>
      <c r="J92" s="6" t="str">
        <f>IF(ISBLANK(FR!H92),"",FR!H92)</f>
        <v/>
      </c>
    </row>
    <row r="93" spans="1:10" ht="150" x14ac:dyDescent="0.25">
      <c r="A93" s="10" t="str">
        <f>FR!A93</f>
        <v>FR-DSRSW-1347</v>
      </c>
      <c r="B93" s="7" t="b">
        <f>ISERROR(FIND("-",FR!B93))</f>
        <v>0</v>
      </c>
      <c r="C93" s="7">
        <f>SetIndent(D93,(FR!C93-1)*2)</f>
        <v>4</v>
      </c>
      <c r="D93" s="35" t="str">
        <f>IF(ISERROR(FIND("-",FR!B93)),FR!B93&amp;" "&amp;FR!D93,FR!D93)</f>
        <v>The product SHALL support the authentication of objects downloaded and stored prior to execution.</v>
      </c>
      <c r="E93" s="7" t="str">
        <f>IF(H93="Modified",VLOOKUP(A93,'Prev PMR'!A$2:D$190,4),"")</f>
        <v/>
      </c>
      <c r="F93" s="7" t="str">
        <f>FR!E93</f>
        <v>Req</v>
      </c>
      <c r="G93" s="37" t="str">
        <f>IF(ISERROR(FIND("Adara 1.0",FR!F93)),
        IF(ISERROR(FIND("Adara 1.1",FR!F93)),
                IF(ISERROR(FIND("Deneb",FR!F93)),"errorRob","Deneb"),
         "Adara 1.1"),
  "Adara 1.0")</f>
        <v>Adara 1.0</v>
      </c>
      <c r="H93" s="19" t="str">
        <f>FR!I93</f>
        <v>Approved</v>
      </c>
      <c r="I93" s="7" t="str">
        <f>IF(ISBLANK(FR!G93),"",FR!G93)</f>
        <v/>
      </c>
      <c r="J93" s="6" t="str">
        <f>IF(ISBLANK(FR!H93),"",FR!H93)</f>
        <v>TR-DSRSW-1453  The product SHALL disable the JTAG port for customer products that are to be deployed.
TR-DSRSW-1454  The product SHALL disable the BBS port for customer products that are to be deployed.
TR-DSRSW-1455  The product SHALL prevent the disclosure of critical security parameters over the serial debug port.
TR-DSRSW-1457  The product SHALL use the RSA public key along with the chip vendor's ROM code to validate the boot code.
TR-DSRSW-1458  The product SHALL authenticate Boot Code each time that the product boots up.</v>
      </c>
    </row>
    <row r="94" spans="1:10" x14ac:dyDescent="0.25">
      <c r="A94" s="10" t="str">
        <f>FR!A94</f>
        <v>FR-DSRSW-1532</v>
      </c>
      <c r="B94" s="7" t="b">
        <f>ISERROR(FIND("-",FR!B94))</f>
        <v>1</v>
      </c>
      <c r="C94" s="7">
        <f>SetIndent(D94,(FR!C94-1)*2)</f>
        <v>2</v>
      </c>
      <c r="D94" s="34" t="str">
        <f>IF(ISERROR(FIND("-",FR!B94)),FR!B94&amp;" "&amp;FR!D94,FR!D94)</f>
        <v>11.3 Internet Security</v>
      </c>
      <c r="E94" s="7" t="str">
        <f>IF(H94="Modified",VLOOKUP(A94,'Prev PMR'!A$2:D$190,4),"")</f>
        <v/>
      </c>
      <c r="F94" s="7" t="str">
        <f>FR!E94</f>
        <v>Com</v>
      </c>
      <c r="G94" s="37" t="str">
        <f>IF(ISERROR(FIND("Adara 1.0",FR!F94)),
        IF(ISERROR(FIND("Adara 1.1",FR!F94)),
                IF(ISERROR(FIND("Deneb",FR!F94)),"errorRob","Deneb"),
         "Adara 1.1"),
  "Adara 1.0")</f>
        <v>Adara 1.0</v>
      </c>
      <c r="H94" s="19" t="str">
        <f>FR!I94</f>
        <v>Approved</v>
      </c>
      <c r="I94" s="7" t="str">
        <f>IF(ISBLANK(FR!G94),"",FR!G94)</f>
        <v/>
      </c>
      <c r="J94" s="6" t="str">
        <f>IF(ISBLANK(FR!H94),"",FR!H94)</f>
        <v/>
      </c>
    </row>
    <row r="95" spans="1:10" ht="409.5" x14ac:dyDescent="0.25">
      <c r="A95" s="10" t="str">
        <f>FR!A95</f>
        <v>FR-DSRSW-1348</v>
      </c>
      <c r="B95" s="7" t="b">
        <f>ISERROR(FIND("-",FR!B95))</f>
        <v>0</v>
      </c>
      <c r="C95" s="7">
        <f>SetIndent(D95,(FR!C95-1)*2)</f>
        <v>4</v>
      </c>
      <c r="D95" s="35" t="str">
        <f>IF(ISERROR(FIND("-",FR!B95)),FR!B95&amp;" "&amp;FR!D95,FR!D95)</f>
        <v xml:space="preserve">The product SHALL for all IP communications, keep sockets closed when not in use.  ONLY sockets supporting features that require listening for connections (providing remote services or waiting for a response from another network node) should be open.  Furthermore, open sockets shall be hardened against buffer overrun and incorrect packet formats - the software listening, to the extent possible, will verify the incoming content as valid before allowing other code to operate on or with the data.  </v>
      </c>
      <c r="E95" s="7" t="str">
        <f>IF(H95="Modified",VLOOKUP(A95,'Prev PMR'!A$2:D$190,4),"")</f>
        <v/>
      </c>
      <c r="F95" s="7" t="str">
        <f>FR!E95</f>
        <v>Req</v>
      </c>
      <c r="G95" s="37" t="str">
        <f>IF(ISERROR(FIND("Adara 1.0",FR!F95)),
        IF(ISERROR(FIND("Adara 1.1",FR!F95)),
                IF(ISERROR(FIND("Deneb",FR!F95)),"errorRob","Deneb"),
         "Adara 1.1"),
  "Adara 1.0")</f>
        <v>Adara 1.0</v>
      </c>
      <c r="H95" s="19" t="str">
        <f>FR!I95</f>
        <v>Approved</v>
      </c>
      <c r="I95" s="7" t="str">
        <f>IF(ISBLANK(FR!G95),"",FR!G95)</f>
        <v/>
      </c>
      <c r="J95" s="6" t="str">
        <f>IF(ISBLANK(FR!H95),"",FR!H95)</f>
        <v xml:space="preserve">TR-DSRSW-1467  The product SHALL for all IP communications, keep sockets closed when not in use.  ONLY sockets supporting features that require listening for connections (providing remote services or waiting for a response from another network node) should be open.  Furthermore, open sockets shall be hardened against buffer overrun and incorrect packet formats - the software listening, to the extent possible, will verify the incoming content as valid before allowing other code to operate on or with the data.  
TR-DSRSW-1468  NOTE: Refer to 365-095-3914 ("STB / NIM IP Security Requirements") for background on IP network security requirements. 
TR-DSRSW-1469 ARP Spoofing and Overflow Mitigation 
TR-DSRSW-1470  The Product SHALL delete an ARP entry associated with the Home Network IF this entry was not successfully refreshed within an ARP entry timeout period of 10 minutes.
TR-DSRSW-1471  The Product SHALL discard an ARP Reply received from the Home Network IF this reply is not associated with Product's ARP Request.
TR-DSRSW-1472  The product SHALL use a FIFO for the ARP Cache which provides overflow prevention and allowing the creation of ARP Entries as soon as an attack ceases.
TR-DSRSW-1473 IP Spoofing and Overflow Mitigation 
TR-DSRSW-1474  The Product SHALL discard each IP packet received from the Home Network IF the packet's destination IP address is identical to the source IP address (aka "Land Attack").
TR-DSRSW-1475  The Product SHALL discard each IP packet received from the Home Network IF this packet includes the source-routing option.
TR-DSRSW-1476  The Product SHALL discard each IP fragment of a particular IP packet received from the Home Network IF all fragments are not received within 64 seconds after the first fragment was received.
TR-DSRSW-1477  The Product SHALL discard each IP fragment buffered for reassembly of a particular IP packet received from the Home Network IF the number of fragments to be reassembled exceeds 5.
TR-DSRSW-1478  The Product SHALL discard each IP fragment buffered for reassembly of a particular IP packet received from the Home Network IF the size of the reassembled IP packet will exceed 8200 bytes.
TR-DSRSW-1479 SYN Flooding Mitigation 
TR-DSRSW-1480  The Product SHALL send a RESET TCP packet (packet with RST flag set) to the associated host in the Home Network WHEN any SYN packet is dropped from the buffer handling half-open connections due to the queue being full.
TR-DSRSW-1481  The Product SHALL discard a TCP packet received from the Home Network IF this packet has the FIN flag set without also having the ACK flag set.
TR-DSRSW-1482  The Product SHALL discard a TCP packet received from the Home Network IF this packet has no flags set (a.k.a. "Null" TCP packet).
TR-DSRSW-1483  The Product SHALL generate a sufficiently random ISN value for a TCP connection in compliance with [IETF RFC 1948 - 1].
TR-DSRSW-1484  The Product SHALL be resilient to a half-open connections buffer overflow attack (a.k.a. SYN-flood) initiated within the Home Network.
TR-DSRSW-1485  Note: FIFO implementation for the half-open connections buffer provides overflow prevention and the efficient recovery following the attack, still allowing legitimate connections to be served (depending on the rate of the SYN-flood)
TR-DSRSW-1486 SNMP Disable 
TR-DSRSW-1487  The Product SHALL ignore each SNMP message received from the Home Network interfaces.
TR-DSRSW-1488  Comment: Owing to the nature of communications technology, it is not possible to create a platform that is impenetrable to attack.  There are many methods available to increase the resiliency and robustness of networked devices, however.  It is important here to define exactly what is meant by "resiliency to attack", as this can be interpreted in a number of ways.  
In this context it is expected that while under attack the system may become sluggish or that some functions may even become unresponsive (i.e. under a Denial of Service "TCP SYN-flood" attack it is expected that the establishment of network communications may not be possible until the attack is blocked or ceases).  These conbuffer ditions may also lead to a system reset, as the CPU load is monitored to ensure that no "dead" function or application can grind the system to a halt (the "watchdog" function will force a reset if it determines the CPU is unduly loaded in order to reset any offending functions and return to normal operating capacity as quickly as possible).  It is therefore acceptable for the settop to reset in response to "flooding attacks" as a result of the operation of the watchdog function.
It is unacceptable, however, for any software exception resulting from an attack to result in a system reset, hang or crash, or the corruption of any sensitive information resident in memory (code objects, configuration information, stored content, etc.).  As an example, a buffer overflow exception must be properly handled without resulting in a reset or any corruption of stored data.  A further example of unacceptable behavior would be a malformed packet that results in some software module becoming trapped in a loop, causing the CPU to become unduly loaded and triggering the watchdog function to reset the settop.
TR-DSRSW-1489  The product SHALL process each buffer overflow exception without resulting in a system reset or memory corruption.
TR-DSRSW-1490  Comment: features that utilize network communications may open vulnerabilities previously not present on the CPE.  In order to prevent such vulnerabilities from being introduced and possibly exploited, some generally accepted security practices in the information processing and data communications industry should be required of all software executing on the CPE.  The requirements included in this section apply generally to software that may be loaded on the STB platform (including Arris platform code and 3rd party vendor developed application code).
TR-DSRSW-1491  Comment: features that utilize network communications may open vulnerabilities previously not present on the CPE.  In order to prevent such vulnerabilities from being introduced and possibly exploited, some generally accepted security practices in the information processing and data communications industry should be required of all software executing on the CPE.  The requirements included in this section apply generally to software that may be loaded on the STB platform (including Arris platform code and 3rd party vendor developed application code).
TR-DSRSW-1492  The product SHALL prohibit downloading code objects from unauthenticated sources. (in order to secure the product against "Trojan Horse" attacks).
TR-DSRSW-1493  The product SHALL disable the 'rlogin' protocol.
TR-DSRSW-1494  The product SHALL disable the 'rcp' protocol.
TR-DSRSW-1495  The product SHALL disable the 'rsh' protocol.
TR-DSRSW-1496  The product SHALL disable the anonymous FTP protocol.
TR-DSRSW-1497  The product SHALL disable the Network File System (NFS) protocol.
TR-DSRSW-1498  The product SHALL disable generation and processing of traceroute packets.
TR-DSRSW-1499  The product SHALL disable generating a ping request.
TR-DSRSW-1501  The product SHALL dynamically and immediately close the DNS port when not in use by the product.
TR-DSRSW-1502  The product SHALL dynamically and immediately close the DHCP port when not in use by the product.
TR-DSRSW-1503  The product SHALL ensure reading data from an IP communication port will not overrun a buffer.   (i.e. attempting to place N bytes into a buffer when the remaining buffer size is less that N bytes).
TR-DSRSW-2212 Internet Security 
TR-DSRSW-2373 Close Sockets </v>
      </c>
    </row>
    <row r="96" spans="1:10" x14ac:dyDescent="0.25">
      <c r="A96" s="10" t="str">
        <f>FR!A96</f>
        <v>FR-DSRSW-1349</v>
      </c>
      <c r="B96" s="7" t="b">
        <f>ISERROR(FIND("-",FR!B96))</f>
        <v>1</v>
      </c>
      <c r="C96" s="7">
        <f>SetIndent(D96,(FR!C96-1)*2)</f>
        <v>2</v>
      </c>
      <c r="D96" s="34" t="str">
        <f>IF(ISERROR(FIND("-",FR!B96)),FR!B96&amp;" "&amp;FR!D96,FR!D96)</f>
        <v>11.4 Fingerprints</v>
      </c>
      <c r="E96" s="7" t="str">
        <f>IF(H96="Modified",VLOOKUP(A96,'Prev PMR'!A$2:D$190,4),"")</f>
        <v/>
      </c>
      <c r="F96" s="7" t="str">
        <f>FR!E96</f>
        <v>Com</v>
      </c>
      <c r="G96" s="37" t="str">
        <f>IF(ISERROR(FIND("Adara 1.0",FR!F96)),
        IF(ISERROR(FIND("Adara 1.1",FR!F96)),
                IF(ISERROR(FIND("Deneb",FR!F96)),"errorRob","Deneb"),
         "Adara 1.1"),
  "Adara 1.0")</f>
        <v>Adara 1.0</v>
      </c>
      <c r="H96" s="19" t="str">
        <f>FR!I96</f>
        <v>Approved</v>
      </c>
      <c r="I96" s="7" t="str">
        <f>IF(ISBLANK(FR!G96),"",FR!G96)</f>
        <v/>
      </c>
      <c r="J96" s="6" t="str">
        <f>IF(ISBLANK(FR!H96),"",FR!H96)</f>
        <v/>
      </c>
    </row>
    <row r="97" spans="1:10" ht="409.5" x14ac:dyDescent="0.25">
      <c r="A97" s="10" t="str">
        <f>FR!A97</f>
        <v>FR-DSRSW-1350</v>
      </c>
      <c r="B97" s="7" t="b">
        <f>ISERROR(FIND("-",FR!B97))</f>
        <v>0</v>
      </c>
      <c r="C97" s="7">
        <f>SetIndent(D97,(FR!C97-1)*2)</f>
        <v>4</v>
      </c>
      <c r="D97" s="35" t="str">
        <f>IF(ISERROR(FIND("-",FR!B97)),FR!B97&amp;" "&amp;FR!D97,FR!D97)</f>
        <v>The product SHALL support fingerprints.</v>
      </c>
      <c r="E97" s="7" t="str">
        <f>IF(H97="Modified",VLOOKUP(A97,'Prev PMR'!A$2:D$190,4),"")</f>
        <v/>
      </c>
      <c r="F97" s="7" t="str">
        <f>FR!E97</f>
        <v>Req</v>
      </c>
      <c r="G97" s="37" t="str">
        <f>IF(ISERROR(FIND("Adara 1.0",FR!F97)),
        IF(ISERROR(FIND("Adara 1.1",FR!F97)),
                IF(ISERROR(FIND("Deneb",FR!F97)),"errorRob","Deneb"),
         "Adara 1.1"),
  "Adara 1.0")</f>
        <v>Adara 1.0</v>
      </c>
      <c r="H97" s="19" t="str">
        <f>FR!I97</f>
        <v>Approved</v>
      </c>
      <c r="I97" s="7" t="str">
        <f>IF(ISBLANK(FR!G97),"",FR!G97)</f>
        <v/>
      </c>
      <c r="J97" s="6" t="str">
        <f>IF(ISBLANK(FR!H97),"",FR!H97)</f>
        <v>TR-DSRSW-1504 Fingerprints 
TR-DSRSW-1505  The product SHALL support fingerprints.
TR-DSRSW-1506  The FINGERPRINT message signals DigiCipher® II Decoders to output a "fingerprint" on the onscreen display, for the purposes of identification of Decoders being used illegally (such as consumer Decoders being used in a commercial establishment).  The message identifies one of several possible display formats for the 40-bit unit address, including one that is intended to go unnoticed to the casual viewer.
Decoders display FINGERPRINT messages only while displaying active video on a video service.
TR-DSRSW-1507  The product SHALL support fingerprint messages on the PMT PID. (i.e., fingerprints are service based).
TR-DSRSW-1508  The product SHALL display fingerprints on the HDMI output.
TR-DSRSW-1510  The product SHALL display fingerprints on the composite video output.
TR-DSRSW-1512  The product SHALL display the fingerprint at the activation time specified in the last received valid fingerprint message.
TR-DSRSW-1513  The product SHALL, if the duration is specified, display the fingerprint for the duration specified in the last received valid fingerprint message.
TR-DSRSW-1514  The product SHALL, if the duration is not specified, display the fingerprint for one second (+/- 0.5 seconds).
TR-DSRSW-1515  The product SHALL, if DVR is supported, display the fingerprint at the GPS time and duration specified in the fingerprint message, regardless of the DVR playback location.
TR-DSRSW-1516  The product SHALL support fingerprint messages only for the foreground service. That is, fingerprint messages on background services, if supported and active, can be discarded.
TR-DSRSW-1517  The product SHALL display the 40 bit unit address in hexadecimal characters when the fingerprint message specifies "clear" as the fingerprint format.</v>
      </c>
    </row>
    <row r="98" spans="1:10" x14ac:dyDescent="0.25">
      <c r="A98" s="10" t="str">
        <f>FR!A98</f>
        <v>FR-DSRSW-1527</v>
      </c>
      <c r="B98" s="7" t="b">
        <f>ISERROR(FIND("-",FR!B98))</f>
        <v>1</v>
      </c>
      <c r="C98" s="7">
        <f>SetIndent(D98,(FR!C98-1)*2)</f>
        <v>0</v>
      </c>
      <c r="D98" s="7" t="str">
        <f>IF(ISERROR(FIND("-",FR!B98)),FR!B98&amp;" "&amp;FR!D98,FR!D98)</f>
        <v>12 DRM</v>
      </c>
      <c r="E98" s="7" t="str">
        <f>IF(H98="Modified",VLOOKUP(A98,'Prev PMR'!A$2:D$190,4),"")</f>
        <v/>
      </c>
      <c r="F98" s="7" t="str">
        <f>FR!E98</f>
        <v>Com</v>
      </c>
      <c r="G98" s="37" t="str">
        <f>IF(ISERROR(FIND("Adara 1.0",FR!F98)),
        IF(ISERROR(FIND("Adara 1.1",FR!F98)),
                IF(ISERROR(FIND("Deneb",FR!F98)),"errorRob","Deneb"),
         "Adara 1.1"),
  "Adara 1.0")</f>
        <v>Adara 1.0</v>
      </c>
      <c r="H98" s="19" t="str">
        <f>FR!I98</f>
        <v>Approved</v>
      </c>
      <c r="I98" s="7" t="str">
        <f>IF(ISBLANK(FR!G98),"",FR!G98)</f>
        <v/>
      </c>
      <c r="J98" s="6" t="str">
        <f>IF(ISBLANK(FR!H98),"",FR!H98)</f>
        <v/>
      </c>
    </row>
    <row r="99" spans="1:10" ht="150" x14ac:dyDescent="0.25">
      <c r="A99" s="10" t="str">
        <f>FR!A99</f>
        <v>FR-DSRSW-1528</v>
      </c>
      <c r="B99" s="7" t="b">
        <f>ISERROR(FIND("-",FR!B99))</f>
        <v>0</v>
      </c>
      <c r="C99" s="7">
        <f>SetIndent(D99,(FR!C99-1)*2)</f>
        <v>2</v>
      </c>
      <c r="D99" s="34" t="str">
        <f>IF(ISERROR(FIND("-",FR!B99)),FR!B99&amp;" "&amp;FR!D99,FR!D99)</f>
        <v>The product SHALL support the Verimatrix DRM "standard security" system for HLS streaming.</v>
      </c>
      <c r="E99" s="7" t="str">
        <f>IF(H99="Modified",VLOOKUP(A99,'Prev PMR'!A$2:D$190,4),"")</f>
        <v/>
      </c>
      <c r="F99" s="7" t="str">
        <f>FR!E99</f>
        <v>Req</v>
      </c>
      <c r="G99" s="37" t="str">
        <f>IF(ISERROR(FIND("Adara 1.0",FR!F99)),
        IF(ISERROR(FIND("Adara 1.1",FR!F99)),
                IF(ISERROR(FIND("Deneb",FR!F99)),"errorRob","Deneb"),
         "Adara 1.1"),
  "Adara 1.0")</f>
        <v>Adara 1.0</v>
      </c>
      <c r="H99" s="19" t="str">
        <f>FR!I99</f>
        <v>Approved</v>
      </c>
      <c r="I99" s="7" t="str">
        <f>IF(ISBLANK(FR!G99),"",FR!G99)</f>
        <v/>
      </c>
      <c r="J99" s="6" t="str">
        <f>IF(ISBLANK(FR!H99),"",FR!H99)</f>
        <v>TR-DSRSW-2418 DRM 
TR-DSRSW-2419 Verimatrix DRM 
TR-DSRSW-2420  The product SHALL support decryption of HLS streaming content that is protected under Verimatrix DRM.
TR-DSRSW-2421  The product shall decode Verimatrix streams encrypted with AES using hardware accelerated decryption.
TR-DSRSW-2422  The product shall notify an application when an error condition is raised or cleared by the Verimatrix CA system.
TR-DSRSW-2424  The product's HLS player shall be interoperable with the Verimatrix standard security library for decryption key retrieval.</v>
      </c>
    </row>
    <row r="100" spans="1:10" x14ac:dyDescent="0.25">
      <c r="A100" s="10" t="str">
        <f>FR!A100</f>
        <v>FR-DSRSW-1445</v>
      </c>
      <c r="B100" s="7" t="b">
        <f>ISERROR(FIND("-",FR!B100))</f>
        <v>1</v>
      </c>
      <c r="C100" s="7">
        <f>SetIndent(D100,(FR!C100-1)*2)</f>
        <v>0</v>
      </c>
      <c r="D100" s="33" t="str">
        <f>IF(ISERROR(FIND("-",FR!B100)),FR!B100&amp;" "&amp;FR!D100,FR!D100)</f>
        <v>13 Copy Protection</v>
      </c>
      <c r="E100" s="7" t="str">
        <f>IF(H100="Modified",VLOOKUP(A100,'Prev PMR'!A$2:D$190,4),"")</f>
        <v/>
      </c>
      <c r="F100" s="7" t="str">
        <f>FR!E100</f>
        <v>Com</v>
      </c>
      <c r="G100" s="37" t="str">
        <f>IF(ISERROR(FIND("Adara 1.0",FR!F100)),
        IF(ISERROR(FIND("Adara 1.1",FR!F100)),
                IF(ISERROR(FIND("Deneb",FR!F100)),"errorRob","Deneb"),
         "Adara 1.1"),
  "Adara 1.0")</f>
        <v>Adara 1.0</v>
      </c>
      <c r="H100" s="19" t="str">
        <f>FR!I100</f>
        <v>Approved</v>
      </c>
      <c r="I100" s="7" t="str">
        <f>IF(ISBLANK(FR!G100),"",FR!G100)</f>
        <v/>
      </c>
      <c r="J100" s="6" t="str">
        <f>IF(ISBLANK(FR!H100),"",FR!H100)</f>
        <v xml:space="preserve">TR-DSRSW-2432 Copy Protection </v>
      </c>
    </row>
    <row r="101" spans="1:10" ht="165" x14ac:dyDescent="0.25">
      <c r="A101" s="10" t="str">
        <f>FR!A101</f>
        <v>FR-DSRSW-1446</v>
      </c>
      <c r="B101" s="7" t="b">
        <f>ISERROR(FIND("-",FR!B101))</f>
        <v>0</v>
      </c>
      <c r="C101" s="7">
        <f>SetIndent(D101,(FR!C101-1)*2)</f>
        <v>2</v>
      </c>
      <c r="D101" s="34" t="str">
        <f>IF(ISERROR(FIND("-",FR!B101)),FR!B101&amp;" "&amp;FR!D101,FR!D101)</f>
        <v>The product SHALL support pass through of CGMS-A data on the NTSC video output.</v>
      </c>
      <c r="E101" s="7" t="str">
        <f>IF(H101="Modified",VLOOKUP(A101,'Prev PMR'!A$2:D$190,4),"")</f>
        <v/>
      </c>
      <c r="F101" s="7" t="str">
        <f>FR!E101</f>
        <v>Req</v>
      </c>
      <c r="G101" s="37" t="str">
        <f>IF(ISERROR(FIND("Adara 1.0",FR!F101)),
        IF(ISERROR(FIND("Adara 1.1",FR!F101)),
                IF(ISERROR(FIND("Deneb",FR!F101)),"errorRob","Deneb"),
         "Adara 1.1"),
  "Adara 1.0")</f>
        <v>Adara 1.0</v>
      </c>
      <c r="H101" s="19" t="str">
        <f>FR!I101</f>
        <v>Approved</v>
      </c>
      <c r="I101" s="7" t="str">
        <f>IF(ISBLANK(FR!G101),"",FR!G101)</f>
        <v/>
      </c>
      <c r="J101" s="6" t="str">
        <f>IF(ISBLANK(FR!H101),"",FR!H101)</f>
        <v>TR-DSRSW-2113  The product SHALL support pass-through of CGMS-A data encoded as per [CEA-608D - 1] and transported as per [SCTE-20] and/or [SCTE-21] of a digital MP@HL MPEG-2 video service to the NTSC analog video outputs of the product.
TR-DSRSW-2114  The product SHALL support pass-through of CGMS-A data encoded as per [CEA 608D - 1] and transported as per [SCTE DVS 683 - 1] of a digital MPEG-4 AVC video service to the NTSC analog video outputs of the product.
TR-DSRSW-2199 NTSC CGMS-A Copy Protection 
TR-DSRSW-2214  The DSR800 product SHALL prevent external Hard Drive functionality.</v>
      </c>
    </row>
    <row r="102" spans="1:10" x14ac:dyDescent="0.25">
      <c r="A102" s="10" t="str">
        <f>FR!A102</f>
        <v>FR-DSRSW-1448</v>
      </c>
      <c r="B102" s="7" t="b">
        <f>ISERROR(FIND("-",FR!B102))</f>
        <v>1</v>
      </c>
      <c r="C102" s="7">
        <f>SetIndent(D102,(FR!C102-1)*2)</f>
        <v>2</v>
      </c>
      <c r="D102" s="34" t="str">
        <f>IF(ISERROR(FIND("-",FR!B102)),FR!B102&amp;" "&amp;FR!D102,FR!D102)</f>
        <v>13.1 IPRM</v>
      </c>
      <c r="E102" s="7" t="str">
        <f>IF(H102="Modified",VLOOKUP(A102,'Prev PMR'!A$2:D$190,4),"")</f>
        <v/>
      </c>
      <c r="F102" s="7" t="str">
        <f>FR!E102</f>
        <v>Com</v>
      </c>
      <c r="G102" s="37" t="str">
        <f>IF(ISERROR(FIND("Adara 1.0",FR!F102)),
        IF(ISERROR(FIND("Adara 1.1",FR!F102)),
                IF(ISERROR(FIND("Deneb",FR!F102)),"errorRob","Deneb"),
         "Adara 1.1"),
  "Adara 1.0")</f>
        <v>Adara 1.0</v>
      </c>
      <c r="H102" s="19" t="str">
        <f>FR!I102</f>
        <v>Approved</v>
      </c>
      <c r="I102" s="7" t="str">
        <f>IF(ISBLANK(FR!G102),"",FR!G102)</f>
        <v/>
      </c>
      <c r="J102" s="6" t="str">
        <f>IF(ISBLANK(FR!H102),"",FR!H102)</f>
        <v/>
      </c>
    </row>
    <row r="103" spans="1:10" ht="30" x14ac:dyDescent="0.25">
      <c r="A103" s="10" t="str">
        <f>FR!A103</f>
        <v>FR-DSRSW-1449</v>
      </c>
      <c r="B103" s="7" t="b">
        <f>ISERROR(FIND("-",FR!B103))</f>
        <v>0</v>
      </c>
      <c r="C103" s="7">
        <f>SetIndent(D103,(FR!C103-1)*2)</f>
        <v>4</v>
      </c>
      <c r="D103" s="35" t="str">
        <f>IF(ISERROR(FIND("-",FR!B103)),FR!B103&amp;" "&amp;FR!D103,FR!D103)</f>
        <v>The product SHALL support IP Rights Management (IPRM) for content protection.</v>
      </c>
      <c r="E103" s="7" t="str">
        <f>IF(H103="Modified",VLOOKUP(A103,'Prev PMR'!A$2:D$190,4),"")</f>
        <v/>
      </c>
      <c r="F103" s="7" t="str">
        <f>FR!E103</f>
        <v>Req</v>
      </c>
      <c r="G103" s="37" t="str">
        <f>IF(ISERROR(FIND("Adara 1.0",FR!F103)),
        IF(ISERROR(FIND("Adara 1.1",FR!F103)),
                IF(ISERROR(FIND("Deneb",FR!F103)),"errorRob","Deneb"),
         "Adara 1.1"),
  "Adara 1.0")</f>
        <v>Adara 1.0</v>
      </c>
      <c r="H103" s="19" t="str">
        <f>FR!I103</f>
        <v>Approved</v>
      </c>
      <c r="I103" s="7" t="str">
        <f>IF(ISBLANK(FR!G103),"",FR!G103)</f>
        <v>Is IPRM required?</v>
      </c>
      <c r="J103" s="6" t="str">
        <f>IF(ISBLANK(FR!H103),"",FR!H103)</f>
        <v/>
      </c>
    </row>
    <row r="104" spans="1:10" x14ac:dyDescent="0.25">
      <c r="A104" s="10" t="str">
        <f>FR!A104</f>
        <v>FR-DSRSW-1358</v>
      </c>
      <c r="B104" s="7" t="b">
        <f>ISERROR(FIND("-",FR!B104))</f>
        <v>1</v>
      </c>
      <c r="C104" s="7">
        <f>SetIndent(D104,(FR!C104-1)*2)</f>
        <v>0</v>
      </c>
      <c r="D104" s="33" t="str">
        <f>IF(ISERROR(FIND("-",FR!B104)),FR!B104&amp;" "&amp;FR!D104,FR!D104)</f>
        <v>14 DVR</v>
      </c>
      <c r="E104" s="7" t="str">
        <f>IF(H104="Modified",VLOOKUP(A104,'Prev PMR'!A$2:D$190,4),"")</f>
        <v/>
      </c>
      <c r="F104" s="7" t="str">
        <f>FR!E104</f>
        <v>Com</v>
      </c>
      <c r="G104" s="37" t="str">
        <f>IF(ISERROR(FIND("Adara 1.0",FR!F104)),
        IF(ISERROR(FIND("Adara 1.1",FR!F104)),
                IF(ISERROR(FIND("Deneb",FR!F104)),"errorRob","Deneb"),
         "Adara 1.1"),
  "Adara 1.0")</f>
        <v>Adara 1.0</v>
      </c>
      <c r="H104" s="19" t="str">
        <f>FR!I104</f>
        <v>Approved</v>
      </c>
      <c r="I104" s="7" t="str">
        <f>IF(ISBLANK(FR!G104),"",FR!G104)</f>
        <v/>
      </c>
      <c r="J104" s="6" t="str">
        <f>IF(ISBLANK(FR!H104),"",FR!H104)</f>
        <v xml:space="preserve">TR-DSRSW-1558 DVR </v>
      </c>
    </row>
    <row r="105" spans="1:10" x14ac:dyDescent="0.25">
      <c r="A105" s="10" t="str">
        <f>FR!A105</f>
        <v>FR-DSRSW-1479</v>
      </c>
      <c r="B105" s="7" t="b">
        <f>ISERROR(FIND("-",FR!B105))</f>
        <v>0</v>
      </c>
      <c r="C105" s="7">
        <f>SetIndent(D105,(FR!C105-1)*2)</f>
        <v>2</v>
      </c>
      <c r="D105" s="34" t="str">
        <f>IF(ISERROR(FIND("-",FR!B105)),FR!B105&amp;" "&amp;FR!D105,FR!D105)</f>
        <v>DVR features apply only to the DSR830.</v>
      </c>
      <c r="E105" s="7" t="str">
        <f>IF(H105="Modified",VLOOKUP(A105,'Prev PMR'!A$2:D$190,4),"")</f>
        <v/>
      </c>
      <c r="F105" s="7" t="str">
        <f>FR!E105</f>
        <v>Com</v>
      </c>
      <c r="G105" s="37" t="str">
        <f>IF(ISERROR(FIND("Adara 1.0",FR!F105)),
        IF(ISERROR(FIND("Adara 1.1",FR!F105)),
                IF(ISERROR(FIND("Deneb",FR!F105)),"errorRob","Deneb"),
         "Adara 1.1"),
  "Adara 1.0")</f>
        <v>Adara 1.0</v>
      </c>
      <c r="H105" s="19" t="str">
        <f>FR!I105</f>
        <v>Approved</v>
      </c>
      <c r="I105" s="7" t="str">
        <f>IF(ISBLANK(FR!G105),"",FR!G105)</f>
        <v/>
      </c>
      <c r="J105" s="6" t="str">
        <f>IF(ISBLANK(FR!H105),"",FR!H105)</f>
        <v/>
      </c>
    </row>
    <row r="106" spans="1:10" x14ac:dyDescent="0.25">
      <c r="A106" s="10" t="str">
        <f>FR!A106</f>
        <v>FR-DSRSW-1359</v>
      </c>
      <c r="B106" s="7" t="b">
        <f>ISERROR(FIND("-",FR!B106))</f>
        <v>1</v>
      </c>
      <c r="C106" s="7">
        <f>SetIndent(D106,(FR!C106-1)*2)</f>
        <v>2</v>
      </c>
      <c r="D106" s="34" t="str">
        <f>IF(ISERROR(FIND("-",FR!B106)),FR!B106&amp;" "&amp;FR!D106,FR!D106)</f>
        <v>14.1 Internal Hard Disk Drive</v>
      </c>
      <c r="E106" s="7" t="str">
        <f>IF(H106="Modified",VLOOKUP(A106,'Prev PMR'!A$2:D$190,4),"")</f>
        <v/>
      </c>
      <c r="F106" s="7" t="str">
        <f>FR!E106</f>
        <v>Com</v>
      </c>
      <c r="G106" s="37" t="str">
        <f>IF(ISERROR(FIND("Adara 1.0",FR!F106)),
        IF(ISERROR(FIND("Adara 1.1",FR!F106)),
                IF(ISERROR(FIND("Deneb",FR!F106)),"errorRob","Deneb"),
         "Adara 1.1"),
  "Adara 1.0")</f>
        <v>Adara 1.0</v>
      </c>
      <c r="H106" s="19" t="str">
        <f>FR!I106</f>
        <v>Approved</v>
      </c>
      <c r="I106" s="7" t="str">
        <f>IF(ISBLANK(FR!G106),"",FR!G106)</f>
        <v/>
      </c>
      <c r="J106" s="6" t="str">
        <f>IF(ISBLANK(FR!H106),"",FR!H106)</f>
        <v xml:space="preserve">TR-DSRSW-1559 Internal Hard Disk Drive General </v>
      </c>
    </row>
    <row r="107" spans="1:10" ht="90" x14ac:dyDescent="0.25">
      <c r="A107" s="10" t="str">
        <f>FR!A107</f>
        <v>FR-DSRSW-1460</v>
      </c>
      <c r="B107" s="7" t="b">
        <f>ISERROR(FIND("-",FR!B107))</f>
        <v>0</v>
      </c>
      <c r="C107" s="7">
        <f>SetIndent(D107,(FR!C107-1)*2)</f>
        <v>4</v>
      </c>
      <c r="D107" s="35" t="str">
        <f>IF(ISERROR(FIND("-",FR!B107)),FR!B107&amp;" "&amp;FR!D107,FR!D107)</f>
        <v>The product SHALL support executing with up to 1 TB capacity as the single internal hard disk drive.</v>
      </c>
      <c r="E107" s="7" t="str">
        <f>IF(H107="Modified",VLOOKUP(A107,'Prev PMR'!A$2:D$190,4),"")</f>
        <v/>
      </c>
      <c r="F107" s="7" t="str">
        <f>FR!E107</f>
        <v>Req</v>
      </c>
      <c r="G107" s="37" t="str">
        <f>IF(ISERROR(FIND("Adara 1.0",FR!F107)),
        IF(ISERROR(FIND("Adara 1.1",FR!F107)),
                IF(ISERROR(FIND("Deneb",FR!F107)),"errorRob","Deneb"),
         "Adara 1.1"),
  "Adara 1.0")</f>
        <v>Adara 1.0</v>
      </c>
      <c r="H107" s="19" t="str">
        <f>FR!I107</f>
        <v>Approved</v>
      </c>
      <c r="I107" s="7" t="str">
        <f>IF(ISBLANK(FR!G107),"",FR!G107)</f>
        <v/>
      </c>
      <c r="J107" s="6" t="str">
        <f>IF(ISBLANK(FR!H107),"",FR!H107)</f>
        <v>TR-DSRSW-2178  The product SHALL support executing with up to 1 TB  of capacity for a single internal hard disk drive.
TR-DSRSW-2179  The product shall provide DVR services (record, play, trickplay) through the platform code  APIs on up to a 1 TB HDD.
TR-DSRSW-2180  The product shall provide file system services through the platform code APIs on the resident HDD.</v>
      </c>
    </row>
    <row r="108" spans="1:10" ht="90" x14ac:dyDescent="0.25">
      <c r="A108" s="10" t="str">
        <f>FR!A108</f>
        <v>FR-DSRSW-1362</v>
      </c>
      <c r="B108" s="7" t="b">
        <f>ISERROR(FIND("-",FR!B108))</f>
        <v>0</v>
      </c>
      <c r="C108" s="7">
        <f>SetIndent(D108,(FR!C108-1)*2)</f>
        <v>4</v>
      </c>
      <c r="D108" s="35" t="str">
        <f>IF(ISERROR(FIND("-",FR!B108)),FR!B108&amp;" "&amp;FR!D108,FR!D108)</f>
        <v>The product SHALL support executing with or without an internal hard disk drive present.</v>
      </c>
      <c r="E108" s="7" t="str">
        <f>IF(H108="Modified",VLOOKUP(A108,'Prev PMR'!A$2:D$190,4),"")</f>
        <v/>
      </c>
      <c r="F108" s="7" t="str">
        <f>FR!E108</f>
        <v>Req</v>
      </c>
      <c r="G108" s="37" t="str">
        <f>IF(ISERROR(FIND("Adara 1.0",FR!F108)),
        IF(ISERROR(FIND("Adara 1.1",FR!F108)),
                IF(ISERROR(FIND("Deneb",FR!F108)),"errorRob","Deneb"),
         "Adara 1.1"),
  "Adara 1.0")</f>
        <v>Adara 1.0</v>
      </c>
      <c r="H108" s="19" t="str">
        <f>FR!I108</f>
        <v>Approved</v>
      </c>
      <c r="I108" s="7" t="str">
        <f>IF(ISBLANK(FR!G108),"",FR!G108)</f>
        <v/>
      </c>
      <c r="J108" s="6" t="str">
        <f>IF(ISBLANK(FR!H108),"",FR!H108)</f>
        <v>TR-DSRSW-1567  The product SHALL detect if a hard disk drive is present upon AC Power. 
TR-DSRSW-1568  The product SHALL provide capability to operate with a hard disk drive capability if drive is detected upon AC Power.
TR-DSRSW-1569  The product SHALL provide capability to operate without a hard disk drive capability if a drive is not detected upon AC Power</v>
      </c>
    </row>
    <row r="109" spans="1:10" x14ac:dyDescent="0.25">
      <c r="A109" s="10" t="str">
        <f>FR!A109</f>
        <v>FR-DSRSW-1363</v>
      </c>
      <c r="B109" s="7" t="b">
        <f>ISERROR(FIND("-",FR!B109))</f>
        <v>1</v>
      </c>
      <c r="C109" s="7">
        <f>SetIndent(D109,(FR!C109-1)*2)</f>
        <v>2</v>
      </c>
      <c r="D109" s="34" t="str">
        <f>IF(ISERROR(FIND("-",FR!B109)),FR!B109&amp;" "&amp;FR!D109,FR!D109)</f>
        <v>14.2 External Hard Disk Drive</v>
      </c>
      <c r="E109" s="7" t="str">
        <f>IF(H109="Modified",VLOOKUP(A109,'Prev PMR'!A$2:D$190,4),"")</f>
        <v/>
      </c>
      <c r="F109" s="7" t="str">
        <f>FR!E109</f>
        <v>Com</v>
      </c>
      <c r="G109" s="37" t="str">
        <f>IF(ISERROR(FIND("Adara 1.0",FR!F109)),
        IF(ISERROR(FIND("Adara 1.1",FR!F109)),
                IF(ISERROR(FIND("Deneb",FR!F109)),"errorRob","Deneb"),
         "Adara 1.1"),
  "Adara 1.0")</f>
        <v>Adara 1.0</v>
      </c>
      <c r="H109" s="19" t="str">
        <f>FR!I109</f>
        <v>Approved</v>
      </c>
      <c r="I109" s="7" t="str">
        <f>IF(ISBLANK(FR!G109),"",FR!G109)</f>
        <v/>
      </c>
      <c r="J109" s="6" t="str">
        <f>IF(ISBLANK(FR!H109),"",FR!H109)</f>
        <v xml:space="preserve">TR-DSRSW-1570 External Hard Disk Drive General </v>
      </c>
    </row>
    <row r="110" spans="1:10" x14ac:dyDescent="0.25">
      <c r="A110" s="10" t="str">
        <f>FR!A110</f>
        <v>FR-DSRSW-1530</v>
      </c>
      <c r="B110" s="7" t="b">
        <f>ISERROR(FIND("-",FR!B110))</f>
        <v>0</v>
      </c>
      <c r="C110" s="7">
        <f>SetIndent(D110,(FR!C110-1)*2)</f>
        <v>4</v>
      </c>
      <c r="D110" s="35" t="str">
        <f>IF(ISERROR(FIND("-",FR!B110)),FR!B110&amp;" "&amp;FR!D110,FR!D110)</f>
        <v>The support of external DVR is product dependant.</v>
      </c>
      <c r="E110" s="7" t="str">
        <f>IF(H110="Modified",VLOOKUP(A110,'Prev PMR'!A$2:D$190,4),"")</f>
        <v/>
      </c>
      <c r="F110" s="7" t="str">
        <f>FR!E110</f>
        <v>Com</v>
      </c>
      <c r="G110" s="37" t="str">
        <f>IF(ISERROR(FIND("Adara 1.0",FR!F110)),
        IF(ISERROR(FIND("Adara 1.1",FR!F110)),
                IF(ISERROR(FIND("Deneb",FR!F110)),"errorRob","Deneb"),
         "Adara 1.1"),
  "Adara 1.0")</f>
        <v>Adara 1.0</v>
      </c>
      <c r="H110" s="19" t="str">
        <f>FR!I110</f>
        <v>Approved</v>
      </c>
      <c r="I110" s="7" t="str">
        <f>IF(ISBLANK(FR!G110),"",FR!G110)</f>
        <v/>
      </c>
      <c r="J110" s="6" t="str">
        <f>IF(ISBLANK(FR!H110),"",FR!H110)</f>
        <v/>
      </c>
    </row>
    <row r="111" spans="1:10" ht="409.5" x14ac:dyDescent="0.25">
      <c r="A111" s="10" t="str">
        <f>FR!A111</f>
        <v>FR-DSRSW-1364</v>
      </c>
      <c r="B111" s="7" t="b">
        <f>ISERROR(FIND("-",FR!B111))</f>
        <v>0</v>
      </c>
      <c r="C111" s="7">
        <f>SetIndent(D111,(FR!C111-1)*2)</f>
        <v>4</v>
      </c>
      <c r="D111" s="35" t="str">
        <f>IF(ISERROR(FIND("-",FR!B111)),FR!B111&amp;" "&amp;FR!D111,FR!D111)</f>
        <v>The DSR830 product SHALL support external DVR functionality.</v>
      </c>
      <c r="E111" s="7" t="str">
        <f>IF(H111="Modified",VLOOKUP(A111,'Prev PMR'!A$2:D$190,4),"")</f>
        <v/>
      </c>
      <c r="F111" s="7" t="str">
        <f>FR!E111</f>
        <v>Req</v>
      </c>
      <c r="G111" s="37" t="str">
        <f>IF(ISERROR(FIND("Adara 1.0",FR!F111)),
        IF(ISERROR(FIND("Adara 1.1",FR!F111)),
                IF(ISERROR(FIND("Deneb",FR!F111)),"errorRob","Deneb"),
         "Adara 1.1"),
  "Adara 1.0")</f>
        <v>Adara 1.0</v>
      </c>
      <c r="H111" s="19" t="str">
        <f>FR!I111</f>
        <v>Approved</v>
      </c>
      <c r="I111" s="7" t="str">
        <f>IF(ISBLANK(FR!G111),"",FR!G111)</f>
        <v/>
      </c>
      <c r="J111" s="6" t="str">
        <f>IF(ISBLANK(FR!H111),"",FR!H111)</f>
        <v>TR-DSRSW-1571  The remaining requirements in this section only apply for products that support external DVR functionality.
TR-DSRSW-1572  The product SHALL support up to two active recording sessions total on any combination of HDDs, internal or external, while simultaneously supporting up to one playback session from an HDD, internal or external.
TR-DSRSW-1573  The product SHALL provide an API that allows an application to determine if an external HDD is connected.
TR-DSRSW-1574  The product SHALL provide an API that allows an application to determine if an external HDD is connected that has been formatted and paired for use with the product.
TR-DSRSW-1575  The product SHALL notify a registered application when an eHDD has been disconnected.
TR-DSRSW-1576  The product SHALL notify a registered application when an eHDD has been connected and mounted.
TR-DSRSW-1577  The product SHALL provide the software application with the eHDD connection status (connected/disconnected).
TR-DSRSW-1578  The product SHALL update the eHDD connection status upon boot up.
TR-DSRSW-1579  The product SHALL provide available free space on eHDD when eHDD is connected and requested by application.
TR-DSRSW-1580  The product SHALL provide the application with the ability to select a DVR eHDD for a particular record session. 
TR-DSRSW-1581  The product SHALL provide the application with the ability to select a DVR eHDD for a particular playback session. 
TR-DSRSW-1582 External DVR Formatting 
TR-DSRSW-1583  The product SHALL notify applications that the formatting process is complete, when formatting a DVR eHDD, after the STB has mounted the eHDD. (NOTE: The intent is that application notifies the user that the format and mounting process is complete, thus if the application had displayed an alert to the user not to disconnect the eHDD, then this alert would inform the application to tear down the alert)
TR-DSRSW-1585  The product SHALL provide an API that allows an application to acquire the HDD Unique ID of a discovered DVR eHDD.
TR-DSRSW-1586  The product SHALL provide an API that allows an application to request that an eHDD be formatted as a DVR eHDD. 
TR-DSRSW-1587  The product SHALL notify a registered application when an eHDD format attempt has failed.</v>
      </c>
    </row>
    <row r="112" spans="1:10" x14ac:dyDescent="0.25">
      <c r="A112" s="10" t="str">
        <f>FR!A112</f>
        <v>FR-DSRSW-1365</v>
      </c>
      <c r="B112" s="7" t="b">
        <f>ISERROR(FIND("-",FR!B112))</f>
        <v>1</v>
      </c>
      <c r="C112" s="7">
        <f>SetIndent(D112,(FR!C112-1)*2)</f>
        <v>2</v>
      </c>
      <c r="D112" s="34" t="str">
        <f>IF(ISERROR(FIND("-",FR!B112)),FR!B112&amp;" "&amp;FR!D112,FR!D112)</f>
        <v>14.3 DVR Record &amp; Play Features</v>
      </c>
      <c r="E112" s="7" t="str">
        <f>IF(H112="Modified",VLOOKUP(A112,'Prev PMR'!A$2:D$190,4),"")</f>
        <v/>
      </c>
      <c r="F112" s="7" t="str">
        <f>FR!E112</f>
        <v>Com</v>
      </c>
      <c r="G112" s="37" t="str">
        <f>IF(ISERROR(FIND("Adara 1.0",FR!F112)),
        IF(ISERROR(FIND("Adara 1.1",FR!F112)),
                IF(ISERROR(FIND("Deneb",FR!F112)),"errorRob","Deneb"),
         "Adara 1.1"),
  "Adara 1.0")</f>
        <v>Adara 1.0</v>
      </c>
      <c r="H112" s="19" t="str">
        <f>FR!I112</f>
        <v>Approved</v>
      </c>
      <c r="I112" s="7" t="str">
        <f>IF(ISBLANK(FR!G112),"",FR!G112)</f>
        <v/>
      </c>
      <c r="J112" s="6" t="str">
        <f>IF(ISBLANK(FR!H112),"",FR!H112)</f>
        <v xml:space="preserve">TR-DSRSW-1588 DVR Record &amp; Play Functions </v>
      </c>
    </row>
    <row r="113" spans="1:10" x14ac:dyDescent="0.25">
      <c r="A113" s="10" t="str">
        <f>FR!A113</f>
        <v>FR-DSRSW-1366</v>
      </c>
      <c r="B113" s="7" t="b">
        <f>ISERROR(FIND("-",FR!B113))</f>
        <v>1</v>
      </c>
      <c r="C113" s="7">
        <f>SetIndent(D113,(FR!C113-1)*2)</f>
        <v>4</v>
      </c>
      <c r="D113" s="35" t="str">
        <f>IF(ISERROR(FIND("-",FR!B113)),FR!B113&amp;" "&amp;FR!D113,FR!D113)</f>
        <v>14.3.1 DVR Playback</v>
      </c>
      <c r="E113" s="7" t="str">
        <f>IF(H113="Modified",VLOOKUP(A113,'Prev PMR'!A$2:D$190,4),"")</f>
        <v/>
      </c>
      <c r="F113" s="7" t="str">
        <f>FR!E113</f>
        <v>Com</v>
      </c>
      <c r="G113" s="37" t="str">
        <f>IF(ISERROR(FIND("Adara 1.0",FR!F113)),
        IF(ISERROR(FIND("Adara 1.1",FR!F113)),
                IF(ISERROR(FIND("Deneb",FR!F113)),"errorRob","Deneb"),
         "Adara 1.1"),
  "Adara 1.0")</f>
        <v>Adara 1.0</v>
      </c>
      <c r="H113" s="19" t="str">
        <f>FR!I113</f>
        <v>Approved</v>
      </c>
      <c r="I113" s="7" t="str">
        <f>IF(ISBLANK(FR!G113),"",FR!G113)</f>
        <v/>
      </c>
      <c r="J113" s="6" t="str">
        <f>IF(ISBLANK(FR!H113),"",FR!H113)</f>
        <v xml:space="preserve">TR-DSRSW-1589 DVR Playback </v>
      </c>
    </row>
    <row r="114" spans="1:10" ht="105" x14ac:dyDescent="0.25">
      <c r="A114" s="10" t="str">
        <f>FR!A114</f>
        <v>FR-DSRSW-1367</v>
      </c>
      <c r="B114" s="7" t="b">
        <f>ISERROR(FIND("-",FR!B114))</f>
        <v>0</v>
      </c>
      <c r="C114" s="7">
        <f>SetIndent(D114,(FR!C114-1)*2)</f>
        <v>6</v>
      </c>
      <c r="D114" s="38" t="str">
        <f>IF(ISERROR(FIND("-",FR!B114)),FR!B114&amp;" "&amp;FR!D114,FR!D114)</f>
        <v>The product SHALL support playing back up to (1) stream from the hard disk drive.</v>
      </c>
      <c r="E114" s="7" t="str">
        <f>IF(H114="Modified",VLOOKUP(A114,'Prev PMR'!A$2:D$190,4),"")</f>
        <v/>
      </c>
      <c r="F114" s="7" t="str">
        <f>FR!E114</f>
        <v>Req</v>
      </c>
      <c r="G114" s="37" t="str">
        <f>IF(ISERROR(FIND("Adara 1.0",FR!F114)),
        IF(ISERROR(FIND("Adara 1.1",FR!F114)),
                IF(ISERROR(FIND("Deneb",FR!F114)),"errorRob","Deneb"),
         "Adara 1.1"),
  "Adara 1.0")</f>
        <v>Adara 1.0</v>
      </c>
      <c r="H114" s="19" t="str">
        <f>FR!I114</f>
        <v>Approved</v>
      </c>
      <c r="I114" s="7" t="str">
        <f>IF(ISBLANK(FR!G114),"",FR!G114)</f>
        <v/>
      </c>
      <c r="J114" s="6" t="str">
        <f>IF(ISBLANK(FR!H114),"",FR!H114)</f>
        <v>TR-DSRSW-1591  The product SHALL be capable of real-time (1x) playback of one (1) AV transport stream of supported content from and supported hard disk drive (HDD) to local outputs.
TR-DSRSW-1592  The product SHALL select the first audio PID in the PMT that matches the user selected language during content playback.
TR-DSRSW-1593  The product SHALL select the first audio PID in the PMT if no audio PID's match the user selected language during content playback.</v>
      </c>
    </row>
    <row r="115" spans="1:10" x14ac:dyDescent="0.25">
      <c r="A115" s="10" t="str">
        <f>FR!A115</f>
        <v>FR-DSRSW-1368</v>
      </c>
      <c r="B115" s="7" t="b">
        <f>ISERROR(FIND("-",FR!B115))</f>
        <v>0</v>
      </c>
      <c r="C115" s="7">
        <f>SetIndent(D115,(FR!C115-1)*2)</f>
        <v>6</v>
      </c>
      <c r="D115" s="38" t="str">
        <f>IF(ISERROR(FIND("-",FR!B115)),FR!B115&amp;" "&amp;FR!D115,FR!D115)</f>
        <v>The product SHALL provide local DVR playback within 1.5 seconds.</v>
      </c>
      <c r="E115" s="7" t="str">
        <f>IF(H115="Modified",VLOOKUP(A115,'Prev PMR'!A$2:D$190,4),"")</f>
        <v/>
      </c>
      <c r="F115" s="7" t="str">
        <f>FR!E115</f>
        <v>Req</v>
      </c>
      <c r="G115" s="37" t="str">
        <f>IF(ISERROR(FIND("Adara 1.0",FR!F115)),
        IF(ISERROR(FIND("Adara 1.1",FR!F115)),
                IF(ISERROR(FIND("Deneb",FR!F115)),"errorRob","Deneb"),
         "Adara 1.1"),
  "Adara 1.0")</f>
        <v>Adara 1.0</v>
      </c>
      <c r="H115" s="19" t="str">
        <f>FR!I115</f>
        <v>Approved</v>
      </c>
      <c r="I115" s="7" t="str">
        <f>IF(ISBLANK(FR!G115),"",FR!G115)</f>
        <v/>
      </c>
      <c r="J115" s="6" t="str">
        <f>IF(ISBLANK(FR!H115),"",FR!H115)</f>
        <v/>
      </c>
    </row>
    <row r="116" spans="1:10" x14ac:dyDescent="0.25">
      <c r="A116" s="10" t="str">
        <f>FR!A116</f>
        <v>FR-DSRSW-1369</v>
      </c>
      <c r="B116" s="7" t="b">
        <f>ISERROR(FIND("-",FR!B116))</f>
        <v>1</v>
      </c>
      <c r="C116" s="7">
        <f>SetIndent(D116,(FR!C116-1)*2)</f>
        <v>4</v>
      </c>
      <c r="D116" s="35" t="str">
        <f>IF(ISERROR(FIND("-",FR!B116)),FR!B116&amp;" "&amp;FR!D116,FR!D116)</f>
        <v>14.3.2 Local DVR Bypass</v>
      </c>
      <c r="E116" s="7" t="str">
        <f>IF(H116="Modified",VLOOKUP(A116,'Prev PMR'!A$2:D$190,4),"")</f>
        <v/>
      </c>
      <c r="F116" s="7" t="str">
        <f>FR!E116</f>
        <v>Com</v>
      </c>
      <c r="G116" s="37" t="str">
        <f>IF(ISERROR(FIND("Adara 1.0",FR!F116)),
        IF(ISERROR(FIND("Adara 1.1",FR!F116)),
                IF(ISERROR(FIND("Deneb",FR!F116)),"errorRob","Deneb"),
         "Adara 1.1"),
  "Adara 1.0")</f>
        <v>Adara 1.0</v>
      </c>
      <c r="H116" s="19" t="str">
        <f>FR!I116</f>
        <v>Approved</v>
      </c>
      <c r="I116" s="7" t="str">
        <f>IF(ISBLANK(FR!G116),"",FR!G116)</f>
        <v/>
      </c>
      <c r="J116" s="6" t="str">
        <f>IF(ISBLANK(FR!H116),"",FR!H116)</f>
        <v xml:space="preserve">TR-DSRSW-1596 DVR Bypass </v>
      </c>
    </row>
    <row r="117" spans="1:10" ht="45" x14ac:dyDescent="0.25">
      <c r="A117" s="10" t="str">
        <f>FR!A117</f>
        <v>FR-DSRSW-1370</v>
      </c>
      <c r="B117" s="7" t="b">
        <f>ISERROR(FIND("-",FR!B117))</f>
        <v>0</v>
      </c>
      <c r="C117" s="7">
        <f>SetIndent(D117,(FR!C117-1)*2)</f>
        <v>6</v>
      </c>
      <c r="D117" s="38" t="str">
        <f>IF(ISERROR(FIND("-",FR!B117)),FR!B117&amp;" "&amp;FR!D117,FR!D117)</f>
        <v>The product SHALL support bypassing the local DVR (or internal HDD) during a drive failure, continue to operate and pass live tuned A/V content to the A/V outputs.</v>
      </c>
      <c r="E117" s="7" t="str">
        <f>IF(H117="Modified",VLOOKUP(A117,'Prev PMR'!A$2:D$190,4),"")</f>
        <v/>
      </c>
      <c r="F117" s="7" t="str">
        <f>FR!E117</f>
        <v>Req</v>
      </c>
      <c r="G117" s="37" t="str">
        <f>IF(ISERROR(FIND("Adara 1.0",FR!F117)),
        IF(ISERROR(FIND("Adara 1.1",FR!F117)),
                IF(ISERROR(FIND("Deneb",FR!F117)),"errorRob","Deneb"),
         "Adara 1.1"),
  "Adara 1.0")</f>
        <v>Adara 1.0</v>
      </c>
      <c r="H117" s="19" t="str">
        <f>FR!I117</f>
        <v>Approved</v>
      </c>
      <c r="I117" s="7" t="str">
        <f>IF(ISBLANK(FR!G117),"",FR!G117)</f>
        <v/>
      </c>
      <c r="J117" s="6" t="str">
        <f>IF(ISBLANK(FR!H117),"",FR!H117)</f>
        <v xml:space="preserve">TR-DSRSW-1598  The product SHALL continue to operate and pass live audio/video to the audio/video outputs when during a hard drive failure. </v>
      </c>
    </row>
    <row r="118" spans="1:10" x14ac:dyDescent="0.25">
      <c r="A118" s="10" t="str">
        <f>FR!A118</f>
        <v>FR-DSRSW-1371</v>
      </c>
      <c r="B118" s="7" t="b">
        <f>ISERROR(FIND("-",FR!B118))</f>
        <v>1</v>
      </c>
      <c r="C118" s="7">
        <f>SetIndent(D118,(FR!C118-1)*2)</f>
        <v>4</v>
      </c>
      <c r="D118" s="35" t="str">
        <f>IF(ISERROR(FIND("-",FR!B118)),FR!B118&amp;" "&amp;FR!D118,FR!D118)</f>
        <v>14.3.3 DVR Recording</v>
      </c>
      <c r="E118" s="7" t="str">
        <f>IF(H118="Modified",VLOOKUP(A118,'Prev PMR'!A$2:D$190,4),"")</f>
        <v/>
      </c>
      <c r="F118" s="7" t="str">
        <f>FR!E118</f>
        <v>Com</v>
      </c>
      <c r="G118" s="37" t="str">
        <f>IF(ISERROR(FIND("Adara 1.0",FR!F118)),
        IF(ISERROR(FIND("Adara 1.1",FR!F118)),
                IF(ISERROR(FIND("Deneb",FR!F118)),"errorRob","Deneb"),
         "Adara 1.1"),
  "Adara 1.0")</f>
        <v>Adara 1.0</v>
      </c>
      <c r="H118" s="19" t="str">
        <f>FR!I118</f>
        <v>Approved</v>
      </c>
      <c r="I118" s="7" t="str">
        <f>IF(ISBLANK(FR!G118),"",FR!G118)</f>
        <v/>
      </c>
      <c r="J118" s="6" t="str">
        <f>IF(ISBLANK(FR!H118),"",FR!H118)</f>
        <v/>
      </c>
    </row>
    <row r="119" spans="1:10" ht="225" x14ac:dyDescent="0.25">
      <c r="A119" s="10" t="str">
        <f>FR!A119</f>
        <v>FR-DSRSW-1372</v>
      </c>
      <c r="B119" s="7" t="b">
        <f>ISERROR(FIND("-",FR!B119))</f>
        <v>0</v>
      </c>
      <c r="C119" s="7">
        <f>SetIndent(D119,(FR!C119-1)*2)</f>
        <v>6</v>
      </c>
      <c r="D119" s="38" t="str">
        <f>IF(ISERROR(FIND("-",FR!B119)),FR!B119&amp;" "&amp;FR!D119,FR!D119)</f>
        <v>The product SHALL support recording up to (2) HD streams simultaneously to the hard disk drive.</v>
      </c>
      <c r="E119" s="7" t="str">
        <f>IF(H119="Modified",VLOOKUP(A119,'Prev PMR'!A$2:D$190,4),"")</f>
        <v/>
      </c>
      <c r="F119" s="7" t="str">
        <f>FR!E119</f>
        <v>Req</v>
      </c>
      <c r="G119" s="37" t="str">
        <f>IF(ISERROR(FIND("Adara 1.0",FR!F119)),
        IF(ISERROR(FIND("Adara 1.1",FR!F119)),
                IF(ISERROR(FIND("Deneb",FR!F119)),"errorRob","Deneb"),
         "Adara 1.1"),
  "Adara 1.0")</f>
        <v>Adara 1.0</v>
      </c>
      <c r="H119" s="19" t="str">
        <f>FR!I119</f>
        <v>Approved</v>
      </c>
      <c r="I119" s="7" t="str">
        <f>IF(ISBLANK(FR!G119),"",FR!G119)</f>
        <v/>
      </c>
      <c r="J119" s="6" t="str">
        <f>IF(ISBLANK(FR!H119),"",FR!H119)</f>
        <v xml:space="preserve">TR-DSRSW-1599 DVR Recording 
TR-DSRSW-1601  The product SHALL be capable of concurrently recording up to two (2) AV streams with any combination of MPEG-2, MPEG-4 AVC, or HEVC, encoded content from its tuners to a supported hard disk drive (HDD). 
TR-DSRSW-1602  The product SHALL be capable of recording all audio, video, and data components (identified via PIDs associated with the PMT) of a target MPEG-2 program being recorded as directed by platform software.  
TR-DSRSW-1603  The product SHALL be capable of recording all audio, video, and data components (identified via PIDs associated with the PMT) of a target MPEG-4 program being recorded as directed by platform software.  
TR-DSRSW-1604  The product SHALL be capable of recording variable bit rate encoded and constant bit rate encoded digital AV streams. 
TR-DSRSW-2181  The product SHALL be capable of recording all audio, video, and data components (identified via PIDs associated with the PMT) of a target HEVC program being recorded as directed by platform software.  </v>
      </c>
    </row>
    <row r="120" spans="1:10" x14ac:dyDescent="0.25">
      <c r="A120" s="10" t="str">
        <f>FR!A120</f>
        <v>FR-DSRSW-1373</v>
      </c>
      <c r="B120" s="7" t="b">
        <f>ISERROR(FIND("-",FR!B120))</f>
        <v>1</v>
      </c>
      <c r="C120" s="7">
        <f>SetIndent(D120,(FR!C120-1)*2)</f>
        <v>4</v>
      </c>
      <c r="D120" s="35" t="str">
        <f>IF(ISERROR(FIND("-",FR!B120)),FR!B120&amp;" "&amp;FR!D120,FR!D120)</f>
        <v>14.3.4 DVR Trick Play</v>
      </c>
      <c r="E120" s="7" t="str">
        <f>IF(H120="Modified",VLOOKUP(A120,'Prev PMR'!A$2:D$190,4),"")</f>
        <v/>
      </c>
      <c r="F120" s="7" t="str">
        <f>FR!E120</f>
        <v>Com</v>
      </c>
      <c r="G120" s="37" t="str">
        <f>IF(ISERROR(FIND("Adara 1.0",FR!F120)),
        IF(ISERROR(FIND("Adara 1.1",FR!F120)),
                IF(ISERROR(FIND("Deneb",FR!F120)),"errorRob","Deneb"),
         "Adara 1.1"),
  "Adara 1.0")</f>
        <v>Adara 1.0</v>
      </c>
      <c r="H120" s="19" t="str">
        <f>FR!I120</f>
        <v>Approved</v>
      </c>
      <c r="I120" s="7" t="str">
        <f>IF(ISBLANK(FR!G120),"",FR!G120)</f>
        <v/>
      </c>
      <c r="J120" s="6" t="str">
        <f>IF(ISBLANK(FR!H120),"",FR!H120)</f>
        <v xml:space="preserve">TR-DSRSW-1605 DVR Trick Play </v>
      </c>
    </row>
    <row r="121" spans="1:10" ht="409.5" x14ac:dyDescent="0.25">
      <c r="A121" s="10" t="str">
        <f>FR!A121</f>
        <v>FR-DSRSW-1374</v>
      </c>
      <c r="B121" s="7" t="b">
        <f>ISERROR(FIND("-",FR!B121))</f>
        <v>0</v>
      </c>
      <c r="C121" s="7">
        <f>SetIndent(D121,(FR!C121-1)*2)</f>
        <v>6</v>
      </c>
      <c r="D121" s="38" t="str">
        <f>IF(ISERROR(FIND("-",FR!B121)),FR!B121&amp;" "&amp;FR!D121,FR!D121)</f>
        <v>The product SHALL support trick-play of the stream being played back, for all supported coding formats (MPEG-2 , MPEG-4, HEVC).</v>
      </c>
      <c r="E121" s="7" t="str">
        <f>IF(H121="Modified",VLOOKUP(A121,'Prev PMR'!A$2:D$190,4),"")</f>
        <v/>
      </c>
      <c r="F121" s="7" t="str">
        <f>FR!E121</f>
        <v>Req</v>
      </c>
      <c r="G121" s="37" t="str">
        <f>IF(ISERROR(FIND("Adara 1.0",FR!F121)),
        IF(ISERROR(FIND("Adara 1.1",FR!F121)),
                IF(ISERROR(FIND("Deneb",FR!F121)),"errorRob","Deneb"),
         "Adara 1.1"),
  "Adara 1.0")</f>
        <v>Adara 1.0</v>
      </c>
      <c r="H121" s="19" t="str">
        <f>FR!I121</f>
        <v>Approved</v>
      </c>
      <c r="I121" s="7" t="str">
        <f>IF(ISBLANK(FR!G121),"",FR!G121)</f>
        <v/>
      </c>
      <c r="J121" s="6" t="str">
        <f>IF(ISBLANK(FR!H121),"",FR!H121)</f>
        <v>TR-DSRSW-1606  The product SHALL support trick-play of the stream being played back.
TR-DSRSW-1607  The product SHALL be capable of independent trick play capability on each stream being played back from a hard disk drive (HDD).  This requirement applies for any combination of supported coding formats (MPEG-2, MPEG-4, or HEVC).
TR-DSRSW-1608  The product SHALL support a "Fast Forward" capability on a stream being played back from a hard disk drive (HDD) with multiple speed options.  This requirement applies for all  supported coding formats.
TR-DSRSW-1609  The product SHALL support a "Pause" capability on a stream being played back from a
TR-DSRSW-1610  The product SHALL support a "Rewind" capability on a stream being played back from the a hard disk drive (HDD) with multiple speed options. This requirement applies for all  supported coding formats.
TR-DSRSW-1611  The product SHALL support a "Slow Motion Forward" capability on a stream being played back from a disk drive (HDD) with multiple speed options. This requirement applies for all  supported coding formats.
TR-DSRSW-1612  The product SHALL support a "Slow Motion Rewind" capability on a stream being played back from the a disk drive (HDD) with multiple speed options. This requirement applies for all  supported coding formats. This requirement applies for all  supported coding formats.
TR-DSRSW-1613  The product SHALL support a "Skip Forward" capability, in units of seconds, to any place on a stream being played back from a hard disk drive (HDD).  This requirement applies for all  supported coding formats.[keyword: jump ]
TR-DSRSW-1614  The product SHALL support a "Skip Backward" capability, in units of seconds, to any place on a stream being played back from a hard disk drive (HDD).  This requirement applies for all  supported coding formats.[keyword: jump ]
TR-DSRSW-1615  The product SHALL mute audio corresponding to video in DVR trick play.
TR-DSRSW-1616  The product SHALL disable closed caption rendering associated with a service for which DVR trick play is in progress.
TR-DSRSW-1617  The product SHALL disable closed caption reconstruction associated with a service for which DVR trick play is in progress.
TR-DSRSW-1618  The product SHALL support independent trick-play control of every MPEG-4 stream being played back.
TR-DSRSW-1619  The product SHALL support trick-play with each Transport Stream containing MPEG-4 video that is being played back from hard-disk.
TR-DSRSW-1620  The product SHALL enable "Pause"  functionality during playback of an Transport Stream with MPEG-4 video from hard-disk.
TR-DSRSW-1621  The product SHALL enable "Fast Forward" of a Transport Stream with MPEG-4 video being played back from the local hard disk drive at multiple speeds.
TR-DSRSW-1622  The product SHALL enable "Rewind" of a Transport Stream with MPEG-4 video being played back from the local hard disk drive at multiple speeds.
TR-DSRSW-1623  The product SHALL enable "Slow Motion Fast Forward" of a Transport Stream with MPEG-4 video being played back from the local hard disk drive at multiple speeds.
TR-DSRSW-1624  The product SHALL enable "Slow Motion Rewind" of a Transport Stream with MPEG-4 video being played back from the local hard disk drive at multiple speeds.
TR-DSRSW-1625  The product SHALL allow the application to specify the speed and direction of trick-play for DVR content.
TR-DSRSW-1626  The product SHALL support trick-play of content encoded at Main Profile or High Profile, upto Level 4.1 of content. Note: The formats and resolution for supported formats is described in decoding requirements.</v>
      </c>
    </row>
    <row r="122" spans="1:10" ht="30" x14ac:dyDescent="0.25">
      <c r="A122" s="10" t="str">
        <f>FR!A122</f>
        <v>FR-DSRSW-1484</v>
      </c>
      <c r="B122" s="7" t="b">
        <f>ISERROR(FIND("-",FR!B122))</f>
        <v>0</v>
      </c>
      <c r="C122" s="7">
        <f>SetIndent(D122,(FR!C122-1)*2)</f>
        <v>6</v>
      </c>
      <c r="D122" s="38" t="str">
        <f>IF(ISERROR(FIND("-",FR!B122)),FR!B122&amp;" "&amp;FR!D122,FR!D122)</f>
        <v>The product SHALL support adjustable fast forward and rewind speeds for the application.</v>
      </c>
      <c r="E122" s="7" t="str">
        <f>IF(H122="Modified",VLOOKUP(A122,'Prev PMR'!A$2:D$190,4),"")</f>
        <v/>
      </c>
      <c r="F122" s="7" t="str">
        <f>FR!E122</f>
        <v>Req</v>
      </c>
      <c r="G122" s="37" t="str">
        <f>IF(ISERROR(FIND("Adara 1.0",FR!F122)),
        IF(ISERROR(FIND("Adara 1.1",FR!F122)),
                IF(ISERROR(FIND("Deneb",FR!F122)),"errorRob","Deneb"),
         "Adara 1.1"),
  "Adara 1.0")</f>
        <v>Adara 1.0</v>
      </c>
      <c r="H122" s="19" t="str">
        <f>FR!I122</f>
        <v>Approved</v>
      </c>
      <c r="I122" s="7" t="str">
        <f>IF(ISBLANK(FR!G122),"",FR!G122)</f>
        <v/>
      </c>
      <c r="J122" s="6" t="str">
        <f>IF(ISBLANK(FR!H122),"",FR!H122)</f>
        <v>TR-DSRSW-1625  The product SHALL allow the application to specify the speed and direction of trick-play for DVR content.</v>
      </c>
    </row>
    <row r="123" spans="1:10" x14ac:dyDescent="0.25">
      <c r="A123" s="10" t="str">
        <f>FR!A123</f>
        <v>FR-DSRSW-1480</v>
      </c>
      <c r="B123" s="7" t="b">
        <f>ISERROR(FIND("-",FR!B123))</f>
        <v>1</v>
      </c>
      <c r="C123" s="7">
        <f>SetIndent(D123,(FR!C123-1)*2)</f>
        <v>2</v>
      </c>
      <c r="D123" s="34" t="str">
        <f>IF(ISERROR(FIND("-",FR!B123)),FR!B123&amp;" "&amp;FR!D123,FR!D123)</f>
        <v>14.4 DVR File Functions</v>
      </c>
      <c r="E123" s="7" t="str">
        <f>IF(H123="Modified",VLOOKUP(A123,'Prev PMR'!A$2:D$190,4),"")</f>
        <v/>
      </c>
      <c r="F123" s="7" t="str">
        <f>FR!E123</f>
        <v>Com</v>
      </c>
      <c r="G123" s="37" t="str">
        <f>IF(ISERROR(FIND("Adara 1.0",FR!F123)),
        IF(ISERROR(FIND("Adara 1.1",FR!F123)),
                IF(ISERROR(FIND("Deneb",FR!F123)),"errorRob","Deneb"),
         "Adara 1.1"),
  "Adara 1.0")</f>
        <v>Adara 1.0</v>
      </c>
      <c r="H123" s="19" t="str">
        <f>FR!I123</f>
        <v>Approved</v>
      </c>
      <c r="I123" s="7" t="str">
        <f>IF(ISBLANK(FR!G123),"",FR!G123)</f>
        <v/>
      </c>
      <c r="J123" s="6" t="str">
        <f>IF(ISBLANK(FR!H123),"",FR!H123)</f>
        <v/>
      </c>
    </row>
    <row r="124" spans="1:10" ht="60" x14ac:dyDescent="0.25">
      <c r="A124" s="10" t="str">
        <f>FR!A124</f>
        <v>FR-DSRSW-1534</v>
      </c>
      <c r="B124" s="7" t="b">
        <f>ISERROR(FIND("-",FR!B124))</f>
        <v>0</v>
      </c>
      <c r="C124" s="7">
        <f>SetIndent(D124,(FR!C124-1)*2)</f>
        <v>4</v>
      </c>
      <c r="D124" s="35" t="str">
        <f>IF(ISERROR(FIND("-",FR!B124)),FR!B124&amp;" "&amp;FR!D124,FR!D124)</f>
        <v>The product SHALL support support a DVR recoring file format that is forward compatible with DVR append and split capability.</v>
      </c>
      <c r="E124" s="7" t="str">
        <f>IF(H124="Modified",VLOOKUP(A124,'Prev PMR'!A$2:D$190,4),"")</f>
        <v/>
      </c>
      <c r="F124" s="7" t="str">
        <f>FR!E124</f>
        <v>Req</v>
      </c>
      <c r="G124" s="37" t="str">
        <f>IF(ISERROR(FIND("Adara 1.0",FR!F124)),
        IF(ISERROR(FIND("Adara 1.1",FR!F124)),
                IF(ISERROR(FIND("Deneb",FR!F124)),"errorRob","Deneb"),
         "Adara 1.1"),
  "Adara 1.0")</f>
        <v>Adara 1.0</v>
      </c>
      <c r="H124" s="19" t="str">
        <f>FR!I124</f>
        <v>Approved</v>
      </c>
      <c r="I124" s="7" t="str">
        <f>IF(ISBLANK(FR!G124),"",FR!G124)</f>
        <v/>
      </c>
      <c r="J124" s="6" t="str">
        <f>IF(ISBLANK(FR!H124),"",FR!H124)</f>
        <v>TR-DSRSW-2465  The product SHALL implement a DVR recording file structure/manifest that is compatible with code releases that implement DVR file append and spit capability. (Note: The intent here is to avoid incompatible DVR file formats)</v>
      </c>
    </row>
    <row r="125" spans="1:10" ht="240" x14ac:dyDescent="0.25">
      <c r="A125" s="10" t="str">
        <f>FR!A125</f>
        <v>FR-DSRSW-1481</v>
      </c>
      <c r="B125" s="7" t="b">
        <f>ISERROR(FIND("-",FR!B125))</f>
        <v>0</v>
      </c>
      <c r="C125" s="7">
        <f>SetIndent(D125,(FR!C125-1)*2)</f>
        <v>4</v>
      </c>
      <c r="D125" s="35" t="str">
        <f>IF(ISERROR(FIND("-",FR!B125)),FR!B125&amp;" "&amp;FR!D125,FR!D125)</f>
        <v>The product SHALL support appending DVR recording files.</v>
      </c>
      <c r="E125" s="7" t="str">
        <f>IF(H125="Modified",VLOOKUP(A125,'Prev PMR'!A$2:D$190,4),"")</f>
        <v/>
      </c>
      <c r="F125" s="7" t="str">
        <f>FR!E125</f>
        <v>Req</v>
      </c>
      <c r="G125" s="37" t="str">
        <f>IF(ISERROR(FIND("Adara 1.0",FR!F125)),
        IF(ISERROR(FIND("Adara 1.1",FR!F125)),
                IF(ISERROR(FIND("Deneb",FR!F125)),"errorRob","Deneb"),
         "Adara 1.1"),
  "Adara 1.0")</f>
        <v>Adara 1.1</v>
      </c>
      <c r="H125" s="19" t="str">
        <f>FR!I125</f>
        <v>Approved</v>
      </c>
      <c r="I125" s="7" t="str">
        <f>IF(ISBLANK(FR!G125),"",FR!G125)</f>
        <v/>
      </c>
      <c r="J125" s="6" t="str">
        <f>IF(ISBLANK(FR!H125),"",FR!H125)</f>
        <v>TR-DSRSW-2238 Append 
TR-DSRSW-2362  The product SHALL provide an “append API” that allows the application to append progam streams.
TR-DSRSW-2363  The product SHALL provide an append API that allows one file to be a live foreground (LOD) recording.
TR-DSRSW-2364  The product SHALL provide an append API that allows one file to be a live background recording.
TR-DSRSW-2365  The product SHALL provide an append API that allows the appended files to be any of the supported audio and video formats.
TR-DSRSW-2366  The product SHALL provide an append API that allows the appended files to be different audio formats or video formats.
TR-DSRSW-2464 File Format 
TR-DSRSW-2465  The product SHALL implement a DVR recording file structure/manifest that is compatible with code releases that implement DVR file append and spit capability. (Note: The intent here is to avoid incompatible DVR file formats)</v>
      </c>
    </row>
    <row r="126" spans="1:10" ht="195" x14ac:dyDescent="0.25">
      <c r="A126" s="10" t="str">
        <f>FR!A126</f>
        <v>FR-DSRSW-1529</v>
      </c>
      <c r="B126" s="7" t="b">
        <f>ISERROR(FIND("-",FR!B126))</f>
        <v>0</v>
      </c>
      <c r="C126" s="7">
        <f>SetIndent(D126,(FR!C126-1)*2)</f>
        <v>4</v>
      </c>
      <c r="D126" s="35" t="str">
        <f>IF(ISERROR(FIND("-",FR!B126)),FR!B126&amp;" "&amp;FR!D126,FR!D126)</f>
        <v>The product SHALL support splitting DVR recording files.</v>
      </c>
      <c r="E126" s="7" t="str">
        <f>IF(H126="Modified",VLOOKUP(A126,'Prev PMR'!A$2:D$190,4),"")</f>
        <v/>
      </c>
      <c r="F126" s="7" t="str">
        <f>FR!E126</f>
        <v>Req</v>
      </c>
      <c r="G126" s="37" t="str">
        <f>IF(ISERROR(FIND("Adara 1.0",FR!F126)),
        IF(ISERROR(FIND("Adara 1.1",FR!F126)),
                IF(ISERROR(FIND("Deneb",FR!F126)),"errorRob","Deneb"),
         "Adara 1.1"),
  "Adara 1.0")</f>
        <v>Adara 1.1</v>
      </c>
      <c r="H126" s="19" t="str">
        <f>FR!I126</f>
        <v>Deferred</v>
      </c>
      <c r="I126" s="7" t="str">
        <f>IF(ISBLANK(FR!G126),"",FR!G126)</f>
        <v/>
      </c>
      <c r="J126" s="6" t="str">
        <f>IF(ISBLANK(FR!H126),"",FR!H126)</f>
        <v>TR-DSRSW-2241 Split 
TR-DSRSW-2442  The product SHALL continue to play an active file resulting from a split recording.
TR-DSRSW-2443  The product SHALL provide an split API that allows the target file to be a live background DVR recording.
TR-DSRSW-2450  The product SHALL provide an “split API” that allows the application to split a DVR program file into seperate DVR files.
TR-DSRSW-2451  The product SHALL continue to record an active file resulting from a split recording.
TR-DSRSW-2453  The product SHALL provide an split API that allows the target file to be a live foreground DVR recording.
TR-DSRSW-2454  The product SHALL provide an split API that allows the target file to be a completed DVR recording.</v>
      </c>
    </row>
    <row r="127" spans="1:10" x14ac:dyDescent="0.25">
      <c r="A127" s="10" t="str">
        <f>FR!A127</f>
        <v>FR-DSRSW-1539</v>
      </c>
      <c r="B127" s="7" t="b">
        <f>ISERROR(FIND("-",FR!B127))</f>
        <v>1</v>
      </c>
      <c r="C127" s="7">
        <f>SetIndent(D127,(FR!C127-1)*2)</f>
        <v>2</v>
      </c>
      <c r="D127" s="34" t="str">
        <f>IF(ISERROR(FIND("-",FR!B127)),FR!B127&amp;" "&amp;FR!D127,FR!D127)</f>
        <v>14.5 DVR API</v>
      </c>
      <c r="E127" s="7" t="str">
        <f>IF(H127="Modified",VLOOKUP(A127,'Prev PMR'!A$2:D$190,4),"")</f>
        <v/>
      </c>
      <c r="F127" s="7" t="str">
        <f>FR!E127</f>
        <v>Com</v>
      </c>
      <c r="G127" s="37" t="str">
        <f>IF(ISERROR(FIND("Adara 1.0",FR!F127)),
        IF(ISERROR(FIND("Adara 1.1",FR!F127)),
                IF(ISERROR(FIND("Deneb",FR!F127)),"errorRob","Deneb"),
         "Adara 1.1"),
  "Adara 1.0")</f>
        <v>Deneb</v>
      </c>
      <c r="H127" s="19" t="str">
        <f>FR!I127</f>
        <v>New</v>
      </c>
      <c r="I127" s="7" t="str">
        <f>IF(ISBLANK(FR!G127),"",FR!G127)</f>
        <v/>
      </c>
      <c r="J127" s="6" t="str">
        <f>IF(ISBLANK(FR!H127),"",FR!H127)</f>
        <v xml:space="preserve">TR-DSRSW-2561 DVR API </v>
      </c>
    </row>
    <row r="128" spans="1:10" ht="30" x14ac:dyDescent="0.25">
      <c r="A128" s="10" t="str">
        <f>FR!A128</f>
        <v>FR-DSRSW-1540</v>
      </c>
      <c r="B128" s="7" t="b">
        <f>ISERROR(FIND("-",FR!B128))</f>
        <v>0</v>
      </c>
      <c r="C128" s="7">
        <f>SetIndent(D128,(FR!C128-1)*2)</f>
        <v>4</v>
      </c>
      <c r="D128" s="35" t="str">
        <f>IF(ISERROR(FIND("-",FR!B128)),FR!B128&amp;" "&amp;FR!D128,FR!D128)</f>
        <v>The product SHALL notify the application of success or failure for any tuning related API call.</v>
      </c>
      <c r="E128" s="7" t="str">
        <f>IF(H128="Modified",VLOOKUP(A128,'Prev PMR'!A$2:D$190,4),"")</f>
        <v/>
      </c>
      <c r="F128" s="7" t="str">
        <f>FR!E128</f>
        <v>Req</v>
      </c>
      <c r="G128" s="37" t="str">
        <f>IF(ISERROR(FIND("Adara 1.0",FR!F128)),
        IF(ISERROR(FIND("Adara 1.1",FR!F128)),
                IF(ISERROR(FIND("Deneb",FR!F128)),"errorRob","Deneb"),
         "Adara 1.1"),
  "Adara 1.0")</f>
        <v>Deneb</v>
      </c>
      <c r="H128" s="19" t="str">
        <f>FR!I128</f>
        <v>New</v>
      </c>
      <c r="I128" s="7" t="str">
        <f>IF(ISBLANK(FR!G128),"",FR!G128)</f>
        <v/>
      </c>
      <c r="J128" s="6" t="str">
        <f>IF(ISBLANK(FR!H128),"",FR!H128)</f>
        <v>TR-DSRSW-2562  The product SHALL notify the application of success or failure for any recording related API call.</v>
      </c>
    </row>
    <row r="129" spans="1:10" ht="30" x14ac:dyDescent="0.25">
      <c r="A129" s="10" t="str">
        <f>FR!A129</f>
        <v>FR-DSRSW-1542</v>
      </c>
      <c r="B129" s="7" t="b">
        <f>ISERROR(FIND("-",FR!B129))</f>
        <v>0</v>
      </c>
      <c r="C129" s="7">
        <f>SetIndent(D129,(FR!C129-1)*2)</f>
        <v>4</v>
      </c>
      <c r="D129" s="35" t="str">
        <f>IF(ISERROR(FIND("-",FR!B129)),FR!B129&amp;" "&amp;FR!D129,FR!D129)</f>
        <v>The product SHALL provide a DVR generic metadata interface.</v>
      </c>
      <c r="E129" s="7" t="str">
        <f>IF(H129="Modified",VLOOKUP(A129,'Prev PMR'!A$2:D$190,4),"")</f>
        <v/>
      </c>
      <c r="F129" s="7" t="str">
        <f>FR!E129</f>
        <v>Req</v>
      </c>
      <c r="G129" s="37" t="str">
        <f>IF(ISERROR(FIND("Adara 1.0",FR!F129)),
        IF(ISERROR(FIND("Adara 1.1",FR!F129)),
                IF(ISERROR(FIND("Deneb",FR!F129)),"errorRob","Deneb"),
         "Adara 1.1"),
  "Adara 1.0")</f>
        <v>Deneb</v>
      </c>
      <c r="H129" s="19" t="str">
        <f>FR!I129</f>
        <v>New</v>
      </c>
      <c r="I129" s="7" t="str">
        <f>IF(ISBLANK(FR!G129),"",FR!G129)</f>
        <v/>
      </c>
      <c r="J129" s="6" t="str">
        <f>IF(ISBLANK(FR!H129),"",FR!H129)</f>
        <v>TR-DSRSW-2564  The product SHALL allow the application to associate a generic metadata buffer, up to 128 bytes, with a recoding.</v>
      </c>
    </row>
    <row r="130" spans="1:10" x14ac:dyDescent="0.25">
      <c r="A130" s="10" t="str">
        <f>FR!A130</f>
        <v>FR-DSRSW-1376</v>
      </c>
      <c r="B130" s="7" t="b">
        <f>ISERROR(FIND("-",FR!B130))</f>
        <v>1</v>
      </c>
      <c r="C130" s="7">
        <f>SetIndent(D130,(FR!C130-1)*2)</f>
        <v>0</v>
      </c>
      <c r="D130" s="7" t="str">
        <f>IF(ISERROR(FIND("-",FR!B130)),FR!B130&amp;" "&amp;FR!D130,FR!D130)</f>
        <v>15 Time</v>
      </c>
      <c r="E130" s="7" t="str">
        <f>IF(H130="Modified",VLOOKUP(A130,'Prev PMR'!A$2:D$190,4),"")</f>
        <v/>
      </c>
      <c r="F130" s="7" t="str">
        <f>FR!E130</f>
        <v>Com</v>
      </c>
      <c r="G130" s="37" t="str">
        <f>IF(ISERROR(FIND("Adara 1.0",FR!F130)),
        IF(ISERROR(FIND("Adara 1.1",FR!F130)),
                IF(ISERROR(FIND("Deneb",FR!F130)),"errorRob","Deneb"),
         "Adara 1.1"),
  "Adara 1.0")</f>
        <v>Adara 1.0</v>
      </c>
      <c r="H130" s="19" t="str">
        <f>FR!I130</f>
        <v>Approved</v>
      </c>
      <c r="I130" s="7" t="str">
        <f>IF(ISBLANK(FR!G130),"",FR!G130)</f>
        <v/>
      </c>
      <c r="J130" s="6" t="str">
        <f>IF(ISBLANK(FR!H130),"",FR!H130)</f>
        <v xml:space="preserve">TR-DSRSW-1627 Time </v>
      </c>
    </row>
    <row r="131" spans="1:10" ht="135" x14ac:dyDescent="0.25">
      <c r="A131" s="10" t="str">
        <f>FR!A131</f>
        <v>FR-DSRSW-1377</v>
      </c>
      <c r="B131" s="7" t="b">
        <f>ISERROR(FIND("-",FR!B131))</f>
        <v>0</v>
      </c>
      <c r="C131" s="7">
        <f>SetIndent(D131,(FR!C131-1)*2)</f>
        <v>2</v>
      </c>
      <c r="D131" s="34" t="str">
        <f>IF(ISERROR(FIND("-",FR!B131)),FR!B131&amp;" "&amp;FR!D131,FR!D131)</f>
        <v>The product SHALL support synchronization of system time with NTP time.</v>
      </c>
      <c r="E131" s="7" t="str">
        <f>IF(H131="Modified",VLOOKUP(A131,'Prev PMR'!A$2:D$190,4),"")</f>
        <v/>
      </c>
      <c r="F131" s="7" t="str">
        <f>FR!E131</f>
        <v>Req</v>
      </c>
      <c r="G131" s="37" t="str">
        <f>IF(ISERROR(FIND("Adara 1.0",FR!F131)),
        IF(ISERROR(FIND("Adara 1.1",FR!F131)),
                IF(ISERROR(FIND("Deneb",FR!F131)),"errorRob","Deneb"),
         "Adara 1.1"),
  "Adara 1.0")</f>
        <v>Adara 1.0</v>
      </c>
      <c r="H131" s="19" t="str">
        <f>FR!I131</f>
        <v>Approved</v>
      </c>
      <c r="I131" s="7" t="str">
        <f>IF(ISBLANK(FR!G131),"",FR!G131)</f>
        <v/>
      </c>
      <c r="J131" s="6" t="str">
        <f>IF(ISBLANK(FR!H131),"",FR!H131)</f>
        <v>TR-DSRSW-1628 Synchronization of System Time with NTP Time 
TR-DSRSW-1629  The product SHALL provide an API that allows the application to request that the product synchronize system time to an application-specified NTP time server.
TR-DSRSW-1630  The product SHALL, when requested by NTP time synchronization request, read the NTP time from the specified NTP time server.
TR-DSRSW-1631  The product SHALL synchronize system time to NTP time when a valid response is received from the specified NTP time server, in response to an NTP time request.</v>
      </c>
    </row>
    <row r="132" spans="1:10" x14ac:dyDescent="0.25">
      <c r="A132" s="10" t="str">
        <f>FR!A132</f>
        <v>FR-DSRSW-1487</v>
      </c>
      <c r="B132" s="7" t="b">
        <f>ISERROR(FIND("-",FR!B132))</f>
        <v>1</v>
      </c>
      <c r="C132" s="7">
        <f>SetIndent(D132,(FR!C132-1)*2)</f>
        <v>0</v>
      </c>
      <c r="D132" s="11" t="str">
        <f>IF(ISERROR(FIND("-",FR!B132)),FR!B132&amp;" "&amp;FR!D132,FR!D132)</f>
        <v>16 IP VOD HLS Streaming</v>
      </c>
      <c r="E132" s="7" t="str">
        <f>IF(H132="Modified",VLOOKUP(A132,'Prev PMR'!A$2:D$190,4),"")</f>
        <v/>
      </c>
      <c r="F132" s="7" t="str">
        <f>FR!E132</f>
        <v>Com</v>
      </c>
      <c r="G132" s="37" t="str">
        <f>IF(ISERROR(FIND("Adara 1.0",FR!F132)),
        IF(ISERROR(FIND("Adara 1.1",FR!F132)),
                IF(ISERROR(FIND("Deneb",FR!F132)),"errorRob","Deneb"),
         "Adara 1.1"),
  "Adara 1.0")</f>
        <v>Adara 1.0</v>
      </c>
      <c r="H132" s="19" t="str">
        <f>FR!I132</f>
        <v>Approved</v>
      </c>
      <c r="I132" s="7" t="str">
        <f>IF(ISBLANK(FR!G132),"",FR!G132)</f>
        <v/>
      </c>
      <c r="J132" s="6" t="str">
        <f>IF(ISBLANK(FR!H132),"",FR!H132)</f>
        <v/>
      </c>
    </row>
    <row r="133" spans="1:10" x14ac:dyDescent="0.25">
      <c r="A133" s="10" t="str">
        <f>FR!A133</f>
        <v>FR-DSRSW-1488</v>
      </c>
      <c r="B133" s="7" t="b">
        <f>ISERROR(FIND("-",FR!B133))</f>
        <v>1</v>
      </c>
      <c r="C133" s="7">
        <f>SetIndent(D133,(FR!C133-1)*2)</f>
        <v>2</v>
      </c>
      <c r="D133" s="34" t="str">
        <f>IF(ISERROR(FIND("-",FR!B133)),FR!B133&amp;" "&amp;FR!D133,FR!D133)</f>
        <v>16.1 VOD HLS</v>
      </c>
      <c r="E133" s="7" t="str">
        <f>IF(H133="Modified",VLOOKUP(A133,'Prev PMR'!A$2:D$190,4),"")</f>
        <v/>
      </c>
      <c r="F133" s="7" t="str">
        <f>FR!E133</f>
        <v>Com</v>
      </c>
      <c r="G133" s="37" t="str">
        <f>IF(ISERROR(FIND("Adara 1.0",FR!F133)),
        IF(ISERROR(FIND("Adara 1.1",FR!F133)),
                IF(ISERROR(FIND("Deneb",FR!F133)),"errorRob","Deneb"),
         "Adara 1.1"),
  "Adara 1.0")</f>
        <v>Adara 1.0</v>
      </c>
      <c r="H133" s="19" t="str">
        <f>FR!I133</f>
        <v>Approved</v>
      </c>
      <c r="I133" s="7" t="str">
        <f>IF(ISBLANK(FR!G133),"",FR!G133)</f>
        <v/>
      </c>
      <c r="J133" s="6" t="str">
        <f>IF(ISBLANK(FR!H133),"",FR!H133)</f>
        <v xml:space="preserve">TR-DSRSW-2182 IP VOD HLS Streaming </v>
      </c>
    </row>
    <row r="134" spans="1:10" ht="409.5" x14ac:dyDescent="0.25">
      <c r="A134" s="10" t="str">
        <f>FR!A134</f>
        <v>FR-DSRSW-1461</v>
      </c>
      <c r="B134" s="7" t="b">
        <f>ISERROR(FIND("-",FR!B134))</f>
        <v>0</v>
      </c>
      <c r="C134" s="7">
        <f>SetIndent(D134,(FR!C134-1)*2)</f>
        <v>4</v>
      </c>
      <c r="D134" s="35" t="str">
        <f>IF(ISERROR(FIND("-",FR!B134)),FR!B134&amp;" "&amp;FR!D134,FR!D134)</f>
        <v>The product SHALL support IP VOD HLS streaming.</v>
      </c>
      <c r="E134" s="7" t="str">
        <f>IF(H134="Modified",VLOOKUP(A134,'Prev PMR'!A$2:D$190,4),"")</f>
        <v/>
      </c>
      <c r="F134" s="7" t="str">
        <f>FR!E134</f>
        <v>Req</v>
      </c>
      <c r="G134" s="37" t="str">
        <f>IF(ISERROR(FIND("Adara 1.0",FR!F134)),
        IF(ISERROR(FIND("Adara 1.1",FR!F134)),
                IF(ISERROR(FIND("Deneb",FR!F134)),"errorRob","Deneb"),
         "Adara 1.1"),
  "Adara 1.0")</f>
        <v>Adara 1.0</v>
      </c>
      <c r="H134" s="19" t="str">
        <f>FR!I134</f>
        <v>Approved</v>
      </c>
      <c r="I134" s="7" t="str">
        <f>IF(ISBLANK(FR!G134),"",FR!G134)</f>
        <v/>
      </c>
      <c r="J134" s="6" t="str">
        <f>IF(ISBLANK(FR!H134),"",FR!H134)</f>
        <v xml:space="preserve">TR-DSRSW-1633  The product SHALL support an IP VOD HLS streaming application.
TR-DSRSW-1634  The product SHALL support variable length chunks in duration.
TR-DSRSW-1635  Note: The typical length of chunks is expected to be of the order of a second or a few seconds
TR-DSRSW-1636  The product SHALL be resilient and support input media streams that are highly jittered or are missing PCRs, have sloppy adherence to MPEG buffer models, have stream discontinuities without the MPEG-defined discontinuity indicators.
TR-DSRSW-1637  The product SHALL support streams with media files that may be encrypted.
TR-DSRSW-1638  Notes:
1. Media files could have the encryption method as NONE (unencrypted media files) or AES-128. Media files with Encryption method NONE denote unencrypted content, in which case, there is no notion of URI and Initialization vector attributes related to the key.
2. In case of media files with Encryption method of AES-128 encryption, the product needs to look at the URI attribute, which specifies how to obtain the key. If the Initialization vector is specified, the product needs to use the Initialization vector along with the key. The Initialization vector must be interpreted as a 128 bit hex number in such cases
3. If there is no initialization vector specified, the product needs to use the sequence number of the media file as the Initialization vector along with the key. This is as per the HLS spec and may not apply in case Secure Media is used with HLS.
4. In case of a stream that fully complies with HLS, the key occurs in EXT-X-KEY tag.
TR-DSRSW-1643  The product SHALL support streaming HLS video content at up to 8 Mbits/sec.
TR-DSRSW-1644  The product SHALL support streaming HLS audio content at up to 200 kbits/sec.
TR-DSRSW-1645 Buffer Related Requirements 
TR-DSRSW-1646  The product SHALL have two VOD input buffers dedicated for VOD service, with each buffer capable of supporting from 2 to 10 seconds of audio/video content for all supported service rates.
TR-DSRSW-1647  The product SHALL dedicate up to 24 MB of memory total for the IP VOD buffers.
TR-DSRSW-1648  (Note: Shaw wants up to 20 seconds of cache in addition to the live  2 second buffer. That's 22 seconds total, plus 2 MB for decryption RAM.
  8 Mbit/sec / 8bits  =  1 MByte per second of VOD.
  22 seconds of VOD requires 22 MB of RAM.
  Add the 2 MB decryption buffer for a total 24 MBytes of RAM.)
TR-DSRSW-1653  The product SHALL transition between various resolutions without visible artifacts. (NOTE: Shaw implements this requirement.  This requirement is for test plan linkage)
TR-DSRSW-1654  The product SHALL scale the received stream to the maximum resolution of the device when rendering content in full screen mode. (NOTE: Shaw implements this requirement.  This requirement is for test plan linkage)
TR-DSRSW-1655  The product SHALL transition between various bitrates without visible artifacts.(NOTE: Shaw implements this requirement.  This requirement is for test plan linkage)
TR-DSRSW-1656 Performance Attributes 
TR-DSRSW-1657  The product SHALL operate for 4 hours while continually playing back highest supported resolution video and audio content without any visual or audio artifacts, hangs, exceptions, or resets.
TR-DSRSW-1658  The product SHALL support applicable satellite background recording requirements during a VOD session. (For example, if the product supports two HD or SD background satellite recordings from signal tuners, the product shall still be able to record two SD or HD services in the background while a VOD service plays in the foreground).
TR-DSRSW-1659  The product SHALL apply the decoded output of internet video on all applicable ports (viz HDMI, Composite, Optical audio, Analog Audio, etc.) consistent with current configuration when the rendering of internet media content is in progress
TR-DSRSW-1660  The product SHALL render the internet video content in accordance with any scaling requested by the Application, provided the requested scaling is feasible under hardware support.
TR-DSRSW-1661  The product SHALL enable CGMS-Analog (Type A) for video copy protection during http based rendering of internet video content. (NOTE: The only analog video output for this product is 480i60 composite video, hence, only CGMS-A Type A is required.  Type B is used for 480p60 and higher analog resolutions)
TR-DSRSW-1662 Closed Captions 
TR-DSRSW-1663  The product SHALL support decoding and rendering closed captions during http based rendering of internet video content, as defined by the closed caption requirements in this PFS.
TR-DSRSW-2183 Variant Playlists 
TR-DSRSW-2184 General </v>
      </c>
    </row>
    <row r="135" spans="1:10" x14ac:dyDescent="0.25">
      <c r="A135" s="10" t="str">
        <f>FR!A135</f>
        <v>FR-DSRSW-1507</v>
      </c>
      <c r="B135" s="7" t="b">
        <f>ISERROR(FIND("-",FR!B135))</f>
        <v>1</v>
      </c>
      <c r="C135" s="7">
        <f>SetIndent(D135,(FR!C135-1)*2)</f>
        <v>0</v>
      </c>
      <c r="D135" s="33" t="str">
        <f>IF(ISERROR(FIND("-",FR!B135)),FR!B135&amp;" "&amp;FR!D135,FR!D135)</f>
        <v>17 Wi-Fi</v>
      </c>
      <c r="E135" s="7" t="str">
        <f>IF(H135="Modified",VLOOKUP(A135,'Prev PMR'!A$2:D$190,4),"")</f>
        <v/>
      </c>
      <c r="F135" s="7" t="str">
        <f>FR!E135</f>
        <v>Com</v>
      </c>
      <c r="G135" s="37" t="str">
        <f>IF(ISERROR(FIND("Adara 1.0",FR!F135)),
        IF(ISERROR(FIND("Adara 1.1",FR!F135)),
                IF(ISERROR(FIND("Deneb",FR!F135)),"errorRob","Deneb"),
         "Adara 1.1"),
  "Adara 1.0")</f>
        <v>Adara 1.0</v>
      </c>
      <c r="H135" s="19" t="str">
        <f>FR!I135</f>
        <v>Approved</v>
      </c>
      <c r="I135" s="7" t="str">
        <f>IF(ISBLANK(FR!G135),"",FR!G135)</f>
        <v/>
      </c>
      <c r="J135" s="6" t="str">
        <f>IF(ISBLANK(FR!H135),"",FR!H135)</f>
        <v/>
      </c>
    </row>
    <row r="136" spans="1:10" ht="409.5" x14ac:dyDescent="0.25">
      <c r="A136" s="10" t="str">
        <f>FR!A136</f>
        <v>FR-DSRSW-1508</v>
      </c>
      <c r="B136" s="7" t="b">
        <f>ISERROR(FIND("-",FR!B136))</f>
        <v>0</v>
      </c>
      <c r="C136" s="7">
        <f>SetIndent(D136,(FR!C136-1)*2)</f>
        <v>2</v>
      </c>
      <c r="D136" s="34" t="str">
        <f>IF(ISERROR(FIND("-",FR!B136)),FR!B136&amp;" "&amp;FR!D136,FR!D136)</f>
        <v>The product SHALL support an 802.11ac Wi-Fi client for reception of VOD HLS content.</v>
      </c>
      <c r="E136" s="7" t="str">
        <f>IF(H136="Modified",VLOOKUP(A136,'Prev PMR'!A$2:D$190,4),"")</f>
        <v/>
      </c>
      <c r="F136" s="7" t="str">
        <f>FR!E136</f>
        <v>Req</v>
      </c>
      <c r="G136" s="37" t="str">
        <f>IF(ISERROR(FIND("Adara 1.0",FR!F136)),
        IF(ISERROR(FIND("Adara 1.1",FR!F136)),
                IF(ISERROR(FIND("Deneb",FR!F136)),"errorRob","Deneb"),
         "Adara 1.1"),
  "Adara 1.0")</f>
        <v>Adara 1.0</v>
      </c>
      <c r="H136" s="19" t="str">
        <f>FR!I136</f>
        <v>Approved</v>
      </c>
      <c r="I136" s="7" t="str">
        <f>IF(ISBLANK(FR!G136),"",FR!G136)</f>
        <v/>
      </c>
      <c r="J136" s="6" t="str">
        <f>IF(ISBLANK(FR!H136),"",FR!H136)</f>
        <v>TR-DSRSW-2215  The product SHALL protect the Wi-Fi password in secure encrypted memory.
TR-DSRSW-2244 Wi-Fi 
TR-DSRSW-2245 General 
TR-DSRSW-2246  The product shall include an 802.11 wireless interface compliant with [80211ac].
TR-DSRSW-2247  The DSR800 product shall be designated as the "DSR800".
TR-DSRSW-2248  The DSR830 product shall be designated as the "DSR830".
TR-DSRSW-2251  The product shall be capable of supporting at least 5 wireless devices simultaneously connected to the AP.
TR-DSRSW-2252 Operating Mode 
TR-DSRSW-2253  The product shall automatically configure itself as an 802.11ac access point.
TR-DSRSW-2254  The product shall automatically configure itself as an 802.11ac client.  
TR-DSRSW-2255 PHY 
TR-DSRSW-2256  The product shall support operating in the 5 GHz U-NII bands. (Low/Mid/Worldwide/Upper)
TR-DSRSW-2273  The product shall be capable of generating RF transmit power (EIRP) up to 1 watt to each transmit antenna.
(While the hardware must be capable of transmitting up to 1 watt, regulatory requirements may limit the actual transmission power in operation.)
TR-DSRSW-2275  The product shall support the Short Guard Interval as specified in the 802.11 specification.
TR-DSRSW-2278 MAC 
TR-DSRSW-2279  The product shall support power save modes according to IEEE 802.11e [80211e]. (Note: 802.11e support is typically included in 802.11n and 802.11ac products)
TR-DSRSW-2280  The product shall support traffic prioritization based on Wi-Fi WMM to allow prioritization of video signaling &amp; traffic as well as control traffic.
TR-DSRSW-2281  The STB shall classify packets based on the DSCP tag and forward to the WMM queue as specified in the table below:
(Note that client ACKs must also be classified to get priority)
TR-DSRSW-2288  The product shall associate VLAN-ID and SSID to avoid broadcast domain mixing.
TR-DSRSW-2289 Security 
TR-DSRSW-2290  The product shall be capable of supporting WPA and WPA2 encryption.
TR-DSRSW-2291  The product shall support Wi-Fi Protected Setup (WPS) Push Button Configuration (PBC) authentication method.  (Note that the push button is implemented as a virtual push button on a Shaw app user screen).
TR-DSRSW-2292  The product shall support the Wi-Fi Protected Setup (WPS) PIN athentication method.
TR-DSRSW-2294  The product when operating as an AP shall include an internal registrar.
(Note: A registrar is a logical entity that is responsible for authenticating and issuing security credentials to wireless client devices. Support for interfacing with an external registrar is not required.)
TR-DSRSW-2295  The product shall include provisions for a WPS button and bi-color red/green status LED and, if installed, shall operate as follows:
1)	During WPS pairing (which has a 2 minute time out) then both devices' LEDs flash.
2)	If WPS is successful (at any time during the 2 minutes) then the LED immediately turns solid, stays solid for 30 seconds, then turns OFF.
3)	If 2 minutes elapse and no device is found then the LED turns solid and stays solid forever.
4)	If WPS fails (due to any reason, at any time during the process) then the device LED goes solid immediately and stays solid forever.
5)	Upon reboot, if the device is able to pair up automatically (based on previously saved WPS info) then the LED remains off.
6)	If an AP has just finished pairing with an STA and a second WPS session is started with another STA, the AP will start its second blinking after the 30 second time, described in 2) above, has elapsed.
TR-DSRSW-2296 Bridging 
TR-DSRSW-2297  The product shall operate as a layer 2 bridge between the Ethernet and the wireless interface.
TR-DSRSW-2298  The product shall support IGMPv3 snooping to enable the forwarding of multicast packets.
TR-DSRSW-2299  The product shall be capable of bridging Ethernet frames which include a VLAN Tag (802.1Q header).
TR-DSRSW-2302  The product shall store wireless configuration parameters in non-volatile memory.
TR-DSRSW-2305 LEDs 
TR-DSRSW-2306  The Access Point product shall include a red/green or green LED controlled by firmware on the front panel which provides the following wireless link quality status:
·	Amber or Off: SSID ready but no Clients associated.
·	Green: SSID ready and one or more Clients associated.
TR-DSRSW-2307  The Client product shall include a red/green or green LED controlled by firmware on the front panel which provides the following wireless link status and per the product:
·	Amber or Off: SSID ready but not associated to an AP.
·	Green: SSID ready and associated to an AP.
TR-DSRSW-2308 Application Support 
TR-DSRSW-2309  The product SHALL provide an API that allows the application to read the Wi-Fi Wireless Interface MAC address.
TR-DSRSW-2310  The product SHALL provide an API that allows the application to enable/disable the Wi-Fi Radio.
TR-DSRSW-2313  The product shall provide an API so the application can determine Wi-Fi connection status.
TR-DSRSW-2314  The product shall provide an API for the application to initiate pairing with a wireless access point.  
TR-DSRSW-2317 Wireless Network Setup 
TR-DSRSW-2322  The product shall provide feedback to the end user indicating the Wi-Fi networks that are detected.  The feedback should include the signal strength, the SSID, and if the network is open or protected.
TR-DSRSW-2326  The product shall display success/failure feedback to the end user as a result of network entry attempts.
TR-DSRSW-2327  The product shall retain the network pairing information through power cycles.  Reboots, and Initialize messages from the headend.
TR-DSRSW-2329  The product shall be capable of providing at least four (4) SSIDs.
TR-DSRSW-2330  The product shall be capable of broadcasting all four (4) SSIDs simultaneously.
TR-DSRSW-2331  The product shall broadcast the ASCII string "ARRISDSR_[serial_number]" where [serial_number] is the serial number of the unit. 
TR-DSRSW-2333  The product shall support protected management frames via Broadcast/Multicast Integrity Protocol (BIP) per [80211w].
TR-DSRSW-2334  The product shall pass VLAN packets tagged per [8021q].
TR-DSRSW-2335  The product shall support 128 bit AES encryption.
TR-DSRSW-2336  AES shall be the default encryption.
TR-DSRSW-2337  The product shall link SSID Broadcast with WPS active when commanded enabled via TR-069.  
TR-DSRSW-2338  The product shall implement the following truth table:
	SSIDAdvertisementEnabled
WPSSSIDHiddenEnabled	T	F
T	SSID Always On	SSID On when WPS Active
F	SSID Always On	SSID Always Off
TR-DSRSW-2339  The product when operating as an AP or as a WDS extender shall include an internal registrar.  
NOTE: A registrar is a logical entity that is responsible for authenticating and issuing security credentials to wireless client devices. Support for interfacing with an external registrar is not required.
TR-DSRSW-2342 TR-069 Management Application 
TR-DSRSW-2344  The product shall provide a TR-69 management application as defined in [VAP TR69-1].
TR-DSRSW-2345  The product shall provide a TR-181 data model as defined in [TR181] 
TR-DSRSW-2346  The product shall provide a TR-0181 data model-based fault alarm system per [TR181].  
TR-DSRSW-2347  The product shall provide a TR-098 data model as defined in [TR098].  
TR-DSRSW-2348 Wi-Fi Certification Capability 
TR-DSRSW-2355  The product shall be capable of passing the Wi-Fi 802.11ac certification based on Wi-Fi Alliance Certification Standards.
TR-DSRSW-2356  The product shall be capable of passing the Wi-Fi 802.11n certification based on Wi-Fi Alliance Certification Standards.
NOTE: 802.11n certification is needed to be compatible with 802.11n devices
TR-DSRSW-2358  The product shall be capable of passing the Wi-FI Multimedia (WMM) certification based on Wi-Fi Alliance Certification Standards.
TR-DSRSW-2359  The product shall be capable of passing the Wi-Fi WPA and WPA2 network security certification based on Wi-Fi Alliance Certification Standards.
TR-DSRSW-2375  The product shall support operating in the 2.4 GHz ISM bands.
TR-DSRSW-2376  NOTE on Band Types:
https://en.wikipedia.org/wiki/U-NII:
Band				Freq.Range	Bandwidth	MaxPower	Max EIRP
U-NII Low / U-NII-1 / U-NII Indoo	5.150-5.250 G	100 MHz	50 mW		200 W
U-NII Mid / U-NII-2 / Power	5.250–5.350 G	100 MHz	250 mW	1 W
U-NII WorldWide / U-NII-2e	5.470-5.725 G	255 MHz	.		.
U-NII Upper / U-NII-3		5.725-5.825 G	100 MHz	1 W		200 W
TR-DSRSW-2395  The product shall support WPA-Personal PSK (Pre-Shared Key) authentication method.
TR-DSRSW-2396  The product SHALL operated in dual band selectable mode.
TR-DSRSW-2522  The DSR830 product shall be designated as the "DSR600".
TR-DSRSW-2523  The DSR830 product shall be designated as the "DSR605".
TR-DSRSW-2524  The DSR830 product shall be designated as the "DSR630".</v>
      </c>
    </row>
    <row r="137" spans="1:10" x14ac:dyDescent="0.25">
      <c r="A137" s="10" t="str">
        <f>FR!A137</f>
        <v>FR-DSRSW-1388</v>
      </c>
      <c r="B137" s="7" t="b">
        <f>ISERROR(FIND("-",FR!B137))</f>
        <v>1</v>
      </c>
      <c r="C137" s="7">
        <f>SetIndent(D137,(FR!C137-1)*2)</f>
        <v>0</v>
      </c>
      <c r="D137" s="33" t="str">
        <f>IF(ISERROR(FIND("-",FR!B137)),FR!B137&amp;" "&amp;FR!D137,FR!D137)</f>
        <v>18 Local Diagnostics</v>
      </c>
      <c r="E137" s="7" t="str">
        <f>IF(H137="Modified",VLOOKUP(A137,'Prev PMR'!A$2:D$190,4),"")</f>
        <v/>
      </c>
      <c r="F137" s="7" t="str">
        <f>FR!E137</f>
        <v>Com</v>
      </c>
      <c r="G137" s="37" t="str">
        <f>IF(ISERROR(FIND("Adara 1.0",FR!F137)),
        IF(ISERROR(FIND("Adara 1.1",FR!F137)),
                IF(ISERROR(FIND("Deneb",FR!F137)),"errorRob","Deneb"),
         "Adara 1.1"),
  "Adara 1.0")</f>
        <v>Adara 1.0</v>
      </c>
      <c r="H137" s="19" t="str">
        <f>FR!I137</f>
        <v>Approved</v>
      </c>
      <c r="I137" s="7" t="str">
        <f>IF(ISBLANK(FR!G137),"",FR!G137)</f>
        <v/>
      </c>
      <c r="J137" s="6" t="str">
        <f>IF(ISBLANK(FR!H137),"",FR!H137)</f>
        <v xml:space="preserve">TR-DSRSW-1685 Local Diagnostics </v>
      </c>
    </row>
    <row r="138" spans="1:10" ht="120" x14ac:dyDescent="0.25">
      <c r="A138" s="10" t="str">
        <f>FR!A138</f>
        <v>FR-DSRSW-1380</v>
      </c>
      <c r="B138" s="7" t="b">
        <f>ISERROR(FIND("-",FR!B138))</f>
        <v>0</v>
      </c>
      <c r="C138" s="7">
        <f>SetIndent(D138,(FR!C138-1)*2)</f>
        <v>2</v>
      </c>
      <c r="D138" s="34" t="str">
        <f>IF(ISERROR(FIND("-",FR!B138)),FR!B138&amp;" "&amp;FR!D138,FR!D138)</f>
        <v>The product SHALL provide restricted access control to the serial interface.</v>
      </c>
      <c r="E138" s="7" t="str">
        <f>IF(H138="Modified",VLOOKUP(A138,'Prev PMR'!A$2:D$190,4),"")</f>
        <v/>
      </c>
      <c r="F138" s="7" t="str">
        <f>FR!E138</f>
        <v>Req</v>
      </c>
      <c r="G138" s="37" t="str">
        <f>IF(ISERROR(FIND("Adara 1.0",FR!F138)),
        IF(ISERROR(FIND("Adara 1.1",FR!F138)),
                IF(ISERROR(FIND("Deneb",FR!F138)),"errorRob","Deneb"),
         "Adara 1.1"),
  "Adara 1.0")</f>
        <v>Adara 1.0</v>
      </c>
      <c r="H138" s="19" t="str">
        <f>FR!I138</f>
        <v>Approved</v>
      </c>
      <c r="I138" s="7" t="str">
        <f>IF(ISBLANK(FR!G138),"",FR!G138)</f>
        <v/>
      </c>
      <c r="J138" s="6" t="str">
        <f>IF(ISBLANK(FR!H138),"",FR!H138)</f>
        <v xml:space="preserve">TR-DSRSW-1665  The product SHALL provide restricted access control to the serial interface.
TR-DSRSW-1666  The product SHALL prevent debugging access to the serial port except via a ARRIS access token with non-default, serial access debugging privileges after factory provisioning is complete.
TR-DSRSW-1667  (Note: This is not intended to prevent all debugging access, only a subset of security risk items)
TR-DSRSW-2187 Serial Interface </v>
      </c>
    </row>
    <row r="139" spans="1:10" ht="45" x14ac:dyDescent="0.25">
      <c r="A139" s="10" t="str">
        <f>FR!A139</f>
        <v>FR-DSRSW-1389</v>
      </c>
      <c r="B139" s="7" t="b">
        <f>ISERROR(FIND("-",FR!B139))</f>
        <v>0</v>
      </c>
      <c r="C139" s="7">
        <f>SetIndent(D139,(FR!C139-1)*2)</f>
        <v>2</v>
      </c>
      <c r="D139" s="34" t="str">
        <f>IF(ISERROR(FIND("-",FR!B139)),FR!B139&amp;" "&amp;FR!D139,FR!D139)</f>
        <v>The product SHALL support providing diagnostic information over the serial port interface.</v>
      </c>
      <c r="E139" s="7" t="str">
        <f>IF(H139="Modified",VLOOKUP(A139,'Prev PMR'!A$2:D$190,4),"")</f>
        <v/>
      </c>
      <c r="F139" s="7" t="str">
        <f>FR!E139</f>
        <v>Req</v>
      </c>
      <c r="G139" s="37" t="str">
        <f>IF(ISERROR(FIND("Adara 1.0",FR!F139)),
        IF(ISERROR(FIND("Adara 1.1",FR!F139)),
                IF(ISERROR(FIND("Deneb",FR!F139)),"errorRob","Deneb"),
         "Adara 1.1"),
  "Adara 1.0")</f>
        <v>Adara 1.0</v>
      </c>
      <c r="H139" s="19" t="str">
        <f>FR!I139</f>
        <v>Approved</v>
      </c>
      <c r="I139" s="7" t="str">
        <f>IF(ISBLANK(FR!G139),"",FR!G139)</f>
        <v/>
      </c>
      <c r="J139" s="6" t="str">
        <f>IF(ISBLANK(FR!H139),"",FR!H139)</f>
        <v xml:space="preserve">TR-DSRSW-1687  The product SHALL support serial port / log port diagnostics over the RS-232 serial port interface.
TR-DSRSW-2188 Serial Port </v>
      </c>
    </row>
    <row r="140" spans="1:10" ht="45" x14ac:dyDescent="0.25">
      <c r="A140" s="10" t="str">
        <f>FR!A140</f>
        <v>FR-DSRSW-1390</v>
      </c>
      <c r="B140" s="7" t="b">
        <f>ISERROR(FIND("-",FR!B140))</f>
        <v>0</v>
      </c>
      <c r="C140" s="7">
        <f>SetIndent(D140,(FR!C140-1)*2)</f>
        <v>2</v>
      </c>
      <c r="D140" s="34" t="str">
        <f>IF(ISERROR(FIND("-",FR!B140)),FR!B140&amp;" "&amp;FR!D140,FR!D140)</f>
        <v>The product SHALL support Shaw Direct diagnostic screens.</v>
      </c>
      <c r="E140" s="7" t="str">
        <f>IF(H140="Modified",VLOOKUP(A140,'Prev PMR'!A$2:D$190,4),"")</f>
        <v/>
      </c>
      <c r="F140" s="7" t="str">
        <f>FR!E140</f>
        <v>Req</v>
      </c>
      <c r="G140" s="37" t="str">
        <f>IF(ISERROR(FIND("Adara 1.0",FR!F140)),
        IF(ISERROR(FIND("Adara 1.1",FR!F140)),
                IF(ISERROR(FIND("Deneb",FR!F140)),"errorRob","Deneb"),
         "Adara 1.1"),
  "Adara 1.0")</f>
        <v>Adara 1.0</v>
      </c>
      <c r="H140" s="19" t="str">
        <f>FR!I140</f>
        <v>Approved</v>
      </c>
      <c r="I140" s="7" t="str">
        <f>IF(ISBLANK(FR!G140),"",FR!G140)</f>
        <v/>
      </c>
      <c r="J140" s="6" t="str">
        <f>IF(ISBLANK(FR!H140),"",FR!H140)</f>
        <v xml:space="preserve">TR-DSRSW-1689  The product SHALL support the Shaw Direct diagnostic screens via the Neptune API.
TR-DSRSW-2189 Diagnostic Screens </v>
      </c>
    </row>
    <row r="141" spans="1:10" x14ac:dyDescent="0.25">
      <c r="A141" s="10" t="str">
        <f>FR!A141</f>
        <v>FR-DSRSW-1385</v>
      </c>
      <c r="B141" s="7" t="b">
        <f>ISERROR(FIND("-",FR!B141))</f>
        <v>1</v>
      </c>
      <c r="C141" s="7">
        <f>SetIndent(D141,(FR!C141-1)*2)</f>
        <v>0</v>
      </c>
      <c r="D141" s="33" t="str">
        <f>IF(ISERROR(FIND("-",FR!B141)),FR!B141&amp;" "&amp;FR!D141,FR!D141)</f>
        <v>19 Front Panel</v>
      </c>
      <c r="E141" s="7" t="str">
        <f>IF(H141="Modified",VLOOKUP(A141,'Prev PMR'!A$2:D$190,4),"")</f>
        <v/>
      </c>
      <c r="F141" s="7" t="str">
        <f>FR!E141</f>
        <v>Com</v>
      </c>
      <c r="G141" s="37" t="str">
        <f>IF(ISERROR(FIND("Adara 1.0",FR!F141)),
        IF(ISERROR(FIND("Adara 1.1",FR!F141)),
                IF(ISERROR(FIND("Deneb",FR!F141)),"errorRob","Deneb"),
         "Adara 1.1"),
  "Adara 1.0")</f>
        <v>Adara 1.0</v>
      </c>
      <c r="H141" s="19" t="str">
        <f>FR!I141</f>
        <v>Approved</v>
      </c>
      <c r="I141" s="7" t="str">
        <f>IF(ISBLANK(FR!G141),"",FR!G141)</f>
        <v/>
      </c>
      <c r="J141" s="6" t="str">
        <f>IF(ISBLANK(FR!H141),"",FR!H141)</f>
        <v/>
      </c>
    </row>
    <row r="142" spans="1:10" x14ac:dyDescent="0.25">
      <c r="A142" s="10" t="str">
        <f>FR!A142</f>
        <v>FR-DSRSW-1386</v>
      </c>
      <c r="B142" s="7" t="b">
        <f>ISERROR(FIND("-",FR!B142))</f>
        <v>1</v>
      </c>
      <c r="C142" s="7">
        <f>SetIndent(D142,(FR!C142-1)*2)</f>
        <v>2</v>
      </c>
      <c r="D142" s="34" t="str">
        <f>IF(ISERROR(FIND("-",FR!B142)),FR!B142&amp;" "&amp;FR!D142,FR!D142)</f>
        <v>19.1 Front Panel User Controls</v>
      </c>
      <c r="E142" s="7" t="str">
        <f>IF(H142="Modified",VLOOKUP(A142,'Prev PMR'!A$2:D$190,4),"")</f>
        <v/>
      </c>
      <c r="F142" s="7" t="str">
        <f>FR!E142</f>
        <v>Com</v>
      </c>
      <c r="G142" s="37" t="str">
        <f>IF(ISERROR(FIND("Adara 1.0",FR!F142)),
        IF(ISERROR(FIND("Adara 1.1",FR!F142)),
                IF(ISERROR(FIND("Deneb",FR!F142)),"errorRob","Deneb"),
         "Adara 1.1"),
  "Adara 1.0")</f>
        <v>Adara 1.0</v>
      </c>
      <c r="H142" s="19" t="str">
        <f>FR!I142</f>
        <v>Approved</v>
      </c>
      <c r="I142" s="7" t="str">
        <f>IF(ISBLANK(FR!G142),"",FR!G142)</f>
        <v/>
      </c>
      <c r="J142" s="6" t="str">
        <f>IF(ISBLANK(FR!H142),"",FR!H142)</f>
        <v/>
      </c>
    </row>
    <row r="143" spans="1:10" ht="90" x14ac:dyDescent="0.25">
      <c r="A143" s="10" t="str">
        <f>FR!A143</f>
        <v>FR-DSRSW-1387</v>
      </c>
      <c r="B143" s="7" t="b">
        <f>ISERROR(FIND("-",FR!B143))</f>
        <v>0</v>
      </c>
      <c r="C143" s="7">
        <f>SetIndent(D143,(FR!C143-1)*2)</f>
        <v>4</v>
      </c>
      <c r="D143" s="35" t="str">
        <f>IF(ISERROR(FIND("-",FR!B143)),FR!B143&amp;" "&amp;FR!D143,FR!D143)</f>
        <v>The product SHALL initiate a reboot cycle when the power button is held down continuously for (4) seconds. . If the product model does not contain a front panel power button, the product SHALL initiate a reboot cycle by using a 3-key sequence (e.g. "Help, Options then Power") within one second.</v>
      </c>
      <c r="E143" s="7" t="str">
        <f>IF(H143="Modified",VLOOKUP(A143,'Prev PMR'!A$2:D$190,4),"")</f>
        <v/>
      </c>
      <c r="F143" s="7" t="str">
        <f>FR!E143</f>
        <v>Req</v>
      </c>
      <c r="G143" s="37" t="str">
        <f>IF(ISERROR(FIND("Adara 1.0",FR!F143)),
        IF(ISERROR(FIND("Adara 1.1",FR!F143)),
                IF(ISERROR(FIND("Deneb",FR!F143)),"errorRob","Deneb"),
         "Adara 1.1"),
  "Adara 1.0")</f>
        <v>Adara 1.0</v>
      </c>
      <c r="H143" s="19" t="str">
        <f>FR!I143</f>
        <v>Approved</v>
      </c>
      <c r="I143" s="7" t="str">
        <f>IF(ISBLANK(FR!G143),"",FR!G143)</f>
        <v/>
      </c>
      <c r="J143" s="6" t="str">
        <f>IF(ISBLANK(FR!H143),"",FR!H143)</f>
        <v>TR-DSRSW-1680 Front Panel 
TR-DSRSW-1683  The product SHALL invoke a hardware reset if the power button is depressed for 4 seconds (+/-1 second), regardless of the software state.
TR-DSRSW-1684  The product SHALL invoke a hardware reset if the user presses the remote control 3-key reset sequence (HELP-OPTIONS-POWER) within the time period of one second.</v>
      </c>
    </row>
    <row r="144" spans="1:10" x14ac:dyDescent="0.25">
      <c r="A144" s="10" t="str">
        <f>FR!A144</f>
        <v>FR-DSRSW-1391</v>
      </c>
      <c r="B144" s="7" t="b">
        <f>ISERROR(FIND("-",FR!B144))</f>
        <v>1</v>
      </c>
      <c r="C144" s="7">
        <f>SetIndent(D144,(FR!C144-1)*2)</f>
        <v>0</v>
      </c>
      <c r="D144" s="33" t="str">
        <f>IF(ISERROR(FIND("-",FR!B144)),FR!B144&amp;" "&amp;FR!D144,FR!D144)</f>
        <v>20 LNB Interface</v>
      </c>
      <c r="E144" s="7" t="str">
        <f>IF(H144="Modified",VLOOKUP(A144,'Prev PMR'!A$2:D$190,4),"")</f>
        <v/>
      </c>
      <c r="F144" s="7" t="str">
        <f>FR!E144</f>
        <v>Com</v>
      </c>
      <c r="G144" s="37" t="str">
        <f>IF(ISERROR(FIND("Adara 1.0",FR!F144)),
        IF(ISERROR(FIND("Adara 1.1",FR!F144)),
                IF(ISERROR(FIND("Deneb",FR!F144)),"errorRob","Deneb"),
         "Adara 1.1"),
  "Adara 1.0")</f>
        <v>Adara 1.0</v>
      </c>
      <c r="H144" s="19" t="str">
        <f>FR!I144</f>
        <v>Approved</v>
      </c>
      <c r="I144" s="7" t="str">
        <f>IF(ISBLANK(FR!G144),"",FR!G144)</f>
        <v/>
      </c>
      <c r="J144" s="6" t="str">
        <f>IF(ISBLANK(FR!H144),"",FR!H144)</f>
        <v xml:space="preserve">TR-DSRSW-2220 LNB Interface </v>
      </c>
    </row>
    <row r="145" spans="1:10" ht="409.5" x14ac:dyDescent="0.25">
      <c r="A145" s="10" t="str">
        <f>FR!A145</f>
        <v>FR-DSRSW-1392</v>
      </c>
      <c r="B145" s="7" t="b">
        <f>ISERROR(FIND("-",FR!B145))</f>
        <v>0</v>
      </c>
      <c r="C145" s="7">
        <f>SetIndent(D145,(FR!C145-1)*2)</f>
        <v>2</v>
      </c>
      <c r="D145" s="34" t="str">
        <f>IF(ISERROR(FIND("-",FR!B145)),FR!B145&amp;" "&amp;FR!D145,FR!D145)</f>
        <v>The product SHALL support a Channel Stacking Switch (CSS) installation.</v>
      </c>
      <c r="E145" s="7" t="str">
        <f>IF(H145="Modified",VLOOKUP(A145,'Prev PMR'!A$2:D$190,4),"")</f>
        <v/>
      </c>
      <c r="F145" s="7" t="str">
        <f>FR!E145</f>
        <v>Req</v>
      </c>
      <c r="G145" s="37" t="str">
        <f>IF(ISERROR(FIND("Adara 1.0",FR!F145)),
        IF(ISERROR(FIND("Adara 1.1",FR!F145)),
                IF(ISERROR(FIND("Deneb",FR!F145)),"errorRob","Deneb"),
         "Adara 1.1"),
  "Adara 1.0")</f>
        <v>Adara 1.0</v>
      </c>
      <c r="H145" s="19" t="str">
        <f>FR!I145</f>
        <v>Approved</v>
      </c>
      <c r="I145" s="7" t="str">
        <f>IF(ISBLANK(FR!G145),"",FR!G145)</f>
        <v/>
      </c>
      <c r="J145" s="6" t="str">
        <f>IF(ISBLANK(FR!H145),"",FR!H145)</f>
        <v>TR-DSRSW-1691 LNB CSS (Channel Stacking Switch) 
TR-DSRSW-1692 CSS General 
TR-DSRSW-1693  The product SHALL comply with the CSS command definitions in CENELEC [EN50494 - 1]. Note, this requirement does not imply compliance with the examples or command sequences described in the above standards.
TR-DSRSW-1694  The product SHALL, IF the Factory Reset user interface indicates that CSS settings are not retained, set the satellite installation mode to legacy mode AFTER a factory reset.
TR-DSRSW-1695  The product SHALL, IF the Factory Reset user interface indicates that CSS settings are retained, restore the UB slot number setting(s) upon power-up.
TR-DSRSW-1696  The product SHALL, IF the Factory Reset user interface indicates that CSS settings are retained, restore the UB frequency (automatic or manual) setting(s) upon power-up.
TR-DSRSW-1697 Power ON - Satellite Installation Mode 
TR-DSRSW-1698  The product SHALL, AFTER an AC power-on, set the satellite installation mode (CSS or Legacy) to the last satellite installation mode set by the application. (Note: satellite installation mode is typically stored in flash memory).
TR-DSRSW-1699 CSS Reclaim UB Slot 
TR-DSRSW-1700  The product SHALL, AFTER an AC power-on, WHEN CSS mode is enabled, AND CSS manual installation is not enabled, use the stored UB (user band) slot parameters for a satellite tuner IF that UB slot has not been claimed by another receiver.
TR-DSRSW-1701  The product SHALL, AFTER an AC power-on, WHEN CSS mode is enabled, AND CSS manual installation is not enabled, enter CSS auto installation for a satellite tuner IF that UB slot has been claimed by another receiver.
TR-DSRSW-1702  The product SHALL, AFTER an AC power-on, WHEN CSS mode is enabled, AND CSS manual installation is enabled, use the stored UB (user band) slot parameters.
TR-DSRSW-1703  The product SHALL, AFTER an AC power-on, WHEN CSS mode is enabled, AND CSS manual installation is enabled, notify the application that the manual CSS acquisition has failed IF that UB is claimed by another receiver.
TR-DSRSW-1704  The product SHALL avoid CSS signal collisions during an AC power on sequence. (Note: this can be tested by simultaneously powering up all the set-tops that are on the same satellite feed.)
TR-DSRSW-1705 CSS Reclaim UB Slot - Front Panel Reset 
TR-DSRSW-1706  The product SHALL, AFTER a Front panel reset, WHEN CSS mode is enabled, AND CSS manual installation is not enabled, use the stored UB (user band) slot parameters for a satellite tuner IF that UB slot has not been claimed by another receiver.
TR-DSRSW-1707  The product SHALL, AFTER a Front panel reset, WHEN CSS mode is enabled, AND CSS manual installation is not enabled, enter CSS auto installation for a satellite tuner IF that UB slot has been claimed by another receiver.
TR-DSRSW-1708  The product SHALL, AFTER a Front panel reset, WHEN CSS mode is enabled, AND CSS manual installation is enabled, use the stored UB (user band) slot parameters.
TR-DSRSW-1709  The product SHALL, AFTER a Front panel reset, WHEN CSS mode is enabled, AND CSS manual installation is enabled, notify the application that the manual CSS acquisition has failed IF the UB slot is in use by another receiver.
TR-DSRSW-1710 CSS Manual Installation 
TR-DSRSW-1711  The product SHALL, during CSS manual installation, use the UB slot number entered by the user for the each selected satellite tuner (regardless of if the UB slot is in use by another receiver).
TR-DSRSW-1712 CSS Auto Installation 
TR-DSRSW-1713  The product SHALL allow the application to initiate CSS auto installation.
TR-DSRSW-1714  The product shall power off and make available the tuner's current UB slot, if any, prior to attempting to acquire a UB slot during CSS auto installation.
TR-DSRSW-1715  The product SHALL, during single cable CSS auto installation, make a first attempt to acquire the lowest available UB slot number.
TR-DSRSW-1716  The product SHALL, IF no UB slots are available after the first UB acquisition attempt, power OFF each accessible UB slot, then make a second attempt to claim to lowest available UB slot. (Note: In this context, "accessible UB slot" refers to all the possible UB slots that are available to the satellite tuner. This will vary depending on the configuration of the SCIF since not all UB slots are necessarily available on each SCIF output).
TR-DSRSW-1717  The product SHALL, IF CSS auto installation UB slot acquisition IS successful, save the allocated UB number to nonvolatile memory.
TR-DSRSW-1718  The product SHALL, IF CSS auto installation UB slot acquisition IS successful, save the allocated UB frequency to nonvolatile memory.
TR-DSRSW-1719  The product SHALL, IF CSS auto installation IS NOT successful, notify the application of the failure.
TR-DSRSW-1720  The product SHALL, at the conclusion of the auto installation process, power OFF all UB tones that were enabled during the auto installation process.
TR-DSRSW-1721 Channel Change 
TR-DSRSW-1722  The product SHALL, for a channel change while CSS is enabled, acquire the target channel at the assigned UB frequency, accounting for any rounding error in the CSS channel change command tuning word.
TR-DSRSW-1723  The product SHALL, after a channel change, notify the application IF the PAT TSID does not match the TSID given in the Network Information Tables (NITs). (Note: the application should attempt to retune if the TSID does not match, but eventually give up allowing NITs to update if necessary.)
TR-DSRSW-1724  The product SHALL, after detection of a DISEqC CSS message collision, wait for a random duration period before generating a new DISEqC CSS message to minimize subsequent traffic collisions. (note: [EN50494-1] section 8 demonstates one possible method.)
TR-DSRSW-1725 CSS Signal Loss 
TR-DSRSW-1726  The product SHALL, after UB carrier loss while CSS is active, reclaim the associated UB slot within 1 second.</v>
      </c>
    </row>
    <row r="146" spans="1:10" ht="135" x14ac:dyDescent="0.25">
      <c r="A146" s="10" t="str">
        <f>FR!A146</f>
        <v>FR-DSRSW-1537</v>
      </c>
      <c r="B146" s="7" t="b">
        <f>ISERROR(FIND("-",FR!B146))</f>
        <v>0</v>
      </c>
      <c r="C146" s="7">
        <f>SetIndent(D146,(FR!C146-1)*2)</f>
        <v>2</v>
      </c>
      <c r="D146" s="34" t="str">
        <f>IF(ISERROR(FIND("-",FR!B146)),FR!B146&amp;" "&amp;FR!D146,FR!D146)</f>
        <v>The product SHALL support six
 CSS user bands.</v>
      </c>
      <c r="E146" s="7" t="str">
        <f>IF(H146="Modified",VLOOKUP(A146,'Prev PMR'!A$2:D$190,4),"")</f>
        <v/>
      </c>
      <c r="F146" s="7" t="str">
        <f>FR!E146</f>
        <v>Req</v>
      </c>
      <c r="G146" s="37" t="str">
        <f>IF(ISERROR(FIND("Adara 1.0",FR!F146)),
        IF(ISERROR(FIND("Adara 1.1",FR!F146)),
                IF(ISERROR(FIND("Deneb",FR!F146)),"errorRob","Deneb"),
         "Adara 1.1"),
  "Adara 1.0")</f>
        <v>Adara 1.1</v>
      </c>
      <c r="H146" s="19" t="str">
        <f>FR!I146</f>
        <v>New</v>
      </c>
      <c r="I146" s="7" t="str">
        <f>IF(ISBLANK(FR!G146),"",FR!G146)</f>
        <v/>
      </c>
      <c r="J146" s="6" t="str">
        <f>IF(ISBLANK(FR!H146),"",FR!H146)</f>
        <v>TR-DSRSW-2557  The product SHALL support six CSS user bands.
TR-DSRSW-2558  The product SHALL support the following user band frequencies:
    1. 1210 MHz 
    2. 1420 MHz
    3. 1550 MHz
    4. 1680 MHz
    5. 1892 MHz
    6. 2040 MHz</v>
      </c>
    </row>
    <row r="147" spans="1:10" ht="165" x14ac:dyDescent="0.25">
      <c r="A147" s="10" t="str">
        <f>FR!A147</f>
        <v>FR-DSRSW-1538</v>
      </c>
      <c r="B147" s="7" t="b">
        <f>ISERROR(FIND("-",FR!B147))</f>
        <v>0</v>
      </c>
      <c r="C147" s="7">
        <f>SetIndent(D147,(FR!C147-1)*2)</f>
        <v>2</v>
      </c>
      <c r="D147" s="34" t="str">
        <f>IF(ISERROR(FIND("-",FR!B147)),FR!B147&amp;" "&amp;FR!D147,FR!D147)</f>
        <v>The product SHALL support eight
 CSS user bands.</v>
      </c>
      <c r="E147" s="7" t="str">
        <f>IF(H147="Modified",VLOOKUP(A147,'Prev PMR'!A$2:D$190,4),"")</f>
        <v/>
      </c>
      <c r="F147" s="7" t="str">
        <f>FR!E147</f>
        <v>Req</v>
      </c>
      <c r="G147" s="37" t="str">
        <f>IF(ISERROR(FIND("Adara 1.0",FR!F147)),
        IF(ISERROR(FIND("Adara 1.1",FR!F147)),
                IF(ISERROR(FIND("Deneb",FR!F147)),"errorRob","Deneb"),
         "Adara 1.1"),
  "Adara 1.0")</f>
        <v>Adara 1.1</v>
      </c>
      <c r="H147" s="19" t="str">
        <f>FR!I147</f>
        <v>New</v>
      </c>
      <c r="I147" s="7" t="str">
        <f>IF(ISBLANK(FR!G147),"",FR!G147)</f>
        <v/>
      </c>
      <c r="J147" s="6" t="str">
        <f>IF(ISBLANK(FR!H147),"",FR!H147)</f>
        <v>TR-DSRSW-2559  The product SHALL support eight CSS user bands.
TR-DSRSW-2560  The product SHALL support the following user band frequencies:
    1. 1210 MHz 
    2. 1420 MHz
    3. 1550 MHz
    4. 1680 MHz
    5. 1892 MHz
    6. 2040 MHz
    7. 1270 MHz
    8. 1330 MHz</v>
      </c>
    </row>
    <row r="148" spans="1:10" ht="105" x14ac:dyDescent="0.25">
      <c r="A148" s="10" t="str">
        <f>FR!A148</f>
        <v>FR-DSRSW-1393</v>
      </c>
      <c r="B148" s="7" t="b">
        <f>ISERROR(FIND("-",FR!B148))</f>
        <v>0</v>
      </c>
      <c r="C148" s="7">
        <f>SetIndent(D148,(FR!C148-1)*2)</f>
        <v>2</v>
      </c>
      <c r="D148" s="34" t="str">
        <f>IF(ISERROR(FIND("-",FR!B148)),FR!B148&amp;" "&amp;FR!D148,FR!D148)</f>
        <v>The product SHALL be capable of reporting the satellite LNB type to the client application.</v>
      </c>
      <c r="E148" s="7" t="str">
        <f>IF(H148="Modified",VLOOKUP(A148,'Prev PMR'!A$2:D$190,4),"")</f>
        <v/>
      </c>
      <c r="F148" s="7" t="str">
        <f>FR!E148</f>
        <v>Req</v>
      </c>
      <c r="G148" s="37" t="str">
        <f>IF(ISERROR(FIND("Adara 1.0",FR!F148)),
        IF(ISERROR(FIND("Adara 1.1",FR!F148)),
                IF(ISERROR(FIND("Deneb",FR!F148)),"errorRob","Deneb"),
         "Adara 1.1"),
  "Adara 1.0")</f>
        <v>Adara 1.0</v>
      </c>
      <c r="H148" s="19" t="str">
        <f>FR!I148</f>
        <v>Approved</v>
      </c>
      <c r="I148" s="7" t="str">
        <f>IF(ISBLANK(FR!G148),"",FR!G148)</f>
        <v/>
      </c>
      <c r="J148" s="6" t="str">
        <f>IF(ISBLANK(FR!H148),"",FR!H148)</f>
        <v>TR-DSRSW-1727 LNB Type API 
TR-DSRSW-1728  The product SHALL provide an API to allow application software to determine the LNB type.  Supported LNB types are:
 1. Quad band 
 2. xKu band
 3. CSS with Quad band
 4. CSS with xKu band</v>
      </c>
    </row>
    <row r="149" spans="1:10" x14ac:dyDescent="0.25">
      <c r="A149" s="10" t="str">
        <f>FR!A149</f>
        <v>FR-DSRSW-1394</v>
      </c>
      <c r="B149" s="7" t="b">
        <f>ISERROR(FIND("-",FR!B149))</f>
        <v>1</v>
      </c>
      <c r="C149" s="7">
        <f>SetIndent(D149,(FR!C149-1)*2)</f>
        <v>0</v>
      </c>
      <c r="D149" s="33" t="str">
        <f>IF(ISERROR(FIND("-",FR!B149)),FR!B149&amp;" "&amp;FR!D149,FR!D149)</f>
        <v>21 Tuning and Demodulation</v>
      </c>
      <c r="E149" s="7" t="str">
        <f>IF(H149="Modified",VLOOKUP(A149,'Prev PMR'!A$2:D$190,4),"")</f>
        <v/>
      </c>
      <c r="F149" s="7" t="str">
        <f>FR!E149</f>
        <v>Com</v>
      </c>
      <c r="G149" s="37" t="str">
        <f>IF(ISERROR(FIND("Adara 1.0",FR!F149)),
        IF(ISERROR(FIND("Adara 1.1",FR!F149)),
                IF(ISERROR(FIND("Deneb",FR!F149)),"errorRob","Deneb"),
         "Adara 1.1"),
  "Adara 1.0")</f>
        <v>Adara 1.0</v>
      </c>
      <c r="H149" s="19" t="str">
        <f>FR!I149</f>
        <v>Approved</v>
      </c>
      <c r="I149" s="7" t="str">
        <f>IF(ISBLANK(FR!G149),"",FR!G149)</f>
        <v/>
      </c>
      <c r="J149" s="6" t="str">
        <f>IF(ISBLANK(FR!H149),"",FR!H149)</f>
        <v xml:space="preserve">TR-DSRSW-1733 Tuning and Demodulation </v>
      </c>
    </row>
    <row r="150" spans="1:10" ht="409.5" x14ac:dyDescent="0.25">
      <c r="A150" s="10" t="str">
        <f>FR!A150</f>
        <v>FR-DSRSW-1395</v>
      </c>
      <c r="B150" s="7" t="b">
        <f>ISERROR(FIND("-",FR!B150))</f>
        <v>0</v>
      </c>
      <c r="C150" s="7">
        <f>SetIndent(D150,(FR!C150-1)*2)</f>
        <v>2</v>
      </c>
      <c r="D150" s="34" t="str">
        <f>IF(ISERROR(FIND("-",FR!B150)),FR!B150&amp;" "&amp;FR!D150,FR!D150)</f>
        <v xml:space="preserve">The product SHALL be capable of 8PSK demodulation and error correction. </v>
      </c>
      <c r="E150" s="7" t="str">
        <f>IF(H150="Modified",VLOOKUP(A150,'Prev PMR'!A$2:D$190,4),"")</f>
        <v/>
      </c>
      <c r="F150" s="7" t="str">
        <f>FR!E150</f>
        <v>Req</v>
      </c>
      <c r="G150" s="37" t="str">
        <f>IF(ISERROR(FIND("Adara 1.0",FR!F150)),
        IF(ISERROR(FIND("Adara 1.1",FR!F150)),
                IF(ISERROR(FIND("Deneb",FR!F150)),"errorRob","Deneb"),
         "Adara 1.1"),
  "Adara 1.0")</f>
        <v>Adara 1.0</v>
      </c>
      <c r="H150" s="19" t="str">
        <f>FR!I150</f>
        <v>Approved</v>
      </c>
      <c r="I150" s="7" t="str">
        <f>IF(ISBLANK(FR!G150),"",FR!G150)</f>
        <v/>
      </c>
      <c r="J150" s="6" t="str">
        <f>IF(ISBLANK(FR!H150),"",FR!H150)</f>
        <v>TR-DSRSW-1735  The product SHALL be capable of the following 8-PSK symbol and code rate combination: 20.50 Msps symbol rate, 2/3 code rate, 1.92 bps payload
TR-DSRSW-1736  The product SHALL be capable of the following 8-PSK symbol and code rate combination: 20.50 Msps symbol rate, 3/4 code rate, 2.05 bps payload
TR-DSRSW-1737  The product SHALL be capable of the following 8-PSK symbol and code rate combination: 20.50 Msps symbol rate, 3/4 code rate, 2.11 bps payload
TR-DSRSW-1738  The product SHALL be capable of the following 8-PSK symbol and code rate combination: 21.00 Msps symbol rate, 2/3 code rate, 1.92 bps payload
TR-DSRSW-1739  The product SHALL be capable of the following 8-PSK symbol and code rate combination: 21.00 Msps symbol rate, 3/4 code rate, 2.05 bps payload
TR-DSRSW-1740  The product SHALL be capable of the following 8-PSK symbol and code rate combination: 21.00 Msps symbol rate, 3/4 code rate, 2.11 bps payload
TR-DSRSW-1741  The product SHALL be capable of the following 8-PSK symbol and code rate combination: 21.50 Msps symbol rate, 2/3 code rate, 1.92 bps payload
TR-DSRSW-1742  The product SHALL be capable of the following 8-PSK symbol and code rate combination: 21.50 Msps symbol rate, 3/4 code rate, 2.05 bps payload
TR-DSRSW-1743  The product SHALL be capable of the following 8-PSK symbol and code rate combination: 21.50 Msps symbol rate, 3/4 code rate, 2.11 bps payload
TR-DSRSW-1744  The product SHALL be capable of the following 8-PSK symbol and code rate combination: 22.00 Msps symbol rate, 2/3 code rate, 1.92 bps payload
TR-DSRSW-1745  The product SHALL be capable of the following 8-PSK symbol and code rate combination: 22.00 Msps symbol rate, 3/4 code rate, 2.05 bps payload
TR-DSRSW-1746  The product SHALL be capable of the following 8-PSK symbol and code rate combination: 22.00 Msps symbol rate, 3/4 code rate, 2.11 bps payload
TR-DSRSW-2193 8-PSK Demodulation 
TR-DSRSW-2456  The product SHALL be capable of the following 8-PSK symbol and code rate combination: 22.00 Msps symbol rate, 5/6 code rate, 2.30 bps payload
TR-DSRSW-2457  The product SHALL be capable of the following 8-PSK symbol and code rate combination: 22.00 Msps symbol rate, 8/9 code rate, 2.40 bps payload</v>
      </c>
    </row>
    <row r="151" spans="1:10" ht="60" x14ac:dyDescent="0.25">
      <c r="A151" s="10" t="str">
        <f>FR!A151</f>
        <v>FR-DSRSW-1396</v>
      </c>
      <c r="B151" s="7" t="b">
        <f>ISERROR(FIND("-",FR!B151))</f>
        <v>0</v>
      </c>
      <c r="C151" s="7">
        <f>SetIndent(D151,(FR!C151-1)*2)</f>
        <v>2</v>
      </c>
      <c r="D151" s="34" t="str">
        <f>IF(ISERROR(FIND("-",FR!B151)),FR!B151&amp;" "&amp;FR!D151,FR!D151)</f>
        <v xml:space="preserve">The product SHALL be capable of QPSK demodulation and error correction. </v>
      </c>
      <c r="E151" s="7" t="str">
        <f>IF(H151="Modified",VLOOKUP(A151,'Prev PMR'!A$2:D$190,4),"")</f>
        <v/>
      </c>
      <c r="F151" s="7" t="str">
        <f>FR!E151</f>
        <v>Req</v>
      </c>
      <c r="G151" s="37" t="str">
        <f>IF(ISERROR(FIND("Adara 1.0",FR!F151)),
        IF(ISERROR(FIND("Adara 1.1",FR!F151)),
                IF(ISERROR(FIND("Deneb",FR!F151)),"errorRob","Deneb"),
         "Adara 1.1"),
  "Adara 1.0")</f>
        <v>Adara 1.0</v>
      </c>
      <c r="H151" s="19" t="str">
        <f>FR!I151</f>
        <v>Approved</v>
      </c>
      <c r="I151" s="7" t="str">
        <f>IF(ISBLANK(FR!G151),"",FR!G151)</f>
        <v/>
      </c>
      <c r="J151" s="6" t="str">
        <f>IF(ISBLANK(FR!H151),"",FR!H151)</f>
        <v>TR-DSRSW-1747 QPSK demodulation 
TR-DSRSW-1748  The product SHALL be capable of the following QPSK symbol and code rate combination: 19.51 Msps symbol rate, 3/4 code rate, combined mode.</v>
      </c>
    </row>
    <row r="152" spans="1:10" ht="409.5" x14ac:dyDescent="0.25">
      <c r="A152" s="10" t="str">
        <f>FR!A152</f>
        <v>FR-DSRSW-1397</v>
      </c>
      <c r="B152" s="7" t="b">
        <f>ISERROR(FIND("-",FR!B152))</f>
        <v>0</v>
      </c>
      <c r="C152" s="7">
        <f>SetIndent(D152,(FR!C152-1)*2)</f>
        <v>2</v>
      </c>
      <c r="D152" s="34" t="str">
        <f>IF(ISERROR(FIND("-",FR!B152)),FR!B152&amp;" "&amp;FR!D152,FR!D152)</f>
        <v>The product SHALL support the acquisition of Digicipher II Services.</v>
      </c>
      <c r="E152" s="7" t="str">
        <f>IF(H152="Modified",VLOOKUP(A152,'Prev PMR'!A$2:D$190,4),"")</f>
        <v/>
      </c>
      <c r="F152" s="7" t="str">
        <f>FR!E152</f>
        <v>Req</v>
      </c>
      <c r="G152" s="37" t="str">
        <f>IF(ISERROR(FIND("Adara 1.0",FR!F152)),
        IF(ISERROR(FIND("Adara 1.1",FR!F152)),
                IF(ISERROR(FIND("Deneb",FR!F152)),"errorRob","Deneb"),
         "Adara 1.1"),
  "Adara 1.0")</f>
        <v>Adara 1.0</v>
      </c>
      <c r="H152" s="19" t="str">
        <f>FR!I152</f>
        <v>Approved</v>
      </c>
      <c r="I152" s="7" t="str">
        <f>IF(ISBLANK(FR!G152),"",FR!G152)</f>
        <v/>
      </c>
      <c r="J152" s="6" t="str">
        <f>IF(ISBLANK(FR!H152),"",FR!H152)</f>
        <v>TR-DSRSW-1749 Service Acquisition 
TR-DSRSW-1750  The product SHALL return an error and take no further action (i.e. any existing services that would have been replaced are not affected by the failed acquisition attempt) if any parameter provided by a client to acquire a service is invalid.  
TR-DSRSW-1751  The product SHALL allow the user to select normal, non-hidden services with virtual channel numbers in the range of 1 to 999 decimal. 
TR-DSRSW-1752  The product SHALL acquire services with virtual channel numbers in the range of 1 to 4095 decimal. 
TR-DSRSW-1753  The product SHALL support audio services regardless of whether a video component is present. (tags: audio only, music channel )
TR-DSRSW-1766 A/V Component Selection 
TR-DSRSW-1767  When an A/V service is acquired, and the client indicates that default components should be selected, the product SHALL select the audio component that corresponds to the preferred language if the preferred language has been configured and there is an audio component that matches the preferred language. 
TR-DSRSW-1768  The product SHALL select the first audio component listed in the PMT if there is no audio component that matches the preferred language.
TR-DSRSW-1769  The product SHALL automatically update selection of A/V component streams when the settop's language configuration changes. 
TR-DSRSW-1770 Virtual Channel (VCT) 
TR-DSRSW-1771  The product SHALL only accept Virtual Channel Table (VCT)  Messages where the enumerated type transmission_medium indicates a "reseved10" transmission medium.
TR-DSRSW-1772  The product SHALL maintain the Virtual Channel Table (VCT) in non-volatile memory. 
TR-DSRSW-1773 ROM Resident VCT 
TR-DSRSW-1774  The product SHALL use the ROM resident VCT containing the Satellite Virtual Channels until updated by valid VCT messages.
TR-DSRSW-1775  The product SHALL contain a ROM based default virtual channel map with VCT ID 0x1100 (decimal 4352). 
TR-DSRSW-1776  The product SHALL default to the ROM based virtual channel map after a Factory Reset. 
TR-DSRSW-1777  The product SHALL contain a default ROM resident VCT as defined in the table below.
Chn  Xpdr  Sat  Po  Frequency  SymRate  CR  Mod  Ton  SvcN  SourceID
200  49  1  VR  1147750000  19510470  3/4  QPSK  0  010  0x0002
201  40  1  HL  0970000000  19510470  3/4  QPSK  0  255  0x0003
202  41  1  VR  1010000000  29265700  7/8  QPSK  0  005  0x0009
203  42  1  HL  1010000000  19510470  3/4  QPSK  0  255  0x000C
204  08  1  VR  0964750000  19510470  3/4  QPSK  0  255  0x000D
205  44  1  HL  1050000000  19510470  3/4  QPSK  0  255  0x000E
206  03  1  VR  1070000000  19510470  3/4  QPSK  0  255  0x000F
207  46  1  HL  1090000000  19510470  3/4  QPSK  0  255  0x0013
208  03  1  VR  1070000000  19510470  3/4  QPSK  0  255  0x03B5
209  48  1  HL  1130000000  19510470  3/4  QPSK  0  255  0x03B6
210  29  1  HL  1147750000  19510470  3/4  QPSK  0  255  0x002A
211  29  1  HL  1147750000  19510470  3/4  QPSK  0  255  0x002F
212  51  1  VR  1190000000  19510470  3/4  QPSK  0  255  0x0030
213  52  1  HL  1210000000  19510470  3/4  QPSK  0  255  0x0031
214  53  1  VR  1230000000  19510470  3/4  QPSK  0  255  0x0050
215  54  1  HL  1250000000  19510470  3/4  QPSK  0  255  0x0051
216  55  1  VR  1270000000  19510470  3/4  QPSK  0  255  0x0057
217  56  1  HL  1290000000  19510470  3/4  QPSK  0  255  0x0058
218  57  1  VR  1310000000  19510470  3/4  QPSK  0  255  0x005B
222  61  1  VR  1390000000  19510470  3/4  QPSK  0  255  0x005C
223  62  1  HL  1410000000  19510470  3/4  QPSK  0  255  0x005D
224  63  1  VR  1430000000  19510470  3/4  QPSK  0  255  0x005F
231  14  1  VR  1230000000  19510470  3/4  QPSK  0  255  0x0064
232  15  1  HL  1250000000  19510470  3/4  QPSK  0  255  0x006D
233  16  1  VR  1270000000  19510470  3/4  QPSK  0  255  0x0074
234  17  1  HL  1290000000  19510470  3/4  QPSK  0  255  0x0075
250  24  1  VR  1825000000  19510470  3/4  QPSK  0  255  0x0076
251  23  1  VR  1370000000  14632850  7/8  OQPSK  0  255  0x0077
252  24  1  VR  1825000000  19510470  3/4  QPSK  0  255  0x0078
253  25  1  VR  1130000000  04877617  3/4  OQPSK  0  255  0x0079
254  26  1  VR  1170000000  19510470  3/4  QPSK  0  255  0x007A
256  28  1  HL  1123500000  19510470  3/4  QPSK  0  255  0x00A3
257  29  1  HL  1147750000  19510470  3/4  QPSK  0  255  0x00A4
258  30  1  VR  1310000000  19510470  3/4  QPSK  0  255  0x00A5
259  31  1  HL  1278500000  19510470  3/4  QPSK  0  255  0x00A6
260  32  1  VR  1427000000  19510470  3/4  QPSK  0  255  0x00BF
265  02  1  VR  1641750000  21000000  2.11  PSK_8  0  101  0xFB6F
266  45  1  VR  1147750000  20500000  1.92  PSK_8  1  001  0xFAA3
267  43  1  VR  1018500000  22000000  8/9  PSK_8  0  102  0xFC7E
268  27  1  VR  1824750000  20500000  1.92  PSK_8  0  285  0x010A
281  01  1  VR  1422250000  19510470  3/4  QPSK  0  255  0x010B
283  03  1  VR  1070000000  19510470  3/4  QPSK  0  255  0x010D
284  04  1  VR  1054000000  19510470  3/4  QPSK  0  255  0x010E
285  05  1  VR  1089000000  19510470  3/4  QPSK  0  255  0x010F
286  06  1  VR  0995250000  19510470  3/4  QPSK  0  255  0x0110
287  07  1  VR  1150000000  19510470  3/4  QPSK  0  255  0x0111
288  08  1  VR  0964750000  19510470  3/4  QPSK  0  255  0x0112
289  09  1  VR  1391750000  19510470  3/4  QPSK  0  255  0x0113
290  10  1  VR  1237000000  19510470  3/4  QPSK  0  255  0x0114
291  11  1  HL  1374250000  19510470  3/4  QPSK  0  255  0x0115
292  12  1  HL  1311000000  19510470  3/4  QPSK  0  255  0x0116
293  13  1  VR  1117250000  19510470  3/4  QPSK  0  255  0x0117
299  06  1  VR  0995250000  19510470  3/4  QPSK  0  255  0x1010
350  01  1  VR  1422250000  19510470  3/4  QPSK  1  255  0x0071
402  06  1  VR  0995250000  19510470  3/4  QPSK  0  255  0x011A
501  26  1  VR  1170000000  19510470  3/4  QPSK  0  255  0x011B
503  26  1  VR  1170000000  19510470  3/4  QPSK  0  255  0x011C
509  26  1  VR  1170000000  19510470  3/4  QPSK  0  255  0x011E
666  42  1  HL  1010000000  19510470  3/4  QPSK  0  255  0x0118
668  42  1  HL  1010000000  19510470  3/4  QPSK  0  255  0x0119
700  00  1  HL  1313250000  19510470  3/4  QPSK  1  255  0x007D
703  30  1  VR  1310000000  19510470  3/4  QPSK  0  255  0x0120
705  30  1  VR  1310000000  19510470  3/4  QPSK  0  255  0x0121
899  47  1  VR  1210000000  21000000  8/9  PSK_8  0  255  0x011F
900  23  1  VR  1370000000  14632850  7/8  OQPSK  0  040  0x0399
901  50  1  HL  1620000000  22000000  5/6  PSK_8  0  255  0x0128
902  47  1  VR  1210000000  21000000  8/9  PSK_8  0  255  0x0129
904  58  1  VR  1430000000  20000000  1.92  PSK_8  0  010  0x0123
905  58  1  VR  1430000000  20000000  1.92  PSK_8  1  003  0x0124
906  59  1  HL  1430000000  21500000  2.11  PSK_8  0  020  0x0125
907  59  1  HL  1430000000  21500000  2.11  PSK_8  1  023  0x0126
908  60  1  HL  0970000000  20000000  1.92  PSK_8  0  000  0x0127
921  34  1  HL  0990000000  29265700  1/2  QPSK  0  021  0x0399
922  34  1  HL  0990000000  29265700  1/2  QPSK  0  022  0x039A
926  34  1  HL  0990000000  29265700  1/2  QPSK  0  026  0x039E
927  34  1  HL  0990000000  29265700  1/2  QPSK  0  027  0x039F
928  34  1  HL  0990000000  29265700  1/2  QPSK  0  028  0x03A0
929  37  1  HL  1470000000  19510470  3/4  QPSK  0  030  0x03A1
930  38  1  VR  2130000000  19510470  3/4  QPSK  0  013  0x03A2
931  39  1  HL  0970000000  29265700  1/2  QPSK  0  020  0x03A3
932  18  1  HL  1540000000  19510470  3/4  QPSK  0  013  0x03A4
933  19  1  VR  1540000000  29265700  1/2  QPSK  0  020  0x03A5
934  20  1  VR  2140000000  19510470  3/4  QPSK  0  016  0x03A6
935  21  1  HL  2140000000  29265700  1/2  QPSK  0  023  0x03A7
943  36  1  HL  0990000000  19510470  3/4  QPSK  0  010  0x03AF
944  36  1  HL  0990000000  19510470  3/4  QPSK  0  011  0x03B0
945  36  1  HL  0990000000  19510470  3/4  QPSK  0  012  0x03B1
946  36  1  HL  0990000000  19510470  3/4  QPSK  0  013  0x03B2
947  36  1  HL  0990000000  19510470  3/4  QPSK  0  014  0x03B3
948  36  1  HL  0990000000  19510470  3/4  QPSK  0  015  0x03B4
954  57  1  VR  1310000000  19510470  3/4  QPSK  0  001  0x0015
955  57  1  VR  1310000000  19510470  3/4  QPSK  0  002  0x0015
956  57  1  VR  1310000000  19510470  3/4  QPSK  0  003  0x0015
957  57  1  VR  1310000000  19510470  3/4  QPSK  0  004  0x0015
958  57  1  VR  1310000000  19510470  3/4  QPSK  0  005  0x0016
962  57  1  VR  1310000000  19510470  3/4  QPSK  0  009  0x03C2
963  57  1  VR  1310000000  19510470  3/4  QPSK  0  010  0x03C3
964  57  1  VR  1310000000  19510470  3/4  QPSK  0  011  0x03C4
965  57  1  VR  1310000000  19510470  3/4  QPSK  0  012  0x03C5
966  57  1  VR  1310000000  19510470  3/4  QPSK  0  013  0x03C6
967  57  1  VR  1310000000  19510470  3/4  QPSK  0  014  0x03C7
968  38  1  VR  2130000000  19510470  3/4  QPSK  0  015  0x03C8
969  35  1  HL  1430000000  29265700  1/2  QPSK  0  020  0x03C9
970  35  1  HL  1430000000  29265700  1/2  QPSK  0  021  0x03CA
971  35  1  HL  1430000000  29265700  1/2  QPSK  0  022  0x03CB
972  35  1  HL  1430000000  29265700  1/2  QPSK  0  001  0x0016
976  35  1  HL  1430000000  29265700  1/2  QPSK  0  023  0x03D0
977  35  1  HL  1430000000  29265700  1/2  QPSK  0  024  0x03D1
978  35  1  HL  1430000000  29265700  1/2  QPSK  0  025  0x03D2
979  35  1  HL  1430000000  29265700  1/2  QPSK  0  001  0x0017
980  39  1  HL  0970000000  29265700  1/2  QPSK  0  026  0x03D4
981  35  1  HL  1430000000  29265700  1/2  QPSK  0  027  0x03D5
982  35  1  HL  1430000000  29265700  1/2  QPSK  0  028  0x03D6
985  57  1  VR  1310000000  19510470  3/4  QPSK  0  016  0x03D9
986  57  1  VR  1310000000  19510470  3/4  QPSK  0  017  0x03DA
987  57  1  VR  1310000000  19510470  3/4  QPSK  0  018  0x03DB
988  57  1  VR  1310000000  19510470  3/4  QPSK  0  019  0x03DC
989  33  1  VR  1175000000  20000000  1.92  PSK_8  0  004  0x012A
990  33  1  VR  1175000000  20000000  1.92  PSK_8  0  002  0x012B
TR-DSRSW-1778 Network Information (NIT) 
TR-DSRSW-1779  The product SHALL only accept Network Information (NIT) Messages where the enumerated type transmission_medium indicates a "reseved10" transmission medium.
TR-DSRSW-1780  The product SHALL process the Satellite Information Table (SIT) associated with the current Virtual Channel Table's (VCT) lowest channel number.
TR-DSRSW-1781  The product SHALL maintain the Satellite Information Table (SIT) tuning data in non-volatile memory. 
TR-DSRSW-1782  The product SHALL maintain the Transponder Data Table (TDT) tuning data in non-volatile memory. 
TR-DSRSW-1783  The product SHALL maintain the Modulation Mode Table (MMT) tuning data in non-volatile memory. 
TR-DSRSW-1784  The product SHALL maintain the Carrier Definition Table (CDT) tuning data in non-volatile memory. 
TR-DSRSW-1785 Program Association (PAT) 
TR-DSRSW-1786  If an active A/V service is modified in the PAT, the product SHALL reacquire the service and notify the application client. 
TR-DSRSW-1787 Program Map (PMT) 
TR-DSRSW-1788  If the PCR PID in the PMT changes for an A/V service, the product SHALL reacquire the A/V service. 
TR-DSRSW-1789 Program Information Message 
TR-DSRSW-1791  The product SHALL notify the application of any ratings contained in the Program Information messages of associated services.
TR-DSRSW-1792 Flexible Services 
TR-DSRSW-1793  Flexible services are multiple services constructed from various combinations of service components {e.g. video, audio, data, etc.} originating from the same television service processor within the DCII encoder.
Within the confines of the MPEG-2 definition, it is permissible to define services that share streams with other services.  For example, services 0x0012 and 0x0013 may be defined with a video component in common:
  [Service 0x0012:    Video PID =     0x1012 
            Audio PID 1 = 0x0212 
            Audio PID 2 = 0x0213 ]
  [Service 0x0013:    Video PID = 0x1012 
            Audio PID 1 = 0x0214 ]
The PMT PID contains one PMT for each flexible service, but only one (Program Information Message) PIM and one (Program Name Message) PNM for all of the services.  Thus, to conserve bandwidth, the PIM and PNM use a wildcard service number.
TR-DSRSW-1801  The product SHALL process Program Information messages if the service number is 0x0000 ("wildcard service number"). 
TR-DSRSW-1811 Service Acquisition Performance 
TR-DSRSW-1815 Services on Different Transponders 
TR-DSRSW-2194 Channel Selection 
TR-DSRSW-2476  The product SHALL, while in standby mode, continue to support DCII Network Message processing.
TR-DSRSW-2477  The product SHALL, while in standby mode, continue to support DCII Service Control Channel message processing.
TR-DSRSW-2520  The product SHALL be capable of storing a minimum of 905 channel definitions.
TR-DSRSW-2563  The product SHALL send valid PMT PID-to-elementary-stream association data to the application in response to tune request APIs.  (Note, in previous SW versions, unvisited channels in the VCT did not have cached PID values, thus, incorrect PMT PID values were sent).</v>
      </c>
    </row>
    <row r="153" spans="1:10" ht="409.5" x14ac:dyDescent="0.25">
      <c r="A153" s="10" t="str">
        <f>FR!A153</f>
        <v>FR-DSRSW-1483</v>
      </c>
      <c r="B153" s="7" t="b">
        <f>ISERROR(FIND("-",FR!B153))</f>
        <v>0</v>
      </c>
      <c r="C153" s="7">
        <f>SetIndent(D153,(FR!C153-1)*2)</f>
        <v>2</v>
      </c>
      <c r="D153" s="34" t="str">
        <f>IF(ISERROR(FIND("-",FR!B153)),FR!B153&amp;" "&amp;FR!D153,FR!D153)</f>
        <v>The product SHALL support Channel Overrides.</v>
      </c>
      <c r="E153" s="7" t="str">
        <f>IF(H153="Modified",VLOOKUP(A153,'Prev PMR'!A$2:D$190,4),"")</f>
        <v/>
      </c>
      <c r="F153" s="7" t="str">
        <f>FR!E153</f>
        <v>Req</v>
      </c>
      <c r="G153" s="37" t="str">
        <f>IF(ISERROR(FIND("Adara 1.0",FR!F153)),
        IF(ISERROR(FIND("Adara 1.1",FR!F153)),
                IF(ISERROR(FIND("Deneb",FR!F153)),"errorRob","Deneb"),
         "Adara 1.1"),
  "Adara 1.0")</f>
        <v>Adara 1.0</v>
      </c>
      <c r="H153" s="19" t="str">
        <f>FR!I153</f>
        <v>Approved</v>
      </c>
      <c r="I153" s="7" t="str">
        <f>IF(ISBLANK(FR!G153),"",FR!G153)</f>
        <v/>
      </c>
      <c r="J153" s="6" t="str">
        <f>IF(ISBLANK(FR!H153),"",FR!H153)</f>
        <v>TR-DSRSW-1754 Channel Overrides 
TR-DSRSW-1755  If the platform is in control of tuning, the product SHALL retain the permanent definition of the virtual channel (base channel) that is being overidden for a particular inband service path in order to go back to the correct channel on that inband service path when the override action is concluded. 
TR-DSRSW-1756  The product SHALL support the dynamic changes to override definitions, so that an override may itself be overridden by a new channel definition for a particular inband service path. 
TR-DSRSW-1757  The product SHALL support pending channel overrides with queue overrides that will occur at a given future time for all inband service paths. 
TR-DSRSW-1758  The product SHALL maintain an activation time queue for each individual inband service path and use this queue for channel overrides that must be activated in the future.  
TR-DSRSW-1759  A channel override for a particular inband service path must have the same VCT_ID as the system's VCT_ID.  
TR-DSRSW-1760  The product SHALL filter out channel override for a particular inband service path if the VCT_ID is different from the system's VCT_ID, and the VCT_ID of the channel override isn't zero (wildcard). 
TR-DSRSW-1761  The product SHALL accept a Channel Override Message only if the IRD is subject to the specified message preamble condition(s) for the start time in question. (Note, preamble conditions are typically one or two geographic circles).
TR-DSRSW-1762  The product SHALL support the Channel Override Message with one or more of the following preamble conditions:
	Tier Match
	Circle Test
	Region
TR-DSRSW-1763  The product SHALL only accept Channel Override Messages where the enumerated type transmission_medium indicates a "reseved10" transmission medium.
TR-DSRSW-1764  The product SHALL, in the case of contending active channel overrides with different activation times, accept Channel Override Messages with the later activation time.
TR-DSRSW-1765  The product SHALL, in the case of contending active channel overrides with the same activation time, accept the last received Channel Override Messages.
TR-DSRSW-2474 Standby Message Processing 
TR-DSRSW-2478  The product SHALL cancel the channel override if the applicable Channel Override Message contains a override_duration of zero, tuning to the definition given in the channel map. 
TR-DSRSW-2484  The product SHALL support appending DVR AV program files that occur due to a channel override.
TR-DSRSW-2485  The product SHALL support appending DVR AV program files that occur due to a power loss.</v>
      </c>
    </row>
    <row r="154" spans="1:10" ht="135" x14ac:dyDescent="0.25">
      <c r="A154" s="10" t="str">
        <f>FR!A154</f>
        <v>FR-DSRSW-1398</v>
      </c>
      <c r="B154" s="7" t="b">
        <f>ISERROR(FIND("-",FR!B154))</f>
        <v>0</v>
      </c>
      <c r="C154" s="7">
        <f>SetIndent(D154,(FR!C154-1)*2)</f>
        <v>2</v>
      </c>
      <c r="D154" s="34" t="str">
        <f>IF(ISERROR(FIND("-",FR!B154)),FR!B154&amp;" "&amp;FR!D154,FR!D154)</f>
        <v>The product SHALL be capable of storing up to two channel maps and associated network information, to local Flash memory</v>
      </c>
      <c r="E154" s="7" t="str">
        <f>IF(H154="Modified",VLOOKUP(A154,'Prev PMR'!A$2:D$190,4),"")</f>
        <v/>
      </c>
      <c r="F154" s="7" t="str">
        <f>FR!E154</f>
        <v>Req</v>
      </c>
      <c r="G154" s="37" t="str">
        <f>IF(ISERROR(FIND("Adara 1.0",FR!F154)),
        IF(ISERROR(FIND("Adara 1.1",FR!F154)),
                IF(ISERROR(FIND("Deneb",FR!F154)),"errorRob","Deneb"),
         "Adara 1.1"),
  "Adara 1.0")</f>
        <v>Adara 1.0</v>
      </c>
      <c r="H154" s="19" t="str">
        <f>FR!I154</f>
        <v>Approved</v>
      </c>
      <c r="I154" s="7" t="str">
        <f>IF(ISBLANK(FR!G154),"",FR!G154)</f>
        <v/>
      </c>
      <c r="J154" s="6" t="str">
        <f>IF(ISBLANK(FR!H154),"",FR!H154)</f>
        <v>TR-DSRSW-1802 Channel Map Storage 
TR-DSRSW-1803  The product SHALL be capable of storing up to two nonvolatile channel maps (including associated network information), loaded at the factory, to local Flash memory.
TR-DSRSW-1804  The product SHALL be capable of storing up to two nonvolatile channel maps (including associated network information), loaded via code download, to local Flash memory.
TR-DSRSW-1805  The product SHALL discard previous nonvolatile channel maps when new nonvolatile channel maps are received via code download.</v>
      </c>
    </row>
    <row r="155" spans="1:10" ht="195" x14ac:dyDescent="0.25">
      <c r="A155" s="10" t="str">
        <f>FR!A155</f>
        <v>FR-DSRSW-1399</v>
      </c>
      <c r="B155" s="7" t="b">
        <f>ISERROR(FIND("-",FR!B155))</f>
        <v>0</v>
      </c>
      <c r="C155" s="7">
        <f>SetIndent(D155,(FR!C155-1)*2)</f>
        <v>2</v>
      </c>
      <c r="D155" s="34" t="str">
        <f>IF(ISERROR(FIND("-",FR!B155)),FR!B155&amp;" "&amp;FR!D155,FR!D155)</f>
        <v>The product SHALL be capable of instantiating a channel map, and associated network information, from nonvolatile memory.</v>
      </c>
      <c r="E155" s="7" t="str">
        <f>IF(H155="Modified",VLOOKUP(A155,'Prev PMR'!A$2:D$190,4),"")</f>
        <v/>
      </c>
      <c r="F155" s="7" t="str">
        <f>FR!E155</f>
        <v>Req</v>
      </c>
      <c r="G155" s="37" t="str">
        <f>IF(ISERROR(FIND("Adara 1.0",FR!F155)),
        IF(ISERROR(FIND("Adara 1.1",FR!F155)),
                IF(ISERROR(FIND("Deneb",FR!F155)),"errorRob","Deneb"),
         "Adara 1.1"),
  "Adara 1.0")</f>
        <v>Adara 1.0</v>
      </c>
      <c r="H155" s="19" t="str">
        <f>FR!I155</f>
        <v>Approved</v>
      </c>
      <c r="I155" s="7" t="str">
        <f>IF(ISBLANK(FR!G155),"",FR!G155)</f>
        <v/>
      </c>
      <c r="J155" s="6" t="str">
        <f>IF(ISBLANK(FR!H155),"",FR!H155)</f>
        <v>TR-DSRSW-1806 Channel Map Activation 
TR-DSRSW-1807  The product SHALL provide an API to allow application software to activate a nonvolatile channel map and associated network information, based on VCT_ID.
TR-DSRSW-1808  The product SHALL, if a channel map on the satellite network stream is the same VCT ID as an instantiated nonvolatile map, deactivate the nonvolatile channel map.
TR-DSRSW-1809  The product SHALL, if a channel map on the satellite network stream is the same VCT ID as an instantiated nonvolatile map, activate channel map received on the network stream.
TR-DSRSW-1810  The product SHALL, while using the nonvolatile channel map VCT_ID,  return to using the UIM VCT_ID when a valid UIM containing the single_map_VCT_ID is received.</v>
      </c>
    </row>
    <row r="156" spans="1:10" x14ac:dyDescent="0.25">
      <c r="A156" s="10" t="str">
        <f>FR!A156</f>
        <v>FR-DSRSW-1400</v>
      </c>
      <c r="B156" s="7" t="b">
        <f>ISERROR(FIND("-",FR!B156))</f>
        <v>1</v>
      </c>
      <c r="C156" s="7">
        <f>SetIndent(D156,(FR!C156-1)*2)</f>
        <v>2</v>
      </c>
      <c r="D156" s="34" t="str">
        <f>IF(ISERROR(FIND("-",FR!B156)),FR!B156&amp;" "&amp;FR!D156,FR!D156)</f>
        <v>21.1 Service Acquisition Performance</v>
      </c>
      <c r="E156" s="7" t="str">
        <f>IF(H156="Modified",VLOOKUP(A156,'Prev PMR'!A$2:D$190,4),"")</f>
        <v/>
      </c>
      <c r="F156" s="7" t="str">
        <f>FR!E156</f>
        <v>Com</v>
      </c>
      <c r="G156" s="37" t="str">
        <f>IF(ISERROR(FIND("Adara 1.0",FR!F156)),
        IF(ISERROR(FIND("Adara 1.1",FR!F156)),
                IF(ISERROR(FIND("Deneb",FR!F156)),"errorRob","Deneb"),
         "Adara 1.1"),
  "Adara 1.0")</f>
        <v>Adara 1.0</v>
      </c>
      <c r="H156" s="19" t="str">
        <f>FR!I156</f>
        <v>Approved</v>
      </c>
      <c r="I156" s="7" t="str">
        <f>IF(ISBLANK(FR!G156),"",FR!G156)</f>
        <v/>
      </c>
      <c r="J156" s="6" t="str">
        <f>IF(ISBLANK(FR!H156),"",FR!H156)</f>
        <v/>
      </c>
    </row>
    <row r="157" spans="1:10" ht="165" x14ac:dyDescent="0.25">
      <c r="A157" s="10" t="str">
        <f>FR!A157</f>
        <v>FR-DSRSW-1401</v>
      </c>
      <c r="B157" s="7" t="b">
        <f>ISERROR(FIND("-",FR!B157))</f>
        <v>0</v>
      </c>
      <c r="C157" s="7">
        <f>SetIndent(D157,(FR!C157-1)*2)</f>
        <v>4</v>
      </c>
      <c r="D157" s="35" t="str">
        <f>IF(ISERROR(FIND("-",FR!B157)),FR!B157&amp;" "&amp;FR!D157,FR!D157)</f>
        <v>The product SHALL take no more than (1.5) sec. to tune between digital services within the same multiplex.</v>
      </c>
      <c r="E157" s="7" t="str">
        <f>IF(H157="Modified",VLOOKUP(A157,'Prev PMR'!A$2:D$190,4),"")</f>
        <v/>
      </c>
      <c r="F157" s="7" t="str">
        <f>FR!E157</f>
        <v>Req</v>
      </c>
      <c r="G157" s="37" t="str">
        <f>IF(ISERROR(FIND("Adara 1.0",FR!F157)),
        IF(ISERROR(FIND("Adara 1.1",FR!F157)),
                IF(ISERROR(FIND("Deneb",FR!F157)),"errorRob","Deneb"),
         "Adara 1.1"),
  "Adara 1.0")</f>
        <v>Adara 1.0</v>
      </c>
      <c r="H157" s="19" t="str">
        <f>FR!I157</f>
        <v>Approved</v>
      </c>
      <c r="I157" s="7" t="str">
        <f>IF(ISBLANK(FR!G157),"",FR!G157)</f>
        <v/>
      </c>
      <c r="J157" s="6" t="str">
        <f>IF(ISBLANK(FR!H157),"",FR!H157)</f>
        <v>TR-DSRSW-1812 Services on the Same Transponder 
TR-DSRSW-1813  The product SHALL tune to a different digital service within the same multi-program transport stream (MPTS) with a 95% percentile time of 1.5 seconds from when a tune request is delivered to the platform software until when the service is available for viewing.
TR-DSRSW-1814  [Note this includes the time to demux the other digital service, to acquire SI data (from PMT), and to decode and present the audio and video.  It assumes a standard definition MPEG-2 service with a GOP size of 15, PAT/PMT insertion rate of 8/second, and a non-encrypted channel.  It also assumes that the services are not being trick-played (going live-off-disk), and that the same audio and video codecs exist in both services.]</v>
      </c>
    </row>
    <row r="158" spans="1:10" ht="165" x14ac:dyDescent="0.25">
      <c r="A158" s="10" t="str">
        <f>FR!A158</f>
        <v>FR-DSRSW-1402</v>
      </c>
      <c r="B158" s="7" t="b">
        <f>ISERROR(FIND("-",FR!B158))</f>
        <v>0</v>
      </c>
      <c r="C158" s="7">
        <f>SetIndent(D158,(FR!C158-1)*2)</f>
        <v>4</v>
      </c>
      <c r="D158" s="35" t="str">
        <f>IF(ISERROR(FIND("-",FR!B158)),FR!B158&amp;" "&amp;FR!D158,FR!D158)</f>
        <v>The product SHALL take no more than (2) sec. to tune between digital services within different multiplexes.</v>
      </c>
      <c r="E158" s="7" t="str">
        <f>IF(H158="Modified",VLOOKUP(A158,'Prev PMR'!A$2:D$190,4),"")</f>
        <v/>
      </c>
      <c r="F158" s="7" t="str">
        <f>FR!E158</f>
        <v>Req</v>
      </c>
      <c r="G158" s="37" t="str">
        <f>IF(ISERROR(FIND("Adara 1.0",FR!F158)),
        IF(ISERROR(FIND("Adara 1.1",FR!F158)),
                IF(ISERROR(FIND("Deneb",FR!F158)),"errorRob","Deneb"),
         "Adara 1.1"),
  "Adara 1.0")</f>
        <v>Adara 1.0</v>
      </c>
      <c r="H158" s="19" t="str">
        <f>FR!I158</f>
        <v>Approved</v>
      </c>
      <c r="I158" s="7" t="str">
        <f>IF(ISBLANK(FR!G158),"",FR!G158)</f>
        <v/>
      </c>
      <c r="J158" s="6" t="str">
        <f>IF(ISBLANK(FR!H158),"",FR!H158)</f>
        <v>TR-DSRSW-1816  The product SHALL tune to a different digital service in a different multi-program transport stream (MPTS) with a 95% percentile time of 2.0 seconds from when a tune request is delivered to the platform software until when the service is available for viewing.
TR-DSRSW-1817  [Note this includes the tune to the frequency of the other MPTS, to demux and receive the other digital service, to acquire SI data (PAT and PMT), and to decode and present the audio and video.  It assumes a standard definition MPEG-2 service with a GOP size of 15, PAT/PMT insertion rate of 8/second, PCR interval is 50ms, and a non-encrypted channel.  It also assumes that the services are not being trick-played (going live-off-disk), and that the same audio and video codecs exist in both services.]</v>
      </c>
    </row>
    <row r="159" spans="1:10" x14ac:dyDescent="0.25">
      <c r="A159" s="10" t="str">
        <f>FR!A159</f>
        <v>FR-DSRSW-1403</v>
      </c>
      <c r="B159" s="7" t="b">
        <f>ISERROR(FIND("-",FR!B159))</f>
        <v>1</v>
      </c>
      <c r="C159" s="7">
        <f>SetIndent(D159,(FR!C159-1)*2)</f>
        <v>0</v>
      </c>
      <c r="D159" s="33" t="str">
        <f>IF(ISERROR(FIND("-",FR!B159)),FR!B159&amp;" "&amp;FR!D159,FR!D159)</f>
        <v>22 Video Decode</v>
      </c>
      <c r="E159" s="7" t="str">
        <f>IF(H159="Modified",VLOOKUP(A159,'Prev PMR'!A$2:D$190,4),"")</f>
        <v/>
      </c>
      <c r="F159" s="7" t="str">
        <f>FR!E159</f>
        <v>Com</v>
      </c>
      <c r="G159" s="37" t="str">
        <f>IF(ISERROR(FIND("Adara 1.0",FR!F159)),
        IF(ISERROR(FIND("Adara 1.1",FR!F159)),
                IF(ISERROR(FIND("Deneb",FR!F159)),"errorRob","Deneb"),
         "Adara 1.1"),
  "Adara 1.0")</f>
        <v>Adara 1.0</v>
      </c>
      <c r="H159" s="19" t="str">
        <f>FR!I159</f>
        <v>Approved</v>
      </c>
      <c r="I159" s="7" t="str">
        <f>IF(ISBLANK(FR!G159),"",FR!G159)</f>
        <v/>
      </c>
      <c r="J159" s="6" t="str">
        <f>IF(ISBLANK(FR!H159),"",FR!H159)</f>
        <v xml:space="preserve">TR-DSRSW-1818 Video Decode </v>
      </c>
    </row>
    <row r="160" spans="1:10" ht="75" x14ac:dyDescent="0.25">
      <c r="A160" s="10" t="str">
        <f>FR!A160</f>
        <v>FR-DSRSW-1405</v>
      </c>
      <c r="B160" s="7" t="b">
        <f>ISERROR(FIND("-",FR!B160))</f>
        <v>0</v>
      </c>
      <c r="C160" s="7">
        <f>SetIndent(D160,(FR!C160-1)*2)</f>
        <v>2</v>
      </c>
      <c r="D160" s="34" t="str">
        <f>IF(ISERROR(FIND("-",FR!B160)),FR!B160&amp;" "&amp;FR!D160,FR!D160)</f>
        <v>The product SHALL support MPEG-2 (MP@HL) video decode.
(MP@HL = 1080i)</v>
      </c>
      <c r="E160" s="7" t="str">
        <f>IF(H160="Modified",VLOOKUP(A160,'Prev PMR'!A$2:D$190,4),"")</f>
        <v/>
      </c>
      <c r="F160" s="7" t="str">
        <f>FR!E160</f>
        <v>Req</v>
      </c>
      <c r="G160" s="37" t="str">
        <f>IF(ISERROR(FIND("Adara 1.0",FR!F160)),
        IF(ISERROR(FIND("Adara 1.1",FR!F160)),
                IF(ISERROR(FIND("Deneb",FR!F160)),"errorRob","Deneb"),
         "Adara 1.1"),
  "Adara 1.0")</f>
        <v>Adara 1.0</v>
      </c>
      <c r="H160" s="19" t="str">
        <f>FR!I160</f>
        <v>Approved</v>
      </c>
      <c r="I160" s="7" t="str">
        <f>IF(ISBLANK(FR!G160),"",FR!G160)</f>
        <v/>
      </c>
      <c r="J160" s="6" t="str">
        <f>IF(ISBLANK(FR!H160),"",FR!H160)</f>
        <v xml:space="preserve">TR-DSRSW-1824  The product SHALL support MPEG-2 (MP@HL) video decode.
TR-DSRSW-2200  The product SHALL have a flexible video decoder that is capable of decoding compliant MPEG-2 digital video streams encoded using Main Profile and up to High Level (MP@HL) as per [ISO 13818-2].  (MP@HL = 1080i)
TR-DSRSW-2201 MPEG-2 Video Decode </v>
      </c>
    </row>
    <row r="161" spans="1:10" ht="105" x14ac:dyDescent="0.25">
      <c r="A161" s="10" t="str">
        <f>FR!A161</f>
        <v>FR-DSRSW-1407</v>
      </c>
      <c r="B161" s="7" t="b">
        <f>ISERROR(FIND("-",FR!B161))</f>
        <v>0</v>
      </c>
      <c r="C161" s="7">
        <f>SetIndent(D161,(FR!C161-1)*2)</f>
        <v>2</v>
      </c>
      <c r="D161" s="34" t="str">
        <f>IF(ISERROR(FIND("-",FR!B161)),FR!B161&amp;" "&amp;FR!D161,FR!D161)</f>
        <v>The product SHALL support MPEG-4 Part 10 AVC (H.264) level 4.2 video decode.
(Level 4.2 = 1080p60)</v>
      </c>
      <c r="E161" s="7" t="str">
        <f>IF(H161="Modified",VLOOKUP(A161,'Prev PMR'!A$2:D$190,4),"")</f>
        <v/>
      </c>
      <c r="F161" s="7" t="str">
        <f>FR!E161</f>
        <v>Req</v>
      </c>
      <c r="G161" s="37" t="str">
        <f>IF(ISERROR(FIND("Adara 1.0",FR!F161)),
        IF(ISERROR(FIND("Adara 1.1",FR!F161)),
                IF(ISERROR(FIND("Deneb",FR!F161)),"errorRob","Deneb"),
         "Adara 1.1"),
  "Adara 1.0")</f>
        <v>Adara 1.0</v>
      </c>
      <c r="H161" s="19" t="str">
        <f>FR!I161</f>
        <v>Approved</v>
      </c>
      <c r="I161" s="7" t="str">
        <f>IF(ISBLANK(FR!G161),"",FR!G161)</f>
        <v/>
      </c>
      <c r="J161" s="6" t="str">
        <f>IF(ISBLANK(FR!H161),"",FR!H161)</f>
        <v>TR-DSRSW-1828 MPEG-4 AVC Video Decode 
TR-DSRSW-1829  The product SHALL support MPEG-4 Part 10 AVC (H.264) Level 4.2 video decode. 
TR-DSRSW-2202  The product SHALL have a flexible video decoder that is capable of decoding compliant MPEG-4 AVC digital video streams encoded using High Profile and up to Level 4.2 (HP@L4.2) as per [ITU-T H.264] and [ISO 14496-10]. (Level 4.2 = 1080p60)</v>
      </c>
    </row>
    <row r="162" spans="1:10" ht="90" x14ac:dyDescent="0.25">
      <c r="A162" s="10" t="str">
        <f>FR!A162</f>
        <v>FR-DSRSW-1462</v>
      </c>
      <c r="B162" s="7" t="b">
        <f>ISERROR(FIND("-",FR!B162))</f>
        <v>0</v>
      </c>
      <c r="C162" s="7">
        <f>SetIndent(D162,(FR!C162-1)*2)</f>
        <v>2</v>
      </c>
      <c r="D162" s="34" t="str">
        <f>IF(ISERROR(FIND("-",FR!B162)),FR!B162&amp;" "&amp;FR!D162,FR!D162)</f>
        <v>The product SHALL support HEVC level 4.1 video decode.
(Level 4.1 = 1080p60)</v>
      </c>
      <c r="E162" s="7" t="str">
        <f>IF(H162="Modified",VLOOKUP(A162,'Prev PMR'!A$2:D$190,4),"")</f>
        <v/>
      </c>
      <c r="F162" s="7" t="str">
        <f>FR!E162</f>
        <v>Req</v>
      </c>
      <c r="G162" s="37" t="str">
        <f>IF(ISERROR(FIND("Adara 1.0",FR!F162)),
        IF(ISERROR(FIND("Adara 1.1",FR!F162)),
                IF(ISERROR(FIND("Deneb",FR!F162)),"errorRob","Deneb"),
         "Adara 1.1"),
  "Adara 1.0")</f>
        <v>Adara 1.0</v>
      </c>
      <c r="H162" s="19" t="str">
        <f>FR!I162</f>
        <v>Approved</v>
      </c>
      <c r="I162" s="7" t="str">
        <f>IF(ISBLANK(FR!G162),"",FR!G162)</f>
        <v/>
      </c>
      <c r="J162" s="6" t="str">
        <f>IF(ISBLANK(FR!H162),"",FR!H162)</f>
        <v>TR-DSRSW-2203 HEVC Video Decode 
TR-DSRSW-2204  The product SHALL support HEVC video decode.
TR-DSRSW-2205  The product SHALL have a flexible video decoder that is capable of decoding compliant HEVC digital video streams encoded using Main Profile and up to Level 4.1 (MP@L4.1) as per [ITU-T H.265] and [ISO 23008-2]. (Level 4.1 = 1080p60)</v>
      </c>
    </row>
    <row r="163" spans="1:10" x14ac:dyDescent="0.25">
      <c r="A163" s="10" t="str">
        <f>FR!A163</f>
        <v>FR-DSRSW-1411</v>
      </c>
      <c r="B163" s="7" t="b">
        <f>ISERROR(FIND("-",FR!B163))</f>
        <v>1</v>
      </c>
      <c r="C163" s="7">
        <f>SetIndent(D163,(FR!C163-1)*2)</f>
        <v>0</v>
      </c>
      <c r="D163" s="33" t="str">
        <f>IF(ISERROR(FIND("-",FR!B163)),FR!B163&amp;" "&amp;FR!D163,FR!D163)</f>
        <v>23 Picture Decode</v>
      </c>
      <c r="E163" s="7" t="str">
        <f>IF(H163="Modified",VLOOKUP(A163,'Prev PMR'!A$2:D$190,4),"")</f>
        <v/>
      </c>
      <c r="F163" s="7" t="str">
        <f>FR!E163</f>
        <v>Com</v>
      </c>
      <c r="G163" s="37" t="str">
        <f>IF(ISERROR(FIND("Adara 1.0",FR!F163)),
        IF(ISERROR(FIND("Adara 1.1",FR!F163)),
                IF(ISERROR(FIND("Deneb",FR!F163)),"errorRob","Deneb"),
         "Adara 1.1"),
  "Adara 1.0")</f>
        <v>Adara 1.0</v>
      </c>
      <c r="H163" s="19" t="str">
        <f>FR!I163</f>
        <v>Approved</v>
      </c>
      <c r="I163" s="7" t="str">
        <f>IF(ISBLANK(FR!G163),"",FR!G163)</f>
        <v/>
      </c>
      <c r="J163" s="6" t="str">
        <f>IF(ISBLANK(FR!H163),"",FR!H163)</f>
        <v/>
      </c>
    </row>
    <row r="164" spans="1:10" ht="135" x14ac:dyDescent="0.25">
      <c r="A164" s="10" t="str">
        <f>FR!A164</f>
        <v>FR-DSRSW-1412</v>
      </c>
      <c r="B164" s="7" t="b">
        <f>ISERROR(FIND("-",FR!B164))</f>
        <v>0</v>
      </c>
      <c r="C164" s="7">
        <f>SetIndent(D164,(FR!C164-1)*2)</f>
        <v>2</v>
      </c>
      <c r="D164" s="34" t="str">
        <f>IF(ISERROR(FIND("-",FR!B164)),FR!B164&amp;" "&amp;FR!D164,FR!D164)</f>
        <v>The product SHALL support JPEG image decode.</v>
      </c>
      <c r="E164" s="7" t="str">
        <f>IF(H164="Modified",VLOOKUP(A164,'Prev PMR'!A$2:D$190,4),"")</f>
        <v/>
      </c>
      <c r="F164" s="7" t="str">
        <f>FR!E164</f>
        <v>Req</v>
      </c>
      <c r="G164" s="37" t="str">
        <f>IF(ISERROR(FIND("Adara 1.0",FR!F164)),
        IF(ISERROR(FIND("Adara 1.1",FR!F164)),
                IF(ISERROR(FIND("Deneb",FR!F164)),"errorRob","Deneb"),
         "Adara 1.1"),
  "Adara 1.0")</f>
        <v>Adara 1.0</v>
      </c>
      <c r="H164" s="19" t="str">
        <f>FR!I164</f>
        <v>Approved</v>
      </c>
      <c r="I164" s="7" t="str">
        <f>IF(ISBLANK(FR!G164),"",FR!G164)</f>
        <v/>
      </c>
      <c r="J164" s="6" t="str">
        <f>IF(ISBLANK(FR!H164),"",FR!H164)</f>
        <v>TR-DSRSW-1843 Picture Decode 
TR-DSRSW-1845  The product SHALL be capable of decoding and rendering JPEG (Joint Photographic Experts Group) image formats as in [JPEG - 1]. 
TR-DSRSW-1846  The product SHALL be capable of decoding and rendering 24-bit (8 red, 8 blue, 8 green) JPEG images.
TR-DSRSW-1847  The product SHALL be capable of positioning and scaling JPEG images on to the video graphics plane.
TR-DSRSW-1848  The product SHALL be capable of blending (transparency) of JPEG images on to the video graphics plane.</v>
      </c>
    </row>
    <row r="165" spans="1:10" x14ac:dyDescent="0.25">
      <c r="A165" s="10" t="str">
        <f>FR!A165</f>
        <v>FR-DSRSW-1413</v>
      </c>
      <c r="B165" s="7" t="b">
        <f>ISERROR(FIND("-",FR!B165))</f>
        <v>1</v>
      </c>
      <c r="C165" s="7">
        <f>SetIndent(D165,(FR!C165-1)*2)</f>
        <v>0</v>
      </c>
      <c r="D165" s="33" t="str">
        <f>IF(ISERROR(FIND("-",FR!B165)),FR!B165&amp;" "&amp;FR!D165,FR!D165)</f>
        <v>24 User Settings</v>
      </c>
      <c r="E165" s="7" t="str">
        <f>IF(H165="Modified",VLOOKUP(A165,'Prev PMR'!A$2:D$190,4),"")</f>
        <v/>
      </c>
      <c r="F165" s="7" t="str">
        <f>FR!E165</f>
        <v>Com</v>
      </c>
      <c r="G165" s="37" t="str">
        <f>IF(ISERROR(FIND("Adara 1.0",FR!F165)),
        IF(ISERROR(FIND("Adara 1.1",FR!F165)),
                IF(ISERROR(FIND("Deneb",FR!F165)),"errorRob","Deneb"),
         "Adara 1.1"),
  "Adara 1.0")</f>
        <v>Adara 1.0</v>
      </c>
      <c r="H165" s="19" t="str">
        <f>FR!I165</f>
        <v>Approved</v>
      </c>
      <c r="I165" s="7" t="str">
        <f>IF(ISBLANK(FR!G165),"",FR!G165)</f>
        <v/>
      </c>
      <c r="J165" s="6" t="str">
        <f>IF(ISBLANK(FR!H165),"",FR!H165)</f>
        <v xml:space="preserve">TR-DSRSW-1849 User Settings </v>
      </c>
    </row>
    <row r="166" spans="1:10" ht="30" x14ac:dyDescent="0.25">
      <c r="A166" s="10" t="str">
        <f>FR!A166</f>
        <v>FR-DSRSW-1414</v>
      </c>
      <c r="B166" s="7" t="b">
        <f>ISERROR(FIND("-",FR!B166))</f>
        <v>0</v>
      </c>
      <c r="C166" s="7">
        <f>SetIndent(D166,(FR!C166-1)*2)</f>
        <v>2</v>
      </c>
      <c r="D166" s="34" t="str">
        <f>IF(ISERROR(FIND("-",FR!B166)),FR!B166&amp;" "&amp;FR!D166,FR!D166)</f>
        <v>The product SHALL support the Shaw Direct user settings screens.</v>
      </c>
      <c r="E166" s="7" t="str">
        <f>IF(H166="Modified",VLOOKUP(A166,'Prev PMR'!A$2:D$190,4),"")</f>
        <v/>
      </c>
      <c r="F166" s="7" t="str">
        <f>FR!E166</f>
        <v>Req</v>
      </c>
      <c r="G166" s="37" t="str">
        <f>IF(ISERROR(FIND("Adara 1.0",FR!F166)),
        IF(ISERROR(FIND("Adara 1.1",FR!F166)),
                IF(ISERROR(FIND("Deneb",FR!F166)),"errorRob","Deneb"),
         "Adara 1.1"),
  "Adara 1.0")</f>
        <v>Adara 1.0</v>
      </c>
      <c r="H166" s="19" t="str">
        <f>FR!I166</f>
        <v>Approved</v>
      </c>
      <c r="I166" s="7" t="str">
        <f>IF(ISBLANK(FR!G166),"",FR!G166)</f>
        <v/>
      </c>
      <c r="J166" s="6" t="str">
        <f>IF(ISBLANK(FR!H166),"",FR!H166)</f>
        <v>TR-DSRSW-1851  The product SHALL support the Shaw Direct user settings screens.</v>
      </c>
    </row>
    <row r="167" spans="1:10" x14ac:dyDescent="0.25">
      <c r="A167" s="10" t="str">
        <f>FR!A167</f>
        <v>FR-DSRSW-1415</v>
      </c>
      <c r="B167" s="7" t="b">
        <f>ISERROR(FIND("-",FR!B167))</f>
        <v>1</v>
      </c>
      <c r="C167" s="7">
        <f>SetIndent(D167,(FR!C167-1)*2)</f>
        <v>0</v>
      </c>
      <c r="D167" s="33" t="str">
        <f>IF(ISERROR(FIND("-",FR!B167)),FR!B167&amp;" "&amp;FR!D167,FR!D167)</f>
        <v>25 Closed Captioning</v>
      </c>
      <c r="E167" s="7" t="str">
        <f>IF(H167="Modified",VLOOKUP(A167,'Prev PMR'!A$2:D$190,4),"")</f>
        <v/>
      </c>
      <c r="F167" s="7" t="str">
        <f>FR!E167</f>
        <v>Com</v>
      </c>
      <c r="G167" s="37" t="str">
        <f>IF(ISERROR(FIND("Adara 1.0",FR!F167)),
        IF(ISERROR(FIND("Adara 1.1",FR!F167)),
                IF(ISERROR(FIND("Deneb",FR!F167)),"errorRob","Deneb"),
         "Adara 1.1"),
  "Adara 1.0")</f>
        <v>Adara 1.0</v>
      </c>
      <c r="H167" s="19" t="str">
        <f>FR!I167</f>
        <v>Approved</v>
      </c>
      <c r="I167" s="7" t="str">
        <f>IF(ISBLANK(FR!G167),"",FR!G167)</f>
        <v/>
      </c>
      <c r="J167" s="6" t="str">
        <f>IF(ISBLANK(FR!H167),"",FR!H167)</f>
        <v xml:space="preserve">TR-DSRSW-1852 Closed Captions </v>
      </c>
    </row>
    <row r="168" spans="1:10" ht="409.5" x14ac:dyDescent="0.25">
      <c r="A168" s="10" t="str">
        <f>FR!A168</f>
        <v>FR-DSRSW-1416</v>
      </c>
      <c r="B168" s="7" t="b">
        <f>ISERROR(FIND("-",FR!B168))</f>
        <v>0</v>
      </c>
      <c r="C168" s="7">
        <f>SetIndent(D168,(FR!C168-1)*2)</f>
        <v>2</v>
      </c>
      <c r="D168" s="34" t="str">
        <f>IF(ISERROR(FIND("-",FR!B168)),FR!B168&amp;" "&amp;FR!D168,FR!D168)</f>
        <v>The product SHALL comply with all FCC Closed Caption requirements as specified in 47cfr15 for CEA-608 and FCC 00-259 for CEA-708 caption information embedded in a digital TV service.</v>
      </c>
      <c r="E168" s="7" t="str">
        <f>IF(H168="Modified",VLOOKUP(A168,'Prev PMR'!A$2:D$190,4),"")</f>
        <v/>
      </c>
      <c r="F168" s="7" t="str">
        <f>FR!E168</f>
        <v>Req</v>
      </c>
      <c r="G168" s="37" t="str">
        <f>IF(ISERROR(FIND("Adara 1.0",FR!F168)),
        IF(ISERROR(FIND("Adara 1.1",FR!F168)),
                IF(ISERROR(FIND("Deneb",FR!F168)),"errorRob","Deneb"),
         "Adara 1.1"),
  "Adara 1.0")</f>
        <v>Adara 1.0</v>
      </c>
      <c r="H168" s="19" t="str">
        <f>FR!I168</f>
        <v>Approved</v>
      </c>
      <c r="I168" s="7" t="str">
        <f>IF(ISBLANK(FR!G168),"",FR!G168)</f>
        <v/>
      </c>
      <c r="J168" s="6" t="str">
        <f>IF(ISBLANK(FR!H168),"",FR!H168)</f>
        <v>TR-DSRSW-1853 Closed Captions for Live Content The product SHALL comply with all FCC Closed Caption requirements as specified in 47cfr15 for CEA-608 and FCC 00-259 for CEA-708 caption information embedded in a digital TV service.
TR-DSRSW-1854  Analog (NTSC) outputs of the Set-Top are the baseband NTSC video output, the S-Video output, the RF Remod output, and the component output when configured to 480i.  Any given Set-Top model may have one or more of these outputs present.
TR-DSRSW-1855  The product SHALL reconstruct Line 21, Field 1 and Field 2, of the VBI on its NTSC Outputs if it is tuned to a Digital service where CEA-608 caption data is present in the MPEG-2 Picture User Data of the same MPEG video frame and carried in SCTE-21 syntax. 
TR-DSRSW-1856  The product SHALL reconstruct Line 21, Field 1 and Field 2, of the VBI on its NTSC Outputs if it is tuned to a Digital service where CEA-608 caption data is present in the MPEG-2 Picture User Data of the same MPEG video frame and carried in SCTE-21 syntax with cc_type equal to '01'. 
TR-DSRSW-1857  The product SHALL reconstruct Line 21, Field 1 and Field 2, of the VBI on its NTSC Outputs if it is tuned to a Digital service where CEA-608 caption data is present in the MPEG-2 Picture User Data of the same MPEG video frame and carried in SCTE-20 syntax. 
TR-DSRSW-1858  The product SHALL reconstruct Line 21, Field 1 and Field 2, of the VBI on its NTSC Outputs using the CEA-608 caption data that was received in SCTE-20 syntax if it is tuned to a Digital service where CEA-608 caption data is present in the MPEG-2 Picture User Data of the same MPEG video frame and carried in both the SCTE-20 syntax and SCTE-21 syntax.
TR-DSRSW-1859  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TR-DSRSW-1860  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with cc_type equal to '01' for the CEA-608 captions.
TR-DSRSW-1861  The product SHALL reconstruct Line 21, Field 1 and Field 2, of the VBI on its Component Outputs using the CEA-608 caption data that was received in SCTE-20 syntax if it is tuned to a Digital service where CEA-608 caption data is present in the MPEG-2 Picture User Data of the same MPEG video frame and carried in both the SCTE-20 syntax and SCTE-21 syntax AND it is configured for 480i.
TR-DSRSW-1862  The product SHALL reconstruct Line 21, Field 1 and Field 2, of the VBI on its Component Outputs if it is tuned to a Digital service where both CEA-608 caption data AND CEA-708 caption data are present in the MPEG-2 Picture User Data of the same MPEG video frame and carried in the SCTE-21 syntax with cc_type equal to '00' for the CEA-608 captions AND it is configured for 480i.
TR-DSRSW-1863  The product SHALL reconstruct Line 21, Field 1 and Field 2, of the VBI on its Component Outputs if it is tuned to a Digital service where both CEA-608 caption data AND CEA-708 caption data are present in the MPEG-2 Picture User Data of the same MPEG video frame and carried in the SCTE-21 syntax with cc_type equal to '01' for the CEA-608 captions AND it is configured for 480i.
TR-DSRSW-1864  The product SHALL begin rendering CEA-608 captions within three (3) seconds of a transition to a Digital service where CEA-608 caption data is present.
TR-DSRSW-1865  The product SHALL begin reconstructing Line 21, Field 1 and Field 2, of the VBI within three (3) seconds if the closed caption transport syntax transitions from SCTE-21 to SCTE-20 while tuned to a Digital service where CEA-608 caption data is present in the MPEG-2 Picture User Data of the same MPEG video frame.
TR-DSRSW-1866  The product SHALL begin rendering CEA-608 captions within three (3) seconds if the closed caption transport syntax transitions from SCTE-21 to SCTE-20 while tuned to a Digital service where CEA-608 caption data is present in the MPEG-2 Picture User Data of the same MPEG video frame.
TR-DSRSW-1867  The product SHALL begin reconstructing Line 21, Field 1 and Field 2, of the VBI within three (3) seconds if the closed caption transport syntax transitions from SCTE-20 to SCTE-21 while tuned to a Digital service where CEA-608 caption data is present in the MPEG-2 Picture User Data of the same MPEG video frame.
TR-DSRSW-1868  The product SHALL begin rendering CEA-608 captions within three (3) seconds if the closed caption transport syntax transitions from SCTE-20 to SCTE-21 while tuned to a Digital service where CEA-608 caption data is present in the MPEG-2 Picture User Data of the same MPEG video frame.
TR-DSRSW-1869  The product SHALL begin reconstructing Line 21, Field 1 and Field 2, of the VBI within (3) seconds if a Digital service is tuned where CEA-608 caption data is present in the MPEG-2 Picture User Data of the same MPEG video frame.
TR-DSRSW-1870  The product SHALL begin rendering CEA-608 captions within (3) seconds if a Digital service is tuned where CEA-608 caption data is present in the MPEG-2 Picture User Data of the same MPEG video frame.
TR-DSRSW-1871  The product SHALL begin rendering CEA-708 captions within (3) seconds if a Digital service is tuned where CEA-708 caption data is present in the MPEG-2 Picture User Data of the same MPEG video frame.
TR-DSRSW-1872  The product SHALL begin rendering CEA-708 captions within (3) seconds if the closed caption data format transitions from CEA-608 to CEA-708 while tuned to a Digital service.
TR-DSRSW-1873  The product SHALL begin reconstructing Line 21, Field 1 and Field 2, of the VBI within three (3) seconds if the closed caption data format transitions from CEA-708 to CEA-608 while tuned to a Digital service.
TR-DSRSW-1874  The product SHALL begin rendering CEA-608 captions within (3) seconds if the closed caption data format transitions from CEA-708 to CEA-608 while tuned to a Digital service.
TR-DSRSW-1875  The product SHALL disregard the '1000 000' seven-bit field of the SCTE-20 protocol when processing Closed Caption data carried in the SCTE-20 syntax.
TR-DSRSW-1876  The product SHALL render Closed Captions using the caption Font Style MONOSPACED WITH SERIFS, as defined in [CEA-708B - 1], if this font style is selected by the user.
TR-DSRSW-1877  The product SHALL render Closed Captions using the caption Font Style PROPORTIONALLY SPACED WITH SERIFS, as defined in [CEA-708B - 1], if this font style is selected by the user.
TR-DSRSW-1878  The product SHALL render Closed Captions using the caption Font Style MONOSPACED WITHOUT SERIFS, as defined in [CEA-708B - 1], if this font style is selected by the user.
TR-DSRSW-1879  The product SHALL render Closed Captions using the caption Font Style PROPORTIONALLY SPACED WITHOUT SERIFS, as defined in [CEA-708B - 1], if this font style is selected by the user.
TR-DSRSW-1880  The product SHALL render Closed Captions using the caption Font Style CASUAL, as defined in [CEA-708B - 1], if this font style is selected by the user.
TR-DSRSW-1881  The product SHALL render Closed Captions using the caption Font Style CURSIVE, as defined in [CEA-708B - 1], if this font style is selected by the user.
TR-DSRSW-1882  The product SHALL render Closed Captions using the caption Font Style SMALL CAPITALS, as defined in [CEA-708B - 1], if this font style is selected by the user.
TR-DSRSW-1883  The product SHALL render Closed Captions using the caption Font Style selected by the caption provider if the user setting for the caption Font Style is AUTO.
TR-DSRSW-1884  The product SHALL render Closed Captions using the caption Font Size STANDARD, as defined in [CEA-708B - 1], if this font size is selected by the user.
TR-DSRSW-1885  The product SHALL render Closed Captions using the caption Font Size SMALL, as defined in [CEA-708B - 1], if this font size is selected by the user.
TR-DSRSW-1886  The product SHALL render Closed Captions using the caption Font Size LARGE, as defined in [CEA-708B - 1], if this font size is selected by the user.
TR-DSRSW-1887  The product SHALL set the caption Font Size to AUTO by default.
TR-DSRSW-1888  The product SHALL render Closed Captions using the caption Font Size selected by the caption provider if the user setting for the caption Font Size is AUTO.
TR-DSRSW-1889  The product SHALL render Closed Captions using the caption Font Color WHITE, as defined in [CEA-708B - 1], if this font color is selected by the user.
TR-DSRSW-1890  The product SHALL render Closed Captions using the caption Font Color BLACK, as defined in [CEA-708B - 1], if this font color is selected by the user.
TR-DSRSW-1891  The product SHALL render Closed Captions using the caption Font Color RED, as defined in [CEA-708B - 1], if this font color is selected by the user.
TR-DSRSW-1892  The product SHALL render Closed Captions using the caption Font Color GREEN, as defined in [CEA-708B - 1], if this font color is selected by the user.
TR-DSRSW-1893  The product SHALL render Closed Captions using the caption Font Color BLUE, as defined in [CEA-708B - 1], if this font color is selected by the user.
TR-DSRSW-1894  The product SHALL render Closed Captions using the caption Font Color YELLOW, as defined in [CEA-708B - 1], if this font color is selected by the user.
TR-DSRSW-1895  The product SHALL render Closed Captions using the caption Font Color MAGENTA, as defined in [CEA-708B - 1], if this font color is selected by the user.
TR-DSRSW-1896  The product SHALL render Closed Captions using the caption Font Color CYAN, as defined in [CEA-708B - 1], if this font color is selected by the user.
TR-DSRSW-1897  The product SHALL set the caption Font Color to AUTO by default.
TR-DSRSW-1898  The product SHALL render Closed Captions using the caption Font Color selected by the caption provider if the user setting for the caption Font Color is AUTO.
TR-DSRSW-1899  The product SHALL render Closed Captions using the caption Character Opacity TRANSPARENT, as defined in [CEA-708B - 1], if this character opacity is selected by the user.
TR-DSRSW-1900  The product SHALL render Closed Captions using the caption Character Opacity TRANSLUCENT, as defined in [CEA-708B - 1], if this character opacity is selected by the user.
TR-DSRSW-1901  The product SHALL render Closed Captions using the caption Character Opacity SOLID, as defined in [CEA-708B - 1], if this character opacity is selected by the user.
TR-DSRSW-1902  The product SHALL render Closed Captions using the caption Character Opacity FLASHING, as defined in [CEA-708B - 1], if this character opacity is selected by the user.
TR-DSRSW-1903  The product SHALL set the caption Character Opacity to AUTO by default.
TR-DSRSW-1904  The product SHALL render Closed Captions using the caption Character Opacity selected by the caption provider if the user setting for the caption Character Opacity is AUTO.
TR-DSRSW-1905  The product SHALL render Closed Captions using the caption Background Color WHITE, as defined in [CEA-708B - 1], if this background color is selected by the user.
TR-DSRSW-1906  The product SHALL render Closed Captions using the caption Background Color BLACK, as defined in [CEA-708B - 1], if this background color is selected by the user.
TR-DSRSW-1907  The product SHALL render Closed Captions using the caption Background Color RED, as defined in [CEA-708B - 1], if this background color is selected by the user.
TR-DSRSW-1908  The product SHALL render Closed Captions using the caption Background Color GREEN, as defined in [CEA-708B - 1], if this background color is selected by the user.
TR-DSRSW-1909  The product SHALL render Closed Captions using the caption Background Color BLUE, as defined in [CEA-708B - 1], if this background color is selected by the user.
TR-DSRSW-1910  The product SHALL render Closed Captions using the caption Background Color YELLOW, as defined in [CEA-708B - 1], if this background color is selected by the user.
TR-DSRSW-1911  The product SHALL render Closed Captions using the caption Background Color MAGENTA, as defined in [CEA-708B - 1], if this background color is selected by the user.
TR-DSRSW-1912  The product SHALL render Closed Captions using the caption Background Color CYAN, as defined in [CEA-708B - 1], if this background color is selected by the user.
TR-DSRSW-1913  The product SHALL set the caption Background Color to AUTO by default.
TR-DSRSW-1914  The product SHALL render Closed Captions using the caption Background Color selected by the caption provider if the user setting for the caption Background Color is AUTO.
TR-DSRSW-1915  The product SHALL render Closed Captions using the caption Background Opacity TRANSPARENT, as defined in [CEA-708B - 1], if this background opacity is selected by the user.
TR-DSRSW-1916  The product SHALL render Closed Captions using the caption Background Opacity TRANSLUCENT, as defined in [CEA-708B - 1], if this background opacity is selected by the user.
TR-DSRSW-1917  The product SHALL render Closed Captions using the caption Background Opacity SOLID, as defined in [CEA-708B - 1], if this background opacity is selected by the user.
TR-DSRSW-1918  The product SHALL render Closed Captions using the caption Background Opacity FLASHING, as defined in [CEA-708B - 1], if this background opacity is selected by the user.
TR-DSRSW-1919  The product SHALL set the caption Background Opacity to AUTO by default.
TR-DSRSW-1920  The product SHALL render Closed Captions using the caption Background Opacity selected by the caption provider if the user setting for the caption Background Opacity is AUTO.
TR-DSRSW-1921  The product SHALL disable the rendering of closed captions if the user has selected to disable captions.
TR-DSRSW-1922  The product SHALL, when closed captioning is enabled, render CEA-608 closed captions on its NTSC output if only CEA-608 caption data is present (CEA-708 data is not present) and carried in SCTE-21 syntax only (not in the SCTE-20 syntax).
TR-DSRSW-1923  The product SHALL, when closed captioning is enabled, render CEA-608 closed captions on its component output if only CEA-608 caption data is present (CEA-708 data is not present) and carried in SCTE-21 syntax only (not in the SCTE-20 syntax).
TR-DSRSW-1924  The product SHALL, when closed captioning is enabled, render CEA-608 closed captions on its HDMI output if only CEA-608 caption data is present (CEA-708 data is not present) and carried in SCTE-21 syntax only (not in the SCTE-20 syntax).
TR-DSRSW-1925  The product SHALL render CEA-608 closed captions on its NTSC outputs if it is tuned to a digital service where only CEA-608 caption data is present (CEA-708 data is not present) in the MPEG-2 Picture User Data of the same MPEG video frame and carried in SCTE-21 syntax with cc_type equal to '01' AND the user has selected to enable captions.
TR-DSRSW-1926  The product SHALL render CEA-608 closed captions on its Component outputs if it is tuned to a digital service where only CEA-608 caption data is present (CEA-708 data is not present) in the MPEG-2 Picture User Data of the same MPEG video frame and carried in SCTE-21 syntax with cc_type equal to '01' AND the user has selected to enable captions.
TR-DSRSW-1927  The product SHALL render CEA-608 closed captions onthe HDMI output if it is tuned to a digital service where only CEA-608 caption data is present (CEA-708 data is not present) in the MPEG-2 Picture User Data of the same MPEG video frame and carried in SCTE-21 syntax with cc_type equal to '01' AND the user has selected to enable captions.
TR-DSRSW-1928  The product SHALL, when closed captioning is enabled, render CEA-608 closed captions received in SCTE-20 syntax on its NTSC output if only CEA-608 caption data is present (CEA-708 data is not present) and carried in SCTE-20 syntax.
TR-DSRSW-1929  The product SHALL, when closed captioning is enabled, render CEA-608 closed captions received in SCTE-20 syntax on its component output if only CEA-608 caption data is present (CEA-708 data is not present) and carried in SCTE-20 syntax.
TR-DSRSW-1930  The product SHALL, when closed captioning is enabled, render CEA-608 closed captions received in SCTE-20 syntax on its HDMI output if only CEA-608 caption data is present (CEA-708 data is not present) and carried in SCTE-20 syntax.
TR-DSRSW-1931  The product SHALL, when closed captioning is enabled, render CEA-608 closed captions received in SCTE-20 syntax on its NTSC output if only CEA-608 caption data is present (CEA-708 data is not present) and carried in SCTE-20 syntax and SCTE-21 syntax.
TR-DSRSW-1932  The product SHALL, when closed captioning is enabled, render CEA-608 closed captions received in SCTE-20 syntax on its componet output if only CEA-608 caption data is present (CEA-708 data is not present) and carried in SCTE-20 syntax and SCTE-21 syntax.
TR-DSRSW-1933  The product SHALL, when closed captioning is enabled, render CEA-608 closed captions received in SCTE-20 syntax on its HDMI output if only CEA-608 caption data is present (CEA-708 data is not present) and carried in SCTE-20 syntax and SCTE-21 syntax.
TR-DSRSW-1934  The product SHALL, when closed caption rendering is enabled, render CEA-708 captions on its NTSC output if CEA-708 caption data is present.
TR-DSRSW-1935  The product SHALL, when closed caption rendering is enabled, render CEA-708 captions on its Component output if CEA-708 caption data is present.
TR-DSRSW-1936  The product SHALL, when closed caption rendering is enabled, render CEA-708 captions on its HDMI output if CEA-708 caption data is present.
TR-DSRSW-1937  The product SHALL render CEA-708 captions on its NTSC outputs if it is tuned to a digital service where CEA-708 caption data is present in the MPEG-2 Picture User Data of the same MPEG video frame and carried in SCTE-21 syntax with cc_type equal to '11' AND the user has selected to enable captions.
TR-DSRSW-1938  The product SHALL render CEA-708 captions on its Component outputs if it is tuned to a digital service where CEA-708 caption data is present in the MPEG-2 Picture User Data of the same MPEG video frame and carried in SCTE-21 syntax with cc_type equal to '11' AND the user has selected to enable captions.
TR-DSRSW-1939  The product SHALL render CEA-708 captions on the HDMI output if it is tuned to a digital service where CEA-708 caption data is present in the MPEG-2 Picture User Data of the same MPEG video frame and carried in SCTE-21 syntax with cc_type equal to '11' AND the user has selected to enable captions.
TR-DSRSW-1940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TR-DSRSW-1941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TR-DSRSW-1942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'00' for the CEA-608 captions AND cc_type = '10' for the CEA-708 captions AND the user has selected to enable captions.
TR-DSRSW-1943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TR-DSRSW-1944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TR-DSRSW-1945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'00' for the CEA-608 captions AND cc_type = '11' for the CEA-708 captions AND the user has selected to enable captions.
TR-DSRSW-1946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TR-DSRSW-1947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TR-DSRSW-1948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'01' for the CEA-608 captions AND cc_type = '10' for the CEA-708 captions AND the user has selected to enable captions.
TR-DSRSW-1949  The product SHALL render CEA-708 captions on its NTSC outputs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TR-DSRSW-1950  The product SHALL render CEA-708 captions on its Component outputs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TR-DSRSW-1951  The product SHALL render CEA-708 captions on the HDMI output if it is tuned to a digital service where both CEA-608 caption data and CEA-708 caption data are present in the MPEG-2 Picture User Data of the same MPEG video frame and carried in the SCTE-21 syntax with cc_type equal to '01' for the CEA-608 captions AND cc_type = '11' for the CEA-708 captions AND the user has selected to enable captions.
TR-DSRSW-1952 Closed Captions for Stored Content The product SHALL comply with all FCC Closed Caption requirements as specified in 47cfr15 for CEA-608 and FCC 00-259 for CEA-708 caption information embedded in stored content.</v>
      </c>
    </row>
    <row r="169" spans="1:10" ht="409.5" x14ac:dyDescent="0.25">
      <c r="A169" s="10" t="str">
        <f>FR!A169</f>
        <v>FR-DSRSW-1417</v>
      </c>
      <c r="B169" s="7" t="b">
        <f>ISERROR(FIND("-",FR!B169))</f>
        <v>0</v>
      </c>
      <c r="C169" s="7">
        <f>SetIndent(D169,(FR!C169-1)*2)</f>
        <v>2</v>
      </c>
      <c r="D169" s="34" t="str">
        <f>IF(ISERROR(FIND("-",FR!B169)),FR!B169&amp;" "&amp;FR!D169,FR!D169)</f>
        <v>The product SHALL comply with all FCC Closed Caption requirements as specified in 47cfr15 for CEA-608 and FCC 00-259 for CEA-708 caption information embedded in stored content.</v>
      </c>
      <c r="E169" s="7" t="str">
        <f>IF(H169="Modified",VLOOKUP(A169,'Prev PMR'!A$2:D$190,4),"")</f>
        <v/>
      </c>
      <c r="F169" s="7" t="str">
        <f>FR!E169</f>
        <v>Req</v>
      </c>
      <c r="G169" s="37" t="str">
        <f>IF(ISERROR(FIND("Adara 1.0",FR!F169)),
        IF(ISERROR(FIND("Adara 1.1",FR!F169)),
                IF(ISERROR(FIND("Deneb",FR!F169)),"errorRob","Deneb"),
         "Adara 1.1"),
  "Adara 1.0")</f>
        <v>Adara 1.0</v>
      </c>
      <c r="H169" s="19" t="str">
        <f>FR!I169</f>
        <v>Approved</v>
      </c>
      <c r="I169" s="7" t="str">
        <f>IF(ISBLANK(FR!G169),"",FR!G169)</f>
        <v/>
      </c>
      <c r="J169" s="6" t="str">
        <f>IF(ISBLANK(FR!H169),"",FR!H169)</f>
        <v>TR-DSRSW-1953  The following requirements only apply when the product supports PVR capability.
TR-DSRSW-1954  The product SHALL reconstruct Line 21, Field 1 and Field 2, of the VBI during playback of Retained content if playback is at Normal Speed.
TR-DSRSW-1955  The product SHALL render closed captions during playback of Retained content if playback is at Normal Speed.
TR-DSRSW-1956  The product SHALL disable the reconstruction of Line 21, Field 1 and Field 2, of the VBI if the selection to Slow Forward Retained content is enabled.
TR-DSRSW-1957  The product SHALL disable the rendering of closed captions if the selection to Slow Forward Retained content is enabled.
TR-DSRSW-1958  The product SHALL disable the reconstruction of Line 21, Field 1 and Field 2, of the VBI if the selection to Fast Forward Retained content is enabled.
TR-DSRSW-1959  The product SHALL disable the rendering of closed captions if the selection to Fast Forward Retained content is enabled.
TR-DSRSW-1960  The product SHALL disable the reconstruction of Line 21, Field 1 and Field 2, of the VBI if the selection to Slow Rewind Retained content is enabled.
TR-DSRSW-1961  The product SHALL disable the rendering of closed captions if the selection to Slow Rewind Retained content is enabled.
TR-DSRSW-1962  The product SHALL disable the reconstruction of Line 21, Field 1 and Field 2, of the VBI if the selection to Fast Rewind Retained content is enabled.
TR-DSRSW-1963  The product SHALL disable the rendering of closed captions if the selection to Fast Rewind Retained content is enabled.
TR-DSRSW-1964  The product SHALL disable the reconstruction of Line 21, Field 1 and Field 2, of the VBI if the selection to Pause Retained content is enabled.
TR-DSRSW-1965  The product SHALL disable the rendering of closed captions if the selection to Pause Retained content is enabled.
TR-DSRSW-1966  The product SHALL begin reconstructing Line 21, Field 1 and Field 2, of the VBI within three (3) seconds of a transition from Slow Forward playback to Normal Speed playback of Retained content.
TR-DSRSW-1967  The product SHALL begin rendering closed caption data within three (3) seconds of a transition from Slow Forward playback to Normal Speed playback of Retained content.
TR-DSRSW-1968  The product SHALL begin reconstructing Line 21, Field 1 and Field 2, of the VBI within three (3) seconds of a transition from Fast Forward playback to Normal Speed playback of Retained content.
TR-DSRSW-1969  The product SHALL begin rendering closed caption data within three (3) seconds of a transition from Fast Forward playback to Normal Speed playback of Retained content.
TR-DSRSW-1970  The product SHALL begin reconstructing Line 21, Field 1 and Field 2, of the VBI within three (3) seconds of a transition from Slow Rewind playback to Normal Speed playback of Retained content.
TR-DSRSW-1971  The product SHALL begin rendering closed caption data within three (3) seconds of a transition from Slow Rewind playback to Normal Speed playback of Retained content.
TR-DSRSW-1972  The product SHALL begin reconstructing Line 21, Field 1 and Field 2, of the VBI within three (3) seconds of a transition from Fast Rewind playback to Normal Speed playback of Retained content.
TR-DSRSW-1973  The product SHALL begin rendering closed caption data within three (3) seconds of a transition from Fast Rewind playback to Normal Speed playback of Retained content.
TR-DSRSW-1974  The product SHALL begin reconstructing Line 21, Field 1 and Field 2, of the VBI within three (3) seconds of a transition from Paused playback to Normal Speed playback of Retained content.
TR-DSRSW-1975  The product SHALL begin rendering closed caption data within three (3) seconds of a transition from Paused playback to Normal Speed playback of Retained content.
TR-DSRSW-1976  The product SHALL reconstruct Line 21, Field 1 and Field 2, of the VBI during playback of Recorded content if playback is at Normal Speed.
TR-DSRSW-1977  The product SHALL render closed captions during playback of Recorded content if playback is at Normal Speed.
TR-DSRSW-1978  The product SHALL disable the reconstruction of Line 21, Field 1 and Field 2, of the VBI if the selection to Slow Forward Recorded content is enabled.
TR-DSRSW-1979  The product SHALL disable the rendering of closed captions if the selection to Slow Forward Recorded content is enabled.
TR-DSRSW-1980  The product SHALL disable the reconstruction of Line 21, Field 1 and Field 2, of the VBI if the selection to Fast Forward Recorded content is enabled.
TR-DSRSW-1981  The product SHALL disable the rendering of closed captions if the selection to Fast Forward Recorded content is enabled.
TR-DSRSW-1982  The product SHALL disable the reconstruction of Line 21, Field 1 and Field 2, of the VBI if the selection to Slow Rewind Recorded content is enabled.
TR-DSRSW-1983  The product SHALL disable the rendering of closed captions if the selection to Slow Rewind Recorded content is enabled.
TR-DSRSW-1984  The product SHALL disable the reconstruction of Line 21, Field 1 and Field 2, of the VBI if the selection to Fast Rewind Recorded content is enabled.
TR-DSRSW-1985  The product SHALL disable the rendering of closed captions if the selection to Fast Rewind Recorded content is enabled.
TR-DSRSW-1986  The product SHALL disable the reconstruction of Line 21, Field 1 and Field 2, of the VBI if the selection to Pause Recorded content is enabled.
TR-DSRSW-1987  The product SHALL disable the rendering of closed captions if the selection to Pause Recorded content is enabled.
TR-DSRSW-1988  The product SHALL begin reconstructing Line 21, Field 1 and Field 2, of the VBI within three (3) seconds of a transition from Slow Forward playback to Normal Speed playback of Recorded content.
TR-DSRSW-1989  The product SHALL begin rendering closed caption data within three (3) seconds of a transition from Slow Forward playback to Normal Speed playback of Recorded content.
TR-DSRSW-1990  The product SHALL begin reconstructing Line 21, Field 1 and Field 2, of the VBI within three (3) seconds of a transition from Fast Forward playback to Normal Speed playback of Recorded content.
TR-DSRSW-1991  The product SHALL begin rendering closed caption data within three (3) seconds of a transition from Fast Forward playback to Normal Speed playback of Recorded content.
TR-DSRSW-1992  The product SHALL begin reconstructing Line 21, Field 1 and Field 2, of the VBI within three (3) seconds of a transition from Slow Rewind playback to Normal Speed playback of Recorded content.
TR-DSRSW-1993  The product SHALL begin rendering closed caption data within three (3) seconds of a transition from Slow Rewind playback to Normal Speed playback of Recorded content.
TR-DSRSW-1994  The product SHALL begin reconstructing Line 21, Field 1 and Field 2, of the VBI within three (3) seconds of a transition from Fast Rewind playback to Normal Speed playback of Recorded content.
TR-DSRSW-1995  The product SHALL begin rendering closed caption data within three (3) seconds of a transition from Fast Rewind playback to Normal Speed playback of Recorded content.
TR-DSRSW-1996  The product SHALL begin reconstructing Line 21, Field 1 and Field 2, of the VBI within three (3) seconds of a transition from Paused playback to Normal Speed playback of Recorded content.
TR-DSRSW-1997  The product SHALL begin rendering closed caption data within three (3) seconds of a transition from Paused playback to Normal Speed playback of Recorded content.</v>
      </c>
    </row>
    <row r="170" spans="1:10" ht="285" x14ac:dyDescent="0.25">
      <c r="A170" s="10" t="str">
        <f>FR!A170</f>
        <v>FR-DSRSW-1418</v>
      </c>
      <c r="B170" s="7" t="b">
        <f>ISERROR(FIND("-",FR!B170))</f>
        <v>0</v>
      </c>
      <c r="C170" s="7">
        <f>SetIndent(D170,(FR!C170-1)*2)</f>
        <v>2</v>
      </c>
      <c r="D170" s="34" t="str">
        <f>IF(ISERROR(FIND("-",FR!B170)),FR!B170&amp;" "&amp;FR!D170,FR!D170)</f>
        <v>The product SHALL support Closed Captions from an MPEG-4 service.</v>
      </c>
      <c r="E170" s="7" t="str">
        <f>IF(H170="Modified",VLOOKUP(A170,'Prev PMR'!A$2:D$190,4),"")</f>
        <v/>
      </c>
      <c r="F170" s="7" t="str">
        <f>FR!E170</f>
        <v>Req</v>
      </c>
      <c r="G170" s="37" t="str">
        <f>IF(ISERROR(FIND("Adara 1.0",FR!F170)),
        IF(ISERROR(FIND("Adara 1.1",FR!F170)),
                IF(ISERROR(FIND("Deneb",FR!F170)),"errorRob","Deneb"),
         "Adara 1.1"),
  "Adara 1.0")</f>
        <v>Adara 1.0</v>
      </c>
      <c r="H170" s="19" t="str">
        <f>FR!I170</f>
        <v>Approved</v>
      </c>
      <c r="I170" s="7" t="str">
        <f>IF(ISBLANK(FR!G170),"",FR!G170)</f>
        <v/>
      </c>
      <c r="J170" s="6" t="str">
        <f>IF(ISBLANK(FR!H170),"",FR!H170)</f>
        <v>TR-DSRSW-1998 MPEG-4 and HEVC Closed Captions 
TR-DSRSW-1999  Following requirements describe the extraction of SCTE-21 closed captions from the transport. The actual rendering and pass-through requirements for 608/708 captions is defined in the closed caption module. 
TR-DSRSW-2000  The product SHALL access the  Supplemental Enhancement Information NAL units in each AVC access unit with payloadType=4, and extract the user_data_registered_itu_t_t35 payload as per syntax defined in [SCTE-128]. 
TR-DSRSW-2001  The product SHALL extract the [SCTE-21] compliant cc_data from the user_data_registered_itu_t_t35, if the user_identifier is indicated as ATSC (as per [SCTE-128]), and the  user_data_type_code is equal to 0x03.
TR-DSRSW-2002  The requirements for rendering of 608 and 708 captions, and the pass-through of the 608 captions to an NTSC output are defined in [EIA-608], [EIA-708] and [FCC-00259] (along with [47CFR15.119])
TR-DSRSW-2003  The product SHALL extract the [EIA-608] and [EIA-708] captions from the [SCTE-21] data as defined in closed caption requirements, and process the rendering of the captions in compliance with [FCC00259] and the User Settings Menu.
TR-DSRSW-2004  The product SHALL pass-through the [EIA-608] captions to an NTSC output, if exists, in compliance with [FCC00259].</v>
      </c>
    </row>
    <row r="171" spans="1:10" x14ac:dyDescent="0.25">
      <c r="A171" s="10" t="str">
        <f>FR!A171</f>
        <v>FR-DSRSW-1419</v>
      </c>
      <c r="B171" s="7" t="b">
        <f>ISERROR(FIND("-",FR!B171))</f>
        <v>1</v>
      </c>
      <c r="C171" s="7">
        <f>SetIndent(D171,(FR!C171-1)*2)</f>
        <v>0</v>
      </c>
      <c r="D171" s="33" t="str">
        <f>IF(ISERROR(FIND("-",FR!B171)),FR!B171&amp;" "&amp;FR!D171,FR!D171)</f>
        <v>26 Video Control</v>
      </c>
      <c r="E171" s="7" t="str">
        <f>IF(H171="Modified",VLOOKUP(A171,'Prev PMR'!A$2:D$190,4),"")</f>
        <v/>
      </c>
      <c r="F171" s="7" t="str">
        <f>FR!E171</f>
        <v>Com</v>
      </c>
      <c r="G171" s="37" t="str">
        <f>IF(ISERROR(FIND("Adara 1.0",FR!F171)),
        IF(ISERROR(FIND("Adara 1.1",FR!F171)),
                IF(ISERROR(FIND("Deneb",FR!F171)),"errorRob","Deneb"),
         "Adara 1.1"),
  "Adara 1.0")</f>
        <v>Adara 1.0</v>
      </c>
      <c r="H171" s="19" t="str">
        <f>FR!I171</f>
        <v>Approved</v>
      </c>
      <c r="I171" s="7" t="str">
        <f>IF(ISBLANK(FR!G171),"",FR!G171)</f>
        <v/>
      </c>
      <c r="J171" s="6" t="str">
        <f>IF(ISBLANK(FR!H171),"",FR!H171)</f>
        <v xml:space="preserve">TR-DSRSW-2005 Video Control </v>
      </c>
    </row>
    <row r="172" spans="1:10" x14ac:dyDescent="0.25">
      <c r="A172" s="10" t="str">
        <f>FR!A172</f>
        <v>FR-DSRSW-1420</v>
      </c>
      <c r="B172" s="7" t="b">
        <f>ISERROR(FIND("-",FR!B172))</f>
        <v>1</v>
      </c>
      <c r="C172" s="7">
        <f>SetIndent(D172,(FR!C172-1)*2)</f>
        <v>2</v>
      </c>
      <c r="D172" s="34" t="str">
        <f>IF(ISERROR(FIND("-",FR!B172)),FR!B172&amp;" "&amp;FR!D172,FR!D172)</f>
        <v>26.1 Picture in Graphics (PIG)</v>
      </c>
      <c r="E172" s="7" t="str">
        <f>IF(H172="Modified",VLOOKUP(A172,'Prev PMR'!A$2:D$190,4),"")</f>
        <v/>
      </c>
      <c r="F172" s="7" t="str">
        <f>FR!E172</f>
        <v>Com</v>
      </c>
      <c r="G172" s="37" t="str">
        <f>IF(ISERROR(FIND("Adara 1.0",FR!F172)),
        IF(ISERROR(FIND("Adara 1.1",FR!F172)),
                IF(ISERROR(FIND("Deneb",FR!F172)),"errorRob","Deneb"),
         "Adara 1.1"),
  "Adara 1.0")</f>
        <v>Adara 1.0</v>
      </c>
      <c r="H172" s="19" t="str">
        <f>FR!I172</f>
        <v>Approved</v>
      </c>
      <c r="I172" s="7" t="str">
        <f>IF(ISBLANK(FR!G172),"",FR!G172)</f>
        <v/>
      </c>
      <c r="J172" s="6" t="str">
        <f>IF(ISBLANK(FR!H172),"",FR!H172)</f>
        <v xml:space="preserve">TR-DSRSW-2006 Picture in Graphics (PIG) </v>
      </c>
    </row>
    <row r="173" spans="1:10" ht="120" x14ac:dyDescent="0.25">
      <c r="A173" s="10" t="str">
        <f>FR!A173</f>
        <v>FR-DSRSW-1421</v>
      </c>
      <c r="B173" s="7" t="b">
        <f>ISERROR(FIND("-",FR!B173))</f>
        <v>0</v>
      </c>
      <c r="C173" s="7">
        <f>SetIndent(D173,(FR!C173-1)*2)</f>
        <v>4</v>
      </c>
      <c r="D173" s="35" t="str">
        <f>IF(ISERROR(FIND("-",FR!B173)),FR!B173&amp;" "&amp;FR!D173,FR!D173)</f>
        <v>The product SHALL support Picture in Graphics functionality.</v>
      </c>
      <c r="E173" s="7" t="str">
        <f>IF(H173="Modified",VLOOKUP(A173,'Prev PMR'!A$2:D$190,4),"")</f>
        <v/>
      </c>
      <c r="F173" s="7" t="str">
        <f>FR!E173</f>
        <v>Req</v>
      </c>
      <c r="G173" s="37" t="str">
        <f>IF(ISERROR(FIND("Adara 1.0",FR!F173)),
        IF(ISERROR(FIND("Adara 1.1",FR!F173)),
                IF(ISERROR(FIND("Deneb",FR!F173)),"errorRob","Deneb"),
         "Adara 1.1"),
  "Adara 1.0")</f>
        <v>Adara 1.0</v>
      </c>
      <c r="H173" s="19" t="str">
        <f>FR!I173</f>
        <v>Approved</v>
      </c>
      <c r="I173" s="7" t="str">
        <f>IF(ISBLANK(FR!G173),"",FR!G173)</f>
        <v/>
      </c>
      <c r="J173" s="6" t="str">
        <f>IF(ISBLANK(FR!H173),"",FR!H173)</f>
        <v>TR-DSRSW-2007 Picture in Graphics functionality. 
TR-DSRSW-2008  The product SHALL be capable of generating full-screen OSD graphics in combination with the active scaling of the video service from a decoder.
TR-DSRSW-2009  The product SHALL be capable of generating full-screen OSD graphics in combination with the active scaling of video from an application.
TR-DSRSW-2010  The product SHALL be capable of generating full-screen OSD graphics in combination with the active scaling of an MPEG still from RAM.</v>
      </c>
    </row>
    <row r="174" spans="1:10" ht="255" x14ac:dyDescent="0.25">
      <c r="A174" s="10" t="str">
        <f>FR!A174</f>
        <v>FR-DSRSW-1422</v>
      </c>
      <c r="B174" s="7" t="b">
        <f>ISERROR(FIND("-",FR!B174))</f>
        <v>0</v>
      </c>
      <c r="C174" s="7">
        <f>SetIndent(D174,(FR!C174-1)*2)</f>
        <v>4</v>
      </c>
      <c r="D174" s="35" t="str">
        <f>IF(ISERROR(FIND("-",FR!B174)),FR!B174&amp;" "&amp;FR!D174,FR!D174)</f>
        <v>The product SHALL support scaling video in a minimum of 1/32 increments for Picture in Graphics.</v>
      </c>
      <c r="E174" s="7" t="str">
        <f>IF(H174="Modified",VLOOKUP(A174,'Prev PMR'!A$2:D$190,4),"")</f>
        <v/>
      </c>
      <c r="F174" s="7" t="str">
        <f>FR!E174</f>
        <v>Req</v>
      </c>
      <c r="G174" s="37" t="str">
        <f>IF(ISERROR(FIND("Adara 1.0",FR!F174)),
        IF(ISERROR(FIND("Adara 1.1",FR!F174)),
                IF(ISERROR(FIND("Deneb",FR!F174)),"errorRob","Deneb"),
         "Adara 1.1"),
  "Adara 1.0")</f>
        <v>Adara 1.0</v>
      </c>
      <c r="H174" s="19" t="str">
        <f>FR!I174</f>
        <v>Approved</v>
      </c>
      <c r="I174" s="7" t="str">
        <f>IF(ISBLANK(FR!G174),"",FR!G174)</f>
        <v/>
      </c>
      <c r="J174" s="6" t="str">
        <f>IF(ISBLANK(FR!H174),"",FR!H174)</f>
        <v>TR-DSRSW-2011 Scaling for Picture in Graphics. 
TR-DSRSW-2012  The product SHALL support scaling the PIG graphics window in the horizontal and vertical dimensions in increments of (1/32) between zero (0) and one (1).
TR-DSRSW-2013  The product SHALL be capable of maintaining the native aspect ratio of the scaled video service being displayed.
TR-DSRSW-2014  The product SHALL be capable of altering the native aspect ratio of the scaled video service being displayed.
TR-DSRSW-2015  The product SHALL be capable of placing the scaled video service at any location on the visible display surface such that no portion of the scaled video service is located outside of the visible display region.
TR-DSRSW-2016  The product SHALL be capable of non-linear scaling to provide full screen display of 4:3 content on 16:9 TVs.
TR-DSRSW-2017  The product SHALL be capable of setting the scaling factor of the PIG video service under control of the platform software.
TR-DSRSW-2018  The product SHALL be capable of setting the location of the PIG video service under control of the platform software.</v>
      </c>
    </row>
    <row r="175" spans="1:10" x14ac:dyDescent="0.25">
      <c r="A175" s="10" t="str">
        <f>FR!A175</f>
        <v>FR-DSRSW-1423</v>
      </c>
      <c r="B175" s="7" t="b">
        <f>ISERROR(FIND("-",FR!B175))</f>
        <v>1</v>
      </c>
      <c r="C175" s="7">
        <f>SetIndent(D175,(FR!C175-1)*2)</f>
        <v>2</v>
      </c>
      <c r="D175" s="34" t="str">
        <f>IF(ISERROR(FIND("-",FR!B175)),FR!B175&amp;" "&amp;FR!D175,FR!D175)</f>
        <v>26.2 Stretch and Zoom Control</v>
      </c>
      <c r="E175" s="7" t="str">
        <f>IF(H175="Modified",VLOOKUP(A175,'Prev PMR'!A$2:D$190,4),"")</f>
        <v/>
      </c>
      <c r="F175" s="7" t="str">
        <f>FR!E175</f>
        <v>Com</v>
      </c>
      <c r="G175" s="37" t="str">
        <f>IF(ISERROR(FIND("Adara 1.0",FR!F175)),
        IF(ISERROR(FIND("Adara 1.1",FR!F175)),
                IF(ISERROR(FIND("Deneb",FR!F175)),"errorRob","Deneb"),
         "Adara 1.1"),
  "Adara 1.0")</f>
        <v>Adara 1.0</v>
      </c>
      <c r="H175" s="19" t="str">
        <f>FR!I175</f>
        <v>Approved</v>
      </c>
      <c r="I175" s="7" t="str">
        <f>IF(ISBLANK(FR!G175),"",FR!G175)</f>
        <v/>
      </c>
      <c r="J175" s="6" t="str">
        <f>IF(ISBLANK(FR!H175),"",FR!H175)</f>
        <v/>
      </c>
    </row>
    <row r="176" spans="1:10" ht="409.5" x14ac:dyDescent="0.25">
      <c r="A176" s="10" t="str">
        <f>FR!A176</f>
        <v>FR-DSRSW-1424</v>
      </c>
      <c r="B176" s="7" t="b">
        <f>ISERROR(FIND("-",FR!B176))</f>
        <v>0</v>
      </c>
      <c r="C176" s="7">
        <f>SetIndent(D176,(FR!C176-1)*2)</f>
        <v>4</v>
      </c>
      <c r="D176" s="35" t="str">
        <f>IF(ISERROR(FIND("-",FR!B176)),FR!B176&amp;" "&amp;FR!D176,FR!D176)</f>
        <v>The product SHALL support user selectable aspect conversion modes transparent to applications.</v>
      </c>
      <c r="E176" s="7" t="str">
        <f>IF(H176="Modified",VLOOKUP(A176,'Prev PMR'!A$2:D$190,4),"")</f>
        <v/>
      </c>
      <c r="F176" s="7" t="str">
        <f>FR!E176</f>
        <v>Req</v>
      </c>
      <c r="G176" s="37" t="str">
        <f>IF(ISERROR(FIND("Adara 1.0",FR!F176)),
        IF(ISERROR(FIND("Adara 1.1",FR!F176)),
                IF(ISERROR(FIND("Deneb",FR!F176)),"errorRob","Deneb"),
         "Adara 1.1"),
  "Adara 1.0")</f>
        <v>Adara 1.0</v>
      </c>
      <c r="H176" s="19" t="str">
        <f>FR!I176</f>
        <v>Approved</v>
      </c>
      <c r="I176" s="7" t="str">
        <f>IF(ISBLANK(FR!G176),"",FR!G176)</f>
        <v/>
      </c>
      <c r="J176" s="6" t="str">
        <f>IF(ISBLANK(FR!H176),"",FR!H176)</f>
        <v xml:space="preserve">TR-DSRSW-2019 Stretch and Zoom Control 
TR-DSRSW-2021  The 4:3 Stretch feature is associated with 4:3 source content.   
The 16:9 Zoom feature is associated with 16:9 source content.  
Likewise:
"Stretch Mode" refers to manipulation of 4:3 source video.
"Zoom Mode" refers to manipulation of 16:9 source video.
TR-DSRSW-2023 4:3 Source Stretch UI 
TR-DSRSW-2024  The product SHALL provide a mechanism for an IR remote control unit to cycle through the available stretch/zoom modes, using a dedicated button with a unique IR keycode that is identical for 4:3 stretch and 16:9 Zoom.
TR-DSRSW-2025 4:3 Source Stretch Presentation 
TR-DSRSW-2026  The product SHALL retain any graphics overlaid upon the stretched video in an as-is condition, without stretching the graphics. Note: The said graphics includes flip bars, program listings, closed captions, or other rendered graphical attributes.
TR-DSRSW-2029 4:3 Source Stretch Modes 
TR-DSRSW-2030  The product SHALL provide Stretch Mode #1: No Stretch. This mode produces a 16:9 output by creating a pillarbox display using the tuned (or otherwise presented) 4:3 video. The default screen-friendly name for this mode shall be "Normal." 
TR-DSRSW-2031  NOTE: This product does not provide Stretch Mode #2
TR-DSRSW-2032  The product SHALL provide Stretch Mode #3: Linear Stretch. This mode produces a 16:9 output by linearly stretching the 4:3 video in the horizontal direction only until it has an aspect ratio of 16:9.  Linear stretching introduces and equal amount of distortion across the entire width of the video.  The default screen-friendly name for this mode shall be "Stretch." 
TR-DSRSW-2033  The product SHALL provide Stretch Mode #4: Linear Zoom. This mode creates a 16:9 output by first linearly stretching the 4:3 video in the horizontal direction until the video has an aspect ratio of 16:9 and then linearly stretches the video in the vertical direction by the same amount.  The two-dimensional stretching of the original 4:3 video creates a "zoom effect" that creates no distortion in the processed video but does introduce cropping of the top and bottom of the original video.  The default screen-friendly name for this mode shall be "Zoom."
TR-DSRSW-2034  The product SHALL increment the Stretch Mode in the following order, wrapping back to Stretch Mode 1 at the end of the list:
Stretch Mode #1
Stretch Mode #3
Stretch Mode #4
(wrap)
TR-DSRSW-2039  The product SHALL maintain the Stretch Mode between channel changes.
TR-DSRSW-2040 16:9 Source Zoom Modes 
TR-DSRSW-2041  The product SHALL provide Zoom Mode #1: No Zoom. This mode is equivalent to no video processing of any kind being applied to the 16:9 video.  The default screen-friendly name for this mode shall be "Normal."
TR-DSRSW-2042  This product does not provide Zoom Mode #2
TR-DSRSW-2043  The product SHALL provide Zoom Mode #3: Hybrid 4:3 Expand. This mode starts with a horizontally-centered 4:3 crop of the 16:9 video and then linearly stretches the 4:3 video crop in the horizontal direction only to an aspect ratio of 16:9.  The default screen-friendly name for this mode shall be "Stretch."
TR-DSRSW-2044  The product SHALL provide Zoom Mode #4: Widescreen TV Zoom. This mode starts with a horizontally-centered 4:3 crop of the 16:9 video and then takes a vertically-centered 16:9 crop of the 4:3 video.  This is visually equivalent to stretching the 4:3 crop linearly by the same amount both horizontally and vertically and then cropping the image to fit a 16:9 display screen.  The default screen-friendly name for this mode shall be "Zoom."
TR-DSRSW-2045  The product SHALL maintain the ordered list of applicable zoom modes comprising of (in order): 
Zoom Mode #1
Zoom Mode #3 
Zoom Mode #4 
	(wrap)
TR-DSRSW-2049  The product SHALL present any graphics overlaid upon the processed video as is, without zooming or otherwise distorting the said graphics. The said graphics includes flip bars, program listings, closed captions, or other rendered graphical attributes.  The "pre-zoom" locations and dimensions of these graphics shall be used as the "post-zoom" locations and dimensions of these graphics.
TR-DSRSW-2196 16:9 Source Zoom Presentation </v>
      </c>
    </row>
    <row r="177" spans="1:10" x14ac:dyDescent="0.25">
      <c r="A177" s="10" t="str">
        <f>FR!A177</f>
        <v>FR-DSRSW-1427</v>
      </c>
      <c r="B177" s="7" t="b">
        <f>ISERROR(FIND("-",FR!B177))</f>
        <v>1</v>
      </c>
      <c r="C177" s="7">
        <f>SetIndent(D177,(FR!C177-1)*2)</f>
        <v>0</v>
      </c>
      <c r="D177" s="33" t="str">
        <f>IF(ISERROR(FIND("-",FR!B177)),FR!B177&amp;" "&amp;FR!D177,FR!D177)</f>
        <v>27 Video Graphics</v>
      </c>
      <c r="E177" s="7" t="str">
        <f>IF(H177="Modified",VLOOKUP(A177,'Prev PMR'!A$2:D$190,4),"")</f>
        <v/>
      </c>
      <c r="F177" s="7" t="str">
        <f>FR!E177</f>
        <v>Com</v>
      </c>
      <c r="G177" s="37" t="str">
        <f>IF(ISERROR(FIND("Adara 1.0",FR!F177)),
        IF(ISERROR(FIND("Adara 1.1",FR!F177)),
                IF(ISERROR(FIND("Deneb",FR!F177)),"errorRob","Deneb"),
         "Adara 1.1"),
  "Adara 1.0")</f>
        <v>Adara 1.0</v>
      </c>
      <c r="H177" s="19" t="str">
        <f>FR!I177</f>
        <v>Approved</v>
      </c>
      <c r="I177" s="7" t="str">
        <f>IF(ISBLANK(FR!G177),"",FR!G177)</f>
        <v/>
      </c>
      <c r="J177" s="6" t="str">
        <f>IF(ISBLANK(FR!H177),"",FR!H177)</f>
        <v/>
      </c>
    </row>
    <row r="178" spans="1:10" ht="90" x14ac:dyDescent="0.25">
      <c r="A178" s="10" t="str">
        <f>FR!A178</f>
        <v>FR-DSRSW-1464</v>
      </c>
      <c r="B178" s="7" t="b">
        <f>ISERROR(FIND("-",FR!B178))</f>
        <v>0</v>
      </c>
      <c r="C178" s="7">
        <f>SetIndent(D178,(FR!C178-1)*2)</f>
        <v>2</v>
      </c>
      <c r="D178" s="34" t="str">
        <f>IF(ISERROR(FIND("-",FR!B178)),FR!B178&amp;" "&amp;FR!D178,FR!D178)</f>
        <v>The product SHALL support HD graphics resolutions up to 1920 x 1080 on the primary graphics surface for DSR8xx platforms.</v>
      </c>
      <c r="E178" s="7" t="str">
        <f>IF(H178="Modified",VLOOKUP(A178,'Prev PMR'!A$2:D$190,4),"")</f>
        <v/>
      </c>
      <c r="F178" s="7" t="str">
        <f>FR!E178</f>
        <v>Com</v>
      </c>
      <c r="G178" s="37" t="str">
        <f>IF(ISERROR(FIND("Adara 1.0",FR!F178)),
        IF(ISERROR(FIND("Adara 1.1",FR!F178)),
                IF(ISERROR(FIND("Deneb",FR!F178)),"errorRob","Deneb"),
         "Adara 1.1"),
  "Adara 1.0")</f>
        <v>Adara 1.0</v>
      </c>
      <c r="H178" s="19" t="str">
        <f>FR!I178</f>
        <v>Approved</v>
      </c>
      <c r="I178" s="7" t="str">
        <f>IF(ISBLANK(FR!G178),"",FR!G178)</f>
        <v/>
      </c>
      <c r="J178" s="6" t="str">
        <f>IF(ISBLANK(FR!H178),"",FR!H178)</f>
        <v>TR-DSRSW-2053 Video Graphics 
TR-DSRSW-2055  The product SHALL be capable of generating and compositing a graphic surface with maximum horizontal resolution of 1920 pixels and maximum vertical resolution of 1080 pixels.
TR-DSRSW-2056  The product SHALL provide the application with its maximum graphic resolution processing capability information.</v>
      </c>
    </row>
    <row r="179" spans="1:10" ht="30" x14ac:dyDescent="0.25">
      <c r="A179" s="10" t="str">
        <f>FR!A179</f>
        <v>FR-DSRSW-1492</v>
      </c>
      <c r="B179" s="7" t="b">
        <f>ISERROR(FIND("-",FR!B179))</f>
        <v>0</v>
      </c>
      <c r="C179" s="7">
        <f>SetIndent(D179,(FR!C179-1)*2)</f>
        <v>2</v>
      </c>
      <c r="D179" s="34" t="str">
        <f>IF(ISERROR(FIND("-",FR!B179)),FR!B179&amp;" "&amp;FR!D179,FR!D179)</f>
        <v>The product SHALL allow application graphics to overlay platform graphics. (Use Case: Guide graphics appear over Closed Captions)</v>
      </c>
      <c r="E179" s="7" t="str">
        <f>IF(H179="Modified",VLOOKUP(A179,'Prev PMR'!A$2:D$190,4),"")</f>
        <v/>
      </c>
      <c r="F179" s="7" t="str">
        <f>FR!E179</f>
        <v>Req</v>
      </c>
      <c r="G179" s="37" t="str">
        <f>IF(ISERROR(FIND("Adara 1.0",FR!F179)),
        IF(ISERROR(FIND("Adara 1.1",FR!F179)),
                IF(ISERROR(FIND("Deneb",FR!F179)),"errorRob","Deneb"),
         "Adara 1.1"),
  "Adara 1.0")</f>
        <v>Adara 1.0</v>
      </c>
      <c r="H179" s="19" t="str">
        <f>FR!I179</f>
        <v>Approved</v>
      </c>
      <c r="I179" s="7" t="str">
        <f>IF(ISBLANK(FR!G179),"",FR!G179)</f>
        <v/>
      </c>
      <c r="J179" s="6" t="str">
        <f>IF(ISBLANK(FR!H179),"",FR!H179)</f>
        <v xml:space="preserve">TR-DSRSW-2223  The product SHALL allow application graphics to have priority over closed captions. </v>
      </c>
    </row>
    <row r="180" spans="1:10" x14ac:dyDescent="0.25">
      <c r="A180" s="10" t="str">
        <f>FR!A180</f>
        <v>FR-DSRSW-1429</v>
      </c>
      <c r="B180" s="7" t="b">
        <f>ISERROR(FIND("-",FR!B180))</f>
        <v>1</v>
      </c>
      <c r="C180" s="7">
        <f>SetIndent(D180,(FR!C180-1)*2)</f>
        <v>0</v>
      </c>
      <c r="D180" s="33" t="str">
        <f>IF(ISERROR(FIND("-",FR!B180)),FR!B180&amp;" "&amp;FR!D180,FR!D180)</f>
        <v>28 Audio Decode</v>
      </c>
      <c r="E180" s="7" t="str">
        <f>IF(H180="Modified",VLOOKUP(A180,'Prev PMR'!A$2:D$190,4),"")</f>
        <v/>
      </c>
      <c r="F180" s="7" t="str">
        <f>FR!E180</f>
        <v>Com</v>
      </c>
      <c r="G180" s="37" t="str">
        <f>IF(ISERROR(FIND("Adara 1.0",FR!F180)),
        IF(ISERROR(FIND("Adara 1.1",FR!F180)),
                IF(ISERROR(FIND("Deneb",FR!F180)),"errorRob","Deneb"),
         "Adara 1.1"),
  "Adara 1.0")</f>
        <v>Adara 1.0</v>
      </c>
      <c r="H180" s="19" t="str">
        <f>FR!I180</f>
        <v>Approved</v>
      </c>
      <c r="I180" s="7" t="str">
        <f>IF(ISBLANK(FR!G180),"",FR!G180)</f>
        <v/>
      </c>
      <c r="J180" s="6" t="str">
        <f>IF(ISBLANK(FR!H180),"",FR!H180)</f>
        <v xml:space="preserve">TR-DSRSW-2057 Audio Decode </v>
      </c>
    </row>
    <row r="181" spans="1:10" x14ac:dyDescent="0.25">
      <c r="A181" s="10" t="str">
        <f>FR!A181</f>
        <v>FR-DSRSW-1430</v>
      </c>
      <c r="B181" s="7" t="b">
        <f>ISERROR(FIND("-",FR!B181))</f>
        <v>1</v>
      </c>
      <c r="C181" s="7">
        <f>SetIndent(D181,(FR!C181-1)*2)</f>
        <v>2</v>
      </c>
      <c r="D181" s="34" t="str">
        <f>IF(ISERROR(FIND("-",FR!B181)),FR!B181&amp;" "&amp;FR!D181,FR!D181)</f>
        <v>28.1 MPEG-1,2 Layer III (MP3) Audio Decode</v>
      </c>
      <c r="E181" s="7" t="str">
        <f>IF(H181="Modified",VLOOKUP(A181,'Prev PMR'!A$2:D$190,4),"")</f>
        <v/>
      </c>
      <c r="F181" s="7" t="str">
        <f>FR!E181</f>
        <v>Com</v>
      </c>
      <c r="G181" s="37" t="str">
        <f>IF(ISERROR(FIND("Adara 1.0",FR!F181)),
        IF(ISERROR(FIND("Adara 1.1",FR!F181)),
                IF(ISERROR(FIND("Deneb",FR!F181)),"errorRob","Deneb"),
         "Adara 1.1"),
  "Adara 1.0")</f>
        <v>Adara 1.0</v>
      </c>
      <c r="H181" s="19" t="str">
        <f>FR!I181</f>
        <v>Approved</v>
      </c>
      <c r="I181" s="7" t="str">
        <f>IF(ISBLANK(FR!G181),"",FR!G181)</f>
        <v/>
      </c>
      <c r="J181" s="6" t="str">
        <f>IF(ISBLANK(FR!H181),"",FR!H181)</f>
        <v/>
      </c>
    </row>
    <row r="182" spans="1:10" ht="150" x14ac:dyDescent="0.25">
      <c r="A182" s="10" t="str">
        <f>FR!A182</f>
        <v>FR-DSRSW-1431</v>
      </c>
      <c r="B182" s="7" t="b">
        <f>ISERROR(FIND("-",FR!B182))</f>
        <v>0</v>
      </c>
      <c r="C182" s="7">
        <f>SetIndent(D182,(FR!C182-1)*2)</f>
        <v>4</v>
      </c>
      <c r="D182" s="35" t="str">
        <f>IF(ISERROR(FIND("-",FR!B182)),FR!B182&amp;" "&amp;FR!D182,FR!D182)</f>
        <v>The product SHALL support MPEG-1,2 Layer 3 (MP3) audio decode.</v>
      </c>
      <c r="E182" s="7" t="str">
        <f>IF(H182="Modified",VLOOKUP(A182,'Prev PMR'!A$2:D$190,4),"")</f>
        <v/>
      </c>
      <c r="F182" s="7" t="str">
        <f>FR!E182</f>
        <v>Req</v>
      </c>
      <c r="G182" s="37" t="str">
        <f>IF(ISERROR(FIND("Adara 1.0",FR!F182)),
        IF(ISERROR(FIND("Adara 1.1",FR!F182)),
                IF(ISERROR(FIND("Deneb",FR!F182)),"errorRob","Deneb"),
         "Adara 1.1"),
  "Adara 1.0")</f>
        <v>Adara 1.0</v>
      </c>
      <c r="H182" s="19" t="str">
        <f>FR!I182</f>
        <v>Approved</v>
      </c>
      <c r="I182" s="7" t="str">
        <f>IF(ISBLANK(FR!G182),"",FR!G182)</f>
        <v/>
      </c>
      <c r="J182" s="6" t="str">
        <f>IF(ISBLANK(FR!H182),"",FR!H182)</f>
        <v>TR-DSRSW-2058 MPEG-1,2 Layer III (MP3) Audio Decode 
TR-DSRSW-2059  The product SHALL support MPEG-1,2 Layer 3 (MP3) audio decode.
TR-DSRSW-2060  The MP3 Audio Decoding SHALL support CBR and VBR encoding with bitrates from 32 kbps up to 320 kbps.
TR-DSRSW-2061  The MP3 Audio Decode SHALL support bitstreams containing mono, stereo, and two independent audio channels.
TR-DSRSW-2062  The product SHALL support decoding MP3 audio to two channel (left/right) LPCM output to the digital audio outputs (SPDIF and HDMI) simultaneously with two channel (left/right) analog audio output.</v>
      </c>
    </row>
    <row r="183" spans="1:10" x14ac:dyDescent="0.25">
      <c r="A183" s="10" t="str">
        <f>FR!A183</f>
        <v>FR-DSRSW-1432</v>
      </c>
      <c r="B183" s="7" t="b">
        <f>ISERROR(FIND("-",FR!B183))</f>
        <v>1</v>
      </c>
      <c r="C183" s="7">
        <f>SetIndent(D183,(FR!C183-1)*2)</f>
        <v>2</v>
      </c>
      <c r="D183" s="34" t="str">
        <f>IF(ISERROR(FIND("-",FR!B183)),FR!B183&amp;" "&amp;FR!D183,FR!D183)</f>
        <v>28.2 MPEG-2,4 AAC-LC Audio Decode</v>
      </c>
      <c r="E183" s="7" t="str">
        <f>IF(H183="Modified",VLOOKUP(A183,'Prev PMR'!A$2:D$190,4),"")</f>
        <v/>
      </c>
      <c r="F183" s="7" t="str">
        <f>FR!E183</f>
        <v>Com</v>
      </c>
      <c r="G183" s="37" t="str">
        <f>IF(ISERROR(FIND("Adara 1.0",FR!F183)),
        IF(ISERROR(FIND("Adara 1.1",FR!F183)),
                IF(ISERROR(FIND("Deneb",FR!F183)),"errorRob","Deneb"),
         "Adara 1.1"),
  "Adara 1.0")</f>
        <v>Adara 1.0</v>
      </c>
      <c r="H183" s="19" t="str">
        <f>FR!I183</f>
        <v>Approved</v>
      </c>
      <c r="I183" s="7" t="str">
        <f>IF(ISBLANK(FR!G183),"",FR!G183)</f>
        <v/>
      </c>
      <c r="J183" s="6" t="str">
        <f>IF(ISBLANK(FR!H183),"",FR!H183)</f>
        <v/>
      </c>
    </row>
    <row r="184" spans="1:10" ht="105" x14ac:dyDescent="0.25">
      <c r="A184" s="10" t="str">
        <f>FR!A184</f>
        <v>FR-DSRSW-1433</v>
      </c>
      <c r="B184" s="7" t="b">
        <f>ISERROR(FIND("-",FR!B184))</f>
        <v>0</v>
      </c>
      <c r="C184" s="7">
        <f>SetIndent(D184,(FR!C184-1)*2)</f>
        <v>4</v>
      </c>
      <c r="D184" s="35" t="str">
        <f>IF(ISERROR(FIND("-",FR!B184)),FR!B184&amp;" "&amp;FR!D184,FR!D184)</f>
        <v>The product SHALL support MPEG-2,4 AAC-LC audio decode.</v>
      </c>
      <c r="E184" s="7" t="str">
        <f>IF(H184="Modified",VLOOKUP(A184,'Prev PMR'!A$2:D$190,4),"")</f>
        <v/>
      </c>
      <c r="F184" s="7" t="str">
        <f>FR!E184</f>
        <v>Req</v>
      </c>
      <c r="G184" s="37" t="str">
        <f>IF(ISERROR(FIND("Adara 1.0",FR!F184)),
        IF(ISERROR(FIND("Adara 1.1",FR!F184)),
                IF(ISERROR(FIND("Deneb",FR!F184)),"errorRob","Deneb"),
         "Adara 1.1"),
  "Adara 1.0")</f>
        <v>Adara 1.0</v>
      </c>
      <c r="H184" s="19" t="str">
        <f>FR!I184</f>
        <v>Approved</v>
      </c>
      <c r="I184" s="7" t="str">
        <f>IF(ISBLANK(FR!G184),"",FR!G184)</f>
        <v/>
      </c>
      <c r="J184" s="6" t="str">
        <f>IF(ISBLANK(FR!H184),"",FR!H184)</f>
        <v>TR-DSRSW-2063 MPEG-2,4 AAC-LC Audio Decode 
TR-DSRSW-2064  The product SHALL support MPEG-2,4 AAC-LC audio decode.
TR-DSRSW-2065  The product SHALL have MPEG-2 / MPEG-4 AAC-LC audio decoding capability that supports CBR and VBR encoded content with bitrates from 16 kbps up to 256 kbps.
TR-DSRSW-2066  The MPEG-2 / MPEG-4 AAC-LC Decoding SHALL support the following sample rates: 8, 16, 32, 44.1 and 48 kHz.</v>
      </c>
    </row>
    <row r="185" spans="1:10" x14ac:dyDescent="0.25">
      <c r="A185" s="10" t="str">
        <f>FR!A185</f>
        <v>FR-DSRSW-1434</v>
      </c>
      <c r="B185" s="7" t="b">
        <f>ISERROR(FIND("-",FR!B185))</f>
        <v>1</v>
      </c>
      <c r="C185" s="7">
        <f>SetIndent(D185,(FR!C185-1)*2)</f>
        <v>2</v>
      </c>
      <c r="D185" s="34" t="str">
        <f>IF(ISERROR(FIND("-",FR!B185)),FR!B185&amp;" "&amp;FR!D185,FR!D185)</f>
        <v>28.3 MPEG-2,4 HE-AAC Audio Decode</v>
      </c>
      <c r="E185" s="7" t="str">
        <f>IF(H185="Modified",VLOOKUP(A185,'Prev PMR'!A$2:D$190,4),"")</f>
        <v/>
      </c>
      <c r="F185" s="7" t="str">
        <f>FR!E185</f>
        <v>Com</v>
      </c>
      <c r="G185" s="37" t="str">
        <f>IF(ISERROR(FIND("Adara 1.0",FR!F185)),
        IF(ISERROR(FIND("Adara 1.1",FR!F185)),
                IF(ISERROR(FIND("Deneb",FR!F185)),"errorRob","Deneb"),
         "Adara 1.1"),
  "Adara 1.0")</f>
        <v>Adara 1.0</v>
      </c>
      <c r="H185" s="19" t="str">
        <f>FR!I185</f>
        <v>Approved</v>
      </c>
      <c r="I185" s="7" t="str">
        <f>IF(ISBLANK(FR!G185),"",FR!G185)</f>
        <v/>
      </c>
      <c r="J185" s="6" t="str">
        <f>IF(ISBLANK(FR!H185),"",FR!H185)</f>
        <v/>
      </c>
    </row>
    <row r="186" spans="1:10" ht="120" x14ac:dyDescent="0.25">
      <c r="A186" s="10" t="str">
        <f>FR!A186</f>
        <v>FR-DSRSW-1435</v>
      </c>
      <c r="B186" s="7" t="b">
        <f>ISERROR(FIND("-",FR!B186))</f>
        <v>0</v>
      </c>
      <c r="C186" s="7">
        <f>SetIndent(D186,(FR!C186-1)*2)</f>
        <v>4</v>
      </c>
      <c r="D186" s="35" t="str">
        <f>IF(ISERROR(FIND("-",FR!B186)),FR!B186&amp;" "&amp;FR!D186,FR!D186)</f>
        <v>The product SHALL support MPEG-4 HE AAC (AAC+) audio decode.</v>
      </c>
      <c r="E186" s="7" t="str">
        <f>IF(H186="Modified",VLOOKUP(A186,'Prev PMR'!A$2:D$190,4),"")</f>
        <v/>
      </c>
      <c r="F186" s="7" t="str">
        <f>FR!E186</f>
        <v>Req</v>
      </c>
      <c r="G186" s="37" t="str">
        <f>IF(ISERROR(FIND("Adara 1.0",FR!F186)),
        IF(ISERROR(FIND("Adara 1.1",FR!F186)),
                IF(ISERROR(FIND("Deneb",FR!F186)),"errorRob","Deneb"),
         "Adara 1.1"),
  "Adara 1.0")</f>
        <v>Adara 1.0</v>
      </c>
      <c r="H186" s="19" t="str">
        <f>FR!I186</f>
        <v>Approved</v>
      </c>
      <c r="I186" s="7" t="str">
        <f>IF(ISBLANK(FR!G186),"",FR!G186)</f>
        <v/>
      </c>
      <c r="J186" s="6" t="str">
        <f>IF(ISBLANK(FR!H186),"",FR!H186)</f>
        <v>TR-DSRSW-2067 MPEG-2,4 HE-AAC Audio Decode 
TR-DSRSW-2068  The product SHALL support MPEG-4 HE AAC (AAC+) audio decode.
TR-DSRSW-2069  The product SHALL have MPEG-4 HE AAC audio decoding capability that supports CBR and VBR encoded content with bitrates from 16 kbps per channel up to 288 kbps per channel.
TR-DSRSW-2070  The MPEG-4 HE AAC Decoding SHALL support the following sample rates: 16, 32, 44.1 and 48kHz.</v>
      </c>
    </row>
    <row r="187" spans="1:10" x14ac:dyDescent="0.25">
      <c r="A187" s="10" t="str">
        <f>FR!A187</f>
        <v>FR-DSRSW-1436</v>
      </c>
      <c r="B187" s="7" t="b">
        <f>ISERROR(FIND("-",FR!B187))</f>
        <v>1</v>
      </c>
      <c r="C187" s="7">
        <f>SetIndent(D187,(FR!C187-1)*2)</f>
        <v>2</v>
      </c>
      <c r="D187" s="34" t="str">
        <f>IF(ISERROR(FIND("-",FR!B187)),FR!B187&amp;" "&amp;FR!D187,FR!D187)</f>
        <v>28.4 Dolby Digital Audio Decode</v>
      </c>
      <c r="E187" s="7" t="str">
        <f>IF(H187="Modified",VLOOKUP(A187,'Prev PMR'!A$2:D$190,4),"")</f>
        <v/>
      </c>
      <c r="F187" s="7" t="str">
        <f>FR!E187</f>
        <v>Com</v>
      </c>
      <c r="G187" s="37" t="str">
        <f>IF(ISERROR(FIND("Adara 1.0",FR!F187)),
        IF(ISERROR(FIND("Adara 1.1",FR!F187)),
                IF(ISERROR(FIND("Deneb",FR!F187)),"errorRob","Deneb"),
         "Adara 1.1"),
  "Adara 1.0")</f>
        <v>Adara 1.0</v>
      </c>
      <c r="H187" s="19" t="str">
        <f>FR!I187</f>
        <v>Approved</v>
      </c>
      <c r="I187" s="7" t="str">
        <f>IF(ISBLANK(FR!G187),"",FR!G187)</f>
        <v/>
      </c>
      <c r="J187" s="6" t="str">
        <f>IF(ISBLANK(FR!H187),"",FR!H187)</f>
        <v/>
      </c>
    </row>
    <row r="188" spans="1:10" ht="285" x14ac:dyDescent="0.25">
      <c r="A188" s="10" t="str">
        <f>FR!A188</f>
        <v>FR-DSRSW-1437</v>
      </c>
      <c r="B188" s="7" t="b">
        <f>ISERROR(FIND("-",FR!B188))</f>
        <v>0</v>
      </c>
      <c r="C188" s="7">
        <f>SetIndent(D188,(FR!C188-1)*2)</f>
        <v>4</v>
      </c>
      <c r="D188" s="35" t="str">
        <f>IF(ISERROR(FIND("-",FR!B188)),FR!B188&amp;" "&amp;FR!D188,FR!D188)</f>
        <v>The product SHALL support Dolby Digital audio decode.</v>
      </c>
      <c r="E188" s="7" t="str">
        <f>IF(H188="Modified",VLOOKUP(A188,'Prev PMR'!A$2:D$190,4),"")</f>
        <v/>
      </c>
      <c r="F188" s="7" t="str">
        <f>FR!E188</f>
        <v>Req</v>
      </c>
      <c r="G188" s="37" t="str">
        <f>IF(ISERROR(FIND("Adara 1.0",FR!F188)),
        IF(ISERROR(FIND("Adara 1.1",FR!F188)),
                IF(ISERROR(FIND("Deneb",FR!F188)),"errorRob","Deneb"),
         "Adara 1.1"),
  "Adara 1.0")</f>
        <v>Adara 1.0</v>
      </c>
      <c r="H188" s="19" t="str">
        <f>FR!I188</f>
        <v>Approved</v>
      </c>
      <c r="I188" s="7" t="str">
        <f>IF(ISBLANK(FR!G188),"",FR!G188)</f>
        <v/>
      </c>
      <c r="J188" s="6" t="str">
        <f>IF(ISBLANK(FR!H188),"",FR!H188)</f>
        <v>TR-DSRSW-2071 Dolby Digital Audio Decode 
TR-DSRSW-2074  Requirements in this section only apply if the set-top platform supports the specific output interface.
TR-DSRSW-2075  The product SHALL support sample rates of 44.1 kHz and 48 kHz for Dolby Digital decode.
TR-DSRSW-2076  The product SHALL support passing Dolby Digital audio to the digital audio outputs (SPDIF and HDMI) while simultaneously providing 2 channel (left/right) analog audio outputs.
TR-DSRSW-2077  The product SHALL support decoding Dolby Digital audio to 2 channel (left/right) LPCM for the digital audio outputs (SPDIF and HDMI) simultaneously with 2 channel (left/right) analog audio outputs.
TR-DSRSW-2078  The product SHALL support passing Dolby Digital audio to one digital audio output (HDMI or SPDIF), while simultaneously decoding Dolby Digital audio to 2 channel (left/right) LPCM for another digital audio output (SPDIF or HDMI) simultaneously with 2 channel (left/right) analog audio outputs.
TR-DSRSW-2079  The product's HDMI and SPDIF outputs SHALL be independently configurable to carry either Dolby Digital or 2-channel (left/right) LPCM.
TR-DSRSW-2080  The product SHALL decode and map a single (mono) channel Dolby Digital source to both left and right output channels.</v>
      </c>
    </row>
    <row r="189" spans="1:10" ht="315" x14ac:dyDescent="0.25">
      <c r="A189" s="10" t="str">
        <f>FR!A189</f>
        <v>FR-DSRSW-1438</v>
      </c>
      <c r="B189" s="7" t="b">
        <f>ISERROR(FIND("-",FR!B189))</f>
        <v>0</v>
      </c>
      <c r="C189" s="7">
        <f>SetIndent(D189,(FR!C189-1)*2)</f>
        <v>4</v>
      </c>
      <c r="D189" s="35" t="str">
        <f>IF(ISERROR(FIND("-",FR!B189)),FR!B189&amp;" "&amp;FR!D189,FR!D189)</f>
        <v>The product SHALL support Dolby Digital Plus audio decode.</v>
      </c>
      <c r="E189" s="7" t="str">
        <f>IF(H189="Modified",VLOOKUP(A189,'Prev PMR'!A$2:D$190,4),"")</f>
        <v/>
      </c>
      <c r="F189" s="7" t="str">
        <f>FR!E189</f>
        <v>Req</v>
      </c>
      <c r="G189" s="37" t="str">
        <f>IF(ISERROR(FIND("Adara 1.0",FR!F189)),
        IF(ISERROR(FIND("Adara 1.1",FR!F189)),
                IF(ISERROR(FIND("Deneb",FR!F189)),"errorRob","Deneb"),
         "Adara 1.1"),
  "Adara 1.0")</f>
        <v>Adara 1.0</v>
      </c>
      <c r="H189" s="19" t="str">
        <f>FR!I189</f>
        <v>Approved</v>
      </c>
      <c r="I189" s="7" t="str">
        <f>IF(ISBLANK(FR!G189),"",FR!G189)</f>
        <v/>
      </c>
      <c r="J189" s="6" t="str">
        <f>IF(ISBLANK(FR!H189),"",FR!H189)</f>
        <v xml:space="preserve">TR-DSRSW-2083  Requirements in this section only apply if the set-top platform supports the specific output interface.
TR-DSRSW-2084  The product SHALL be capable of decoding Dolby Digital Plus audio streams with sample rates of 44.1 kHz and 48 kHz.
TR-DSRSW-2085  The product SHALL be capable of remapping Dolby Digital Plus (E-AC-3) audio streams to Dolby Digital (AC-3) audio streams for the digital audio outputs (SPDIF and HDMI) while simultaneously providing downmixed 2-channel (left/right) Dolby surround audio on the analog audio outputs.
TR-DSRSW-2086  The product SHALL be capable of decoding Dolby Digital Plus to 2-channel (left/right) LPCM for the digital audio outputs (SPDIF and HDMI) while simultaneously providing downmixed 2-channel (left/right) Dolby surround audio on the analog audio outputs.
TR-DSRSW-2087  The product SHALL support remapping Dolby Digital Plus to Dolby Digital for one digital audio output (HDMI or SPDIF), while simultaneously decoding Dolby Digital Plus audio to 2 channel (left/right) LPCM for another digital audio output (SPDIF or HDMI) simultaneously with 2 channel (left/right) analog audio outputs.
TR-DSRSW-2088  The product SHALL support passing Dolby Digital Plus audio to the HDMI output, while simultaneously providing 2 channel (left/right) analog audio outputs, and PCM to the SPDIF output.
TR-DSRSW-2197 Dolby Digital Plus Audio Decode </v>
      </c>
    </row>
    <row r="190" spans="1:10" ht="285" x14ac:dyDescent="0.25">
      <c r="A190" s="10" t="str">
        <f>FR!A190</f>
        <v>FR-DSRSW-1439</v>
      </c>
      <c r="B190" s="7" t="b">
        <f>ISERROR(FIND("-",FR!B190))</f>
        <v>0</v>
      </c>
      <c r="C190" s="7">
        <f>SetIndent(D190,(FR!C190-1)*2)</f>
        <v>4</v>
      </c>
      <c r="D190" s="35" t="str">
        <f>IF(ISERROR(FIND("-",FR!B190)),FR!B190&amp;" "&amp;FR!D190,FR!D190)</f>
        <v>The product SHALL acquire the Dolby Digital Plus component if present in a digital service.</v>
      </c>
      <c r="E190" s="7" t="str">
        <f>IF(H190="Modified",VLOOKUP(A190,'Prev PMR'!A$2:D$190,4),"")</f>
        <v/>
      </c>
      <c r="F190" s="7" t="str">
        <f>FR!E190</f>
        <v>Req</v>
      </c>
      <c r="G190" s="37" t="str">
        <f>IF(ISERROR(FIND("Adara 1.0",FR!F190)),
        IF(ISERROR(FIND("Adara 1.1",FR!F190)),
                IF(ISERROR(FIND("Deneb",FR!F190)),"errorRob","Deneb"),
         "Adara 1.1"),
  "Adara 1.0")</f>
        <v>Adara 1.0</v>
      </c>
      <c r="H190" s="19" t="str">
        <f>FR!I190</f>
        <v>Approved</v>
      </c>
      <c r="I190" s="7" t="str">
        <f>IF(ISBLANK(FR!G190),"",FR!G190)</f>
        <v/>
      </c>
      <c r="J190" s="6" t="str">
        <f>IF(ISBLANK(FR!H190),"",FR!H190)</f>
        <v>TR-DSRSW-2089 Dolby Digital Plus Selection 
TR-DSRSW-2090  The product SHALL acquire the service component carrying Dolby Digital Plus (DD+), service component with stream type 0x87, IF the product can decode DD+, AND the service component has a language descriptor that matches the preferred language. 
TR-DSRSW-2091  The product SHALL acquire the first Dolby Digital audio component detected in the PMT IF a service component with stream type 0x81 with a language descriptor that matches the preferred language is present in the digital service. (i.e. the platform will not toggle between acquiring different audio components with the same component type and language descriptor.)   
TR-DSRSW-2092  The product SHALL acquire the first Dolby Digital audio component detected in the PMT IF a service component with stream type 0x81 is present in the digital service AND there are no audio components in the stream that have language descriptors that match the preferred language. 
TR-DSRSW-2093  The product SHALL provide an API that returns a) the audio format and b) the number of channels of the acquired audio component.
TR-DSRSW-2094  The product SHALL, when the user changes the audio language, acquire the appropriate audio component as defined by the Audio Selection requirements.</v>
      </c>
    </row>
    <row r="191" spans="1:10" x14ac:dyDescent="0.25">
      <c r="A191" s="10" t="str">
        <f>FR!A191</f>
        <v>FR-DSRSW-1440</v>
      </c>
      <c r="B191" s="7" t="b">
        <f>ISERROR(FIND("-",FR!B191))</f>
        <v>1</v>
      </c>
      <c r="C191" s="7">
        <f>SetIndent(D191,(FR!C191-1)*2)</f>
        <v>0</v>
      </c>
      <c r="D191" s="11" t="str">
        <f>IF(ISERROR(FIND("-",FR!B191)),FR!B191&amp;" "&amp;FR!D191,FR!D191)</f>
        <v>29 Audio Encode</v>
      </c>
      <c r="E191" s="7" t="str">
        <f>IF(H191="Modified",VLOOKUP(A191,'Prev PMR'!A$2:D$190,4),"")</f>
        <v/>
      </c>
      <c r="F191" s="7" t="str">
        <f>FR!E191</f>
        <v>Com</v>
      </c>
      <c r="G191" s="37" t="str">
        <f>IF(ISERROR(FIND("Adara 1.0",FR!F191)),
        IF(ISERROR(FIND("Adara 1.1",FR!F191)),
                IF(ISERROR(FIND("Deneb",FR!F191)),"errorRob","Deneb"),
         "Adara 1.1"),
  "Adara 1.0")</f>
        <v>Adara 1.0</v>
      </c>
      <c r="H191" s="19" t="str">
        <f>FR!I191</f>
        <v>Approved</v>
      </c>
      <c r="I191" s="7" t="str">
        <f>IF(ISBLANK(FR!G191),"",FR!G191)</f>
        <v/>
      </c>
      <c r="J191" s="6" t="str">
        <f>IF(ISBLANK(FR!H191),"",FR!H191)</f>
        <v/>
      </c>
    </row>
    <row r="192" spans="1:10" ht="75" x14ac:dyDescent="0.25">
      <c r="A192" s="10" t="str">
        <f>FR!A192</f>
        <v>FR-DSRSW-1441</v>
      </c>
      <c r="B192" s="7" t="b">
        <f>ISERROR(FIND("-",FR!B192))</f>
        <v>0</v>
      </c>
      <c r="C192" s="7">
        <f>SetIndent(D192,(FR!C192-1)*2)</f>
        <v>2</v>
      </c>
      <c r="D192" s="34" t="str">
        <f>IF(ISERROR(FIND("-",FR!B192)),FR!B192&amp;" "&amp;FR!D192,FR!D192)</f>
        <v xml:space="preserve">The product SHALL be capable of transcoding any supported input audio format to Dolby Digital (AC-3) multi-channel audio. </v>
      </c>
      <c r="E192" s="7" t="str">
        <f>IF(H192="Modified",VLOOKUP(A192,'Prev PMR'!A$2:D$190,4),"")</f>
        <v/>
      </c>
      <c r="F192" s="7" t="str">
        <f>FR!E192</f>
        <v>Req</v>
      </c>
      <c r="G192" s="37" t="str">
        <f>IF(ISERROR(FIND("Adara 1.0",FR!F192)),
        IF(ISERROR(FIND("Adara 1.1",FR!F192)),
                IF(ISERROR(FIND("Deneb",FR!F192)),"errorRob","Deneb"),
         "Adara 1.1"),
  "Adara 1.0")</f>
        <v>Adara 1.0</v>
      </c>
      <c r="H192" s="19" t="str">
        <f>FR!I192</f>
        <v>Approved</v>
      </c>
      <c r="I192" s="7" t="str">
        <f>IF(ISBLANK(FR!G192),"",FR!G192)</f>
        <v/>
      </c>
      <c r="J192" s="6" t="str">
        <f>IF(ISBLANK(FR!H192),"",FR!H192)</f>
        <v>TR-DSRSW-2095 Audio Encode 
TR-DSRSW-2097  The product SHALL be capable of transcoding stereo digital audio formats to the Dolby Digital (AC-3) 2.0 format.
TR-DSRSW-2098  The product SHALL be capable of transcoding multi-channel digital audio formats to the Dolby Digital (AC-3) 5.1 format.</v>
      </c>
    </row>
    <row r="193" spans="1:10" ht="255" x14ac:dyDescent="0.25">
      <c r="A193" s="10" t="str">
        <f>FR!A193</f>
        <v>FR-DSRSW-1514</v>
      </c>
      <c r="B193" s="7" t="b">
        <f>ISERROR(FIND("-",FR!B193))</f>
        <v>0</v>
      </c>
      <c r="C193" s="7">
        <f>SetIndent(D193,(FR!C193-1)*2)</f>
        <v>2</v>
      </c>
      <c r="D193" s="34" t="str">
        <f>IF(ISERROR(FIND("-",FR!B193)),FR!B193&amp;" "&amp;FR!D193,FR!D193)</f>
        <v>The product SHALL be capable of audio mixing.</v>
      </c>
      <c r="E193" s="7" t="str">
        <f>IF(H193="Modified",VLOOKUP(A193,'Prev PMR'!A$2:D$190,4),"")</f>
        <v/>
      </c>
      <c r="F193" s="7" t="str">
        <f>FR!E193</f>
        <v>Req</v>
      </c>
      <c r="G193" s="37" t="str">
        <f>IF(ISERROR(FIND("Adara 1.0",FR!F193)),
        IF(ISERROR(FIND("Adara 1.1",FR!F193)),
                IF(ISERROR(FIND("Deneb",FR!F193)),"errorRob","Deneb"),
         "Adara 1.1"),
  "Adara 1.0")</f>
        <v>Adara 1.1</v>
      </c>
      <c r="H193" s="19" t="str">
        <f>FR!I193</f>
        <v>Deferred</v>
      </c>
      <c r="I193" s="7" t="str">
        <f>IF(ISBLANK(FR!G193),"",FR!G193)</f>
        <v/>
      </c>
      <c r="J193" s="6" t="str">
        <f>IF(ISBLANK(FR!H193),"",FR!H193)</f>
        <v>TR-DSRSW-2387 Audio Mixing 
TR-DSRSW-2388  The product SHALL provide an API that allows an application to mix audio from an MP3 file with any supported audio input format.
TR-DSRSW-2389  The product SHALL shall play the mixed audio to the HDMI output.
TR-DSRSW-2390  The product SHALL shall play the mixed audio to the baseband L/R audio output.
TR-DSRSW-2391  The product SHALL shall play the mixed audio to the HDMI output in the current HDMI audio format. (Dolby Digital, for example)
TR-DSRSW-2392  The product SHALL provide an audio mixing feature that allows the file input audio to be level controlled.
TR-DSRSW-2393  The product SHALL start the MP3 file audio playback within 10 ms of the API request, when the file is stored in RAM.
TR-DSRSW-2394  The product SHALL, if an MP3 file audio mix request is started while the an MP3 file is still playing, discontinue the playing the current MP3 file, and start the MP3 audio playback of the new file.  That is, the last file in overwrites the currently playing file.</v>
      </c>
    </row>
    <row r="194" spans="1:10" x14ac:dyDescent="0.25">
      <c r="A194" s="10" t="str">
        <f>FR!A194</f>
        <v>FR-DSRSW-1442</v>
      </c>
      <c r="B194" s="7" t="b">
        <f>ISERROR(FIND("-",FR!B194))</f>
        <v>1</v>
      </c>
      <c r="C194" s="7">
        <f>SetIndent(D194,(FR!C194-1)*2)</f>
        <v>0</v>
      </c>
      <c r="D194" s="33" t="str">
        <f>IF(ISERROR(FIND("-",FR!B194)),FR!B194&amp;" "&amp;FR!D194,FR!D194)</f>
        <v>30 Audio Control</v>
      </c>
      <c r="E194" s="7" t="str">
        <f>IF(H194="Modified",VLOOKUP(A194,'Prev PMR'!A$2:D$190,4),"")</f>
        <v/>
      </c>
      <c r="F194" s="7" t="str">
        <f>FR!E194</f>
        <v>Com</v>
      </c>
      <c r="G194" s="37" t="str">
        <f>IF(ISERROR(FIND("Adara 1.0",FR!F194)),
        IF(ISERROR(FIND("Adara 1.1",FR!F194)),
                IF(ISERROR(FIND("Deneb",FR!F194)),"errorRob","Deneb"),
         "Adara 1.1"),
  "Adara 1.0")</f>
        <v>Adara 1.0</v>
      </c>
      <c r="H194" s="19" t="str">
        <f>FR!I194</f>
        <v>Approved</v>
      </c>
      <c r="I194" s="7" t="str">
        <f>IF(ISBLANK(FR!G194),"",FR!G194)</f>
        <v/>
      </c>
      <c r="J194" s="6" t="str">
        <f>IF(ISBLANK(FR!H194),"",FR!H194)</f>
        <v xml:space="preserve">TR-DSRSW-2099 Audio Control </v>
      </c>
    </row>
    <row r="195" spans="1:10" ht="270" x14ac:dyDescent="0.25">
      <c r="A195" s="10" t="str">
        <f>FR!A195</f>
        <v>FR-DSRSW-1443</v>
      </c>
      <c r="B195" s="7" t="b">
        <f>ISERROR(FIND("-",FR!B195))</f>
        <v>0</v>
      </c>
      <c r="C195" s="7">
        <f>SetIndent(D195,(FR!C195-1)*2)</f>
        <v>2</v>
      </c>
      <c r="D195" s="34" t="str">
        <f>IF(ISERROR(FIND("-",FR!B195)),FR!B195&amp;" "&amp;FR!D195,FR!D195)</f>
        <v>The product SHALL support English and French Descriptive Video Services (a.k.a. "Visually Impaired" service) as defined for the "interim solution" in ENB-3791.</v>
      </c>
      <c r="E195" s="7" t="str">
        <f>IF(H195="Modified",VLOOKUP(A195,'Prev PMR'!A$2:D$190,4),"")</f>
        <v/>
      </c>
      <c r="F195" s="7" t="str">
        <f>FR!E195</f>
        <v>Req</v>
      </c>
      <c r="G195" s="37" t="str">
        <f>IF(ISERROR(FIND("Adara 1.0",FR!F195)),
        IF(ISERROR(FIND("Adara 1.1",FR!F195)),
                IF(ISERROR(FIND("Deneb",FR!F195)),"errorRob","Deneb"),
         "Adara 1.1"),
  "Adara 1.0")</f>
        <v>Adara 1.0</v>
      </c>
      <c r="H195" s="19" t="str">
        <f>FR!I195</f>
        <v>Approved</v>
      </c>
      <c r="I195" s="7" t="str">
        <f>IF(ISBLANK(FR!G195),"",FR!G195)</f>
        <v/>
      </c>
      <c r="J195" s="6" t="str">
        <f>IF(ISBLANK(FR!H195),"",FR!H195)</f>
        <v>TR-DSRSW-2100 DVS (Descriptive Video Service) 
TR-DSRSW-2101  The product SHALL allow the user to enable and disable Descriptive Video Service (a.k.a., "Visually Impaired service").
TR-DSRSW-2102  The product SHALL disable Descriptive Video Service when a factory reset is invoked.
TR-DSRSW-2103  The product SHALL play the content of the first audio component listed in the Service Map Message that matches the "enm" ISO639 language code IF Descriptive Video Service is enabled AND "English" is the language preference.
TR-DSRSW-2104  The product SHALL play the content of the first audio component listed in the Service Map Message that matches the "frm" ISO639 language code IF  Descriptive Video Service is enabled AND "French" is the language preference.
TR-DSRSW-2105  The product SHALL follow the normal audio language selection requirements IF Descriptive Video Service is enabled AND no DVS audio stream is found to match the viewer's preferences.
TR-DSRSW-2106  The product SHALL follow the normal audio language selection requirements IF Descriptive Video Service is disabled.</v>
      </c>
    </row>
    <row r="196" spans="1:10" ht="165" x14ac:dyDescent="0.25">
      <c r="A196" s="10" t="str">
        <f>FR!A196</f>
        <v>FR-DSRSW-1444</v>
      </c>
      <c r="B196" s="7" t="b">
        <f>ISERROR(FIND("-",FR!B196))</f>
        <v>0</v>
      </c>
      <c r="C196" s="7">
        <f>SetIndent(D196,(FR!C196-1)*2)</f>
        <v>2</v>
      </c>
      <c r="D196" s="34" t="str">
        <f>IF(ISERROR(FIND("-",FR!B196)),FR!B196&amp;" "&amp;FR!D196,FR!D196)</f>
        <v>The product SHALL support audio dynamic range compression adjustment for Dolby Digital.</v>
      </c>
      <c r="E196" s="7" t="str">
        <f>IF(H196="Modified",VLOOKUP(A196,'Prev PMR'!A$2:D$190,4),"")</f>
        <v/>
      </c>
      <c r="F196" s="7" t="str">
        <f>FR!E196</f>
        <v>Req</v>
      </c>
      <c r="G196" s="37" t="str">
        <f>IF(ISERROR(FIND("Adara 1.0",FR!F196)),
        IF(ISERROR(FIND("Adara 1.1",FR!F196)),
                IF(ISERROR(FIND("Deneb",FR!F196)),"errorRob","Deneb"),
         "Adara 1.1"),
  "Adara 1.0")</f>
        <v>Adara 1.0</v>
      </c>
      <c r="H196" s="19" t="str">
        <f>FR!I196</f>
        <v>Approved</v>
      </c>
      <c r="I196" s="7" t="str">
        <f>IF(ISBLANK(FR!G196),"",FR!G196)</f>
        <v/>
      </c>
      <c r="J196" s="6" t="str">
        <f>IF(ISBLANK(FR!H196),"",FR!H196)</f>
        <v>TR-DSRSW-2107 Dolby Digital Audio Dyamic Range Compression 
TR-DSRSW-2108  The product SHALL be capable of adjusting audio dynamic range compression for Dolby audio signals. [Note this includes Dolby Digital and Dolby Digital Plus audio signals.]
TR-DSRSW-2109  The product SHALL support three modes of Dynamic Range Compression for Dolby Digital and Dolby Digital Plus audio inputs : a) "None" which corresponds to maximum dynamic range , b) "Light" which corresponds to standard dynamic range, c) "Heavy" which corresponds to minimum dynamic range, as specified by  [Note: this is specified in the Dolby Licensee Manual].
TR-DSRSW-2110  The product SHALL save the last  Dynamic Range Compression setting in persistent storage and reuse it during start-up.</v>
      </c>
    </row>
    <row r="197" spans="1:10" ht="120" x14ac:dyDescent="0.25">
      <c r="A197" s="32" t="str">
        <f>FR!A197</f>
        <v>FR-DSRSW-1334</v>
      </c>
      <c r="B197" s="31" t="b">
        <f>ISERROR(FIND("-",FR!B197))</f>
        <v>0</v>
      </c>
      <c r="C197" s="31">
        <f>SetIndent(D197,(FR!C197-1)*2)</f>
        <v>2</v>
      </c>
      <c r="D197" s="34" t="str">
        <f>IF(ISERROR(FIND("-",FR!B197)),FR!B197&amp;" "&amp;FR!D197,FR!D197)</f>
        <v>The product SHALL allow the application to select the audio component.</v>
      </c>
      <c r="E197" s="31" t="str">
        <f>IF(H197="Modified",VLOOKUP(A197,'Prev PMR'!A$2:D$190,4),"")</f>
        <v/>
      </c>
      <c r="F197" s="31" t="str">
        <f>FR!E197</f>
        <v>Req</v>
      </c>
      <c r="G197" s="37" t="str">
        <f>IF(ISERROR(FIND("Adara 1.0",FR!F197)),
        IF(ISERROR(FIND("Adara 1.1",FR!F197)),
                IF(ISERROR(FIND("Deneb",FR!F197)),"errorRob","Deneb"),
         "Adara 1.1"),
  "Adara 1.0")</f>
        <v>Adara 1.0</v>
      </c>
      <c r="H197" s="37" t="str">
        <f>FR!I197</f>
        <v>Approved</v>
      </c>
      <c r="I197" s="31" t="str">
        <f>IF(ISBLANK(FR!G197),"",FR!G197)</f>
        <v/>
      </c>
      <c r="J197" s="30" t="str">
        <f>IF(ISBLANK(FR!H197),"",FR!H197)</f>
        <v>TR-DSRSW-1345 Audio PID Selection 
TR-DSRSW-1346  The product SHALL allow the application to select, for the current service, which audio stream that the product plays.
TR-DSRSW-1347  The product SHALL seamlessly (no audible pops, clicks, or noise) transition between audio streams when the application picks a different audio stream.  
TR-DSRSW-1348  The product SHALL present artifact-free video when the audio streams change.</v>
      </c>
    </row>
    <row r="198" spans="1:10" x14ac:dyDescent="0.25">
      <c r="A198" s="32" t="str">
        <f>FR!A198</f>
        <v>FR-DSRSW-1469</v>
      </c>
      <c r="B198" s="31" t="b">
        <f>ISERROR(FIND("-",FR!B198))</f>
        <v>1</v>
      </c>
      <c r="C198" s="31">
        <f>SetIndent(D198,(FR!C198-1)*2)</f>
        <v>0</v>
      </c>
      <c r="D198" s="33" t="str">
        <f>IF(ISERROR(FIND("-",FR!B198)),FR!B198&amp;" "&amp;FR!D198,FR!D198)</f>
        <v>31 Quality</v>
      </c>
      <c r="E198" s="31" t="str">
        <f>IF(H198="Modified",VLOOKUP(A198,'Prev PMR'!A$2:D$190,4),"")</f>
        <v/>
      </c>
      <c r="F198" s="31" t="str">
        <f>FR!E198</f>
        <v>Com</v>
      </c>
      <c r="G198" s="37" t="str">
        <f>IF(ISERROR(FIND("Adara 1.0",FR!F198)),
        IF(ISERROR(FIND("Adara 1.1",FR!F198)),
                IF(ISERROR(FIND("Deneb",FR!F198)),"errorRob","Deneb"),
         "Adara 1.1"),
  "Adara 1.0")</f>
        <v>Adara 1.0</v>
      </c>
      <c r="H198" s="37" t="str">
        <f>FR!I198</f>
        <v>Approved</v>
      </c>
      <c r="I198" s="31" t="str">
        <f>IF(ISBLANK(FR!G198),"",FR!G198)</f>
        <v/>
      </c>
      <c r="J198" s="30" t="str">
        <f>IF(ISBLANK(FR!H198),"",FR!H198)</f>
        <v xml:space="preserve">TR-DSRSW-2224 Quality </v>
      </c>
    </row>
    <row r="199" spans="1:10" ht="45" x14ac:dyDescent="0.25">
      <c r="A199" s="32" t="str">
        <f>FR!A199</f>
        <v>FR-DSRSW-1470</v>
      </c>
      <c r="B199" s="31" t="b">
        <f>ISERROR(FIND("-",FR!B199))</f>
        <v>0</v>
      </c>
      <c r="C199" s="31">
        <f>SetIndent(D199,(FR!C199-1)*2)</f>
        <v>2</v>
      </c>
      <c r="D199" s="34" t="str">
        <f>IF(ISERROR(FIND("-",FR!B199)),FR!B199&amp;" "&amp;FR!D199,FR!D199)</f>
        <v>There should be 30 days mean time between reboots (MTBR) running Arris’ standard stability rack test.</v>
      </c>
      <c r="E199" s="31" t="str">
        <f>IF(H199="Modified",VLOOKUP(A199,'Prev PMR'!A$2:D$190,4),"")</f>
        <v/>
      </c>
      <c r="F199" s="31" t="str">
        <f>FR!E199</f>
        <v>Req</v>
      </c>
      <c r="G199" s="37" t="str">
        <f>IF(ISERROR(FIND("Adara 1.0",FR!F199)),
        IF(ISERROR(FIND("Adara 1.1",FR!F199)),
                IF(ISERROR(FIND("Deneb",FR!F199)),"errorRob","Deneb"),
         "Adara 1.1"),
  "Adara 1.0")</f>
        <v>Adara 1.0</v>
      </c>
      <c r="H199" s="37" t="str">
        <f>FR!I199</f>
        <v>Approved</v>
      </c>
      <c r="I199" s="31" t="str">
        <f>IF(ISBLANK(FR!G199),"",FR!G199)</f>
        <v/>
      </c>
      <c r="J199" s="30" t="str">
        <f>IF(ISBLANK(FR!H199),"",FR!H199)</f>
        <v xml:space="preserve">TR-DSRSW-2225  The product SHALL achieve 30 days mean time between reboots (MTBR), while running ARRIS's standard stability rack test.
TR-DSRSW-2228 Mean Time Between Reboots </v>
      </c>
    </row>
    <row r="200" spans="1:10" ht="30" x14ac:dyDescent="0.25">
      <c r="A200" s="32" t="str">
        <f>FR!A200</f>
        <v>FR-DSRSW-1503</v>
      </c>
      <c r="B200" s="31" t="b">
        <f>ISERROR(FIND("-",FR!B200))</f>
        <v>0</v>
      </c>
      <c r="C200" s="31">
        <f>SetIndent(D200,(FR!C200-1)*2)</f>
        <v>2</v>
      </c>
      <c r="D200" s="34" t="str">
        <f>IF(ISERROR(FIND("-",FR!B200)),FR!B200&amp;" "&amp;FR!D200,FR!D200)</f>
        <v>The product SHALL be validated against an API-level test suite for Neptune, to allow verification without the application.</v>
      </c>
      <c r="E200" s="31" t="str">
        <f>IF(H200="Modified",VLOOKUP(A200,'Prev PMR'!A$2:D$190,4),"")</f>
        <v/>
      </c>
      <c r="F200" s="31" t="str">
        <f>FR!E200</f>
        <v>Req</v>
      </c>
      <c r="G200" s="37" t="str">
        <f>IF(ISERROR(FIND("Adara 1.0",FR!F200)),
        IF(ISERROR(FIND("Adara 1.1",FR!F200)),
                IF(ISERROR(FIND("Deneb",FR!F200)),"errorRob","Deneb"),
         "Adara 1.1"),
  "Adara 1.0")</f>
        <v>Adara 1.0</v>
      </c>
      <c r="H200" s="37" t="str">
        <f>FR!I200</f>
        <v>Approved</v>
      </c>
      <c r="I200" s="31" t="str">
        <f>IF(ISBLANK(FR!G200),"",FR!G200)</f>
        <v/>
      </c>
      <c r="J200" s="30" t="str">
        <f>IF(ISBLANK(FR!H200),"",FR!H200)</f>
        <v>TR-DSRSW-2230  The product SHALL be validated against an API-level test suite for Neptune, to allow verification without the application.</v>
      </c>
    </row>
    <row r="201" spans="1:10" ht="45" x14ac:dyDescent="0.25">
      <c r="A201" s="32" t="str">
        <f>FR!A201</f>
        <v>FR-DSRSW-1506</v>
      </c>
      <c r="B201" s="31" t="b">
        <f>ISERROR(FIND("-",FR!B201))</f>
        <v>0</v>
      </c>
      <c r="C201" s="31">
        <f>SetIndent(D201,(FR!C201-1)*2)</f>
        <v>2</v>
      </c>
      <c r="D201" s="34" t="str">
        <f>IF(ISERROR(FIND("-",FR!B201)),FR!B201&amp;" "&amp;FR!D201,FR!D201)</f>
        <v>Arris shall provide a sample application (e.g., simple zapper application) with source code to demonstrate end-to-end functionality of the DSR (e.g., tuning, playback, OSD rendering).</v>
      </c>
      <c r="E201" s="31" t="str">
        <f>IF(H201="Modified",VLOOKUP(A201,'Prev PMR'!A$2:D$190,4),"")</f>
        <v/>
      </c>
      <c r="F201" s="31" t="str">
        <f>FR!E201</f>
        <v>Req</v>
      </c>
      <c r="G201" s="37" t="str">
        <f>IF(ISERROR(FIND("Adara 1.0",FR!F201)),
        IF(ISERROR(FIND("Adara 1.1",FR!F201)),
                IF(ISERROR(FIND("Deneb",FR!F201)),"errorRob","Deneb"),
         "Adara 1.1"),
  "Adara 1.0")</f>
        <v>Adara 1.0</v>
      </c>
      <c r="H201" s="37" t="str">
        <f>FR!I201</f>
        <v>Approved</v>
      </c>
      <c r="I201" s="31" t="str">
        <f>IF(ISBLANK(FR!G201),"",FR!G201)</f>
        <v/>
      </c>
      <c r="J201" s="30" t="str">
        <f>IF(ISBLANK(FR!H201),"",FR!H201)</f>
        <v>TR-DSRSW-2231  Arris shall provide a sample application (e.g., simple zapper application) with source code to demonstrate end-to-end functionality of the DSR (e.g., tuning, playback, OSD rendering).</v>
      </c>
    </row>
    <row r="202" spans="1:10" ht="180" x14ac:dyDescent="0.25">
      <c r="A202" s="32" t="str">
        <f>FR!A202</f>
        <v>FR-DSRSW-1549</v>
      </c>
      <c r="B202" s="31" t="b">
        <f>ISERROR(FIND("-",FR!B202))</f>
        <v>0</v>
      </c>
      <c r="C202" s="31">
        <f>SetIndent(D202,(FR!C202-1)*2)</f>
        <v>2</v>
      </c>
      <c r="D202" s="34" t="str">
        <f>IF(ISERROR(FIND("-",FR!B202)),FR!B202&amp;" "&amp;FR!D202,FR!D202)</f>
        <v>The product SHALL be able to channel surf without failure.</v>
      </c>
      <c r="E202" s="31" t="str">
        <f>IF(H202="Modified",VLOOKUP(A202,'Prev PMR'!A$2:D$190,4),"")</f>
        <v/>
      </c>
      <c r="F202" s="31" t="str">
        <f>FR!E202</f>
        <v>Req</v>
      </c>
      <c r="G202" s="37" t="str">
        <f>IF(ISERROR(FIND("Adara 1.0",FR!F202)),
        IF(ISERROR(FIND("Adara 1.1",FR!F202)),
                IF(ISERROR(FIND("Deneb",FR!F202)),"errorRob","Deneb"),
         "Adara 1.1"),
  "Adara 1.0")</f>
        <v>Deneb</v>
      </c>
      <c r="H202" s="37" t="str">
        <f>FR!I202</f>
        <v>New</v>
      </c>
      <c r="I202" s="31" t="str">
        <f>IF(ISBLANK(FR!G202),"",FR!G202)</f>
        <v/>
      </c>
      <c r="J202" s="30" t="str">
        <f>IF(ISBLANK(FR!H202),"",FR!H202)</f>
        <v>TR-DSRSW-2573 Channel Surfing 
TR-DSRSW-2574  The product SHALL be capable of performing a successful channel change on the live feed every 6 seconds over 12 hours.
TR-DSRSW-2578  The product SHALL be capable of performing a successful channel change on the live feed every 6 seconds over 12 hours, WHILE LOD is enabled AND a recording is active in the background.
TR-DSRSW-2579  The product SHALL be capable of performing a successful channel change on the live feed every 6 seconds over 12 hours, WHILE LOD is enabled AND a recording is active in the background AND VCOs are active.
TR-DSRSW-2580  The product SHALL be capable of performing a successful channel change on the live feed every 6 seconds over 12 hours, WHILE LOD is enabled.</v>
      </c>
    </row>
    <row r="203" spans="1:10" ht="90" x14ac:dyDescent="0.25">
      <c r="A203" s="32" t="str">
        <f>FR!A203</f>
        <v>FR-DSRSW-1550</v>
      </c>
      <c r="B203" s="31" t="b">
        <f>ISERROR(FIND("-",FR!B203))</f>
        <v>0</v>
      </c>
      <c r="C203" s="31">
        <f>SetIndent(D203,(FR!C203-1)*2)</f>
        <v>2</v>
      </c>
      <c r="D203" s="34" t="str">
        <f>IF(ISERROR(FIND("-",FR!B203)),FR!B203&amp;" "&amp;FR!D203,FR!D203)</f>
        <v>The product SHALL, if signal loss occurs during a recording, allow the user to view the recording and perform trick play operations.</v>
      </c>
      <c r="E203" s="31" t="str">
        <f>IF(H203="Modified",VLOOKUP(A203,'Prev PMR'!A$2:D$190,4),"")</f>
        <v/>
      </c>
      <c r="F203" s="31" t="str">
        <f>FR!E203</f>
        <v>Req</v>
      </c>
      <c r="G203" s="37" t="str">
        <f>IF(ISERROR(FIND("Adara 1.0",FR!F203)),
        IF(ISERROR(FIND("Adara 1.1",FR!F203)),
                IF(ISERROR(FIND("Deneb",FR!F203)),"errorRob","Deneb"),
         "Adara 1.1"),
  "Adara 1.0")</f>
        <v>Deneb</v>
      </c>
      <c r="H203" s="37" t="str">
        <f>FR!I203</f>
        <v>New</v>
      </c>
      <c r="I203" s="31" t="str">
        <f>IF(ISBLANK(FR!G203),"",FR!G203)</f>
        <v/>
      </c>
      <c r="J203" s="30" t="str">
        <f>IF(ISBLANK(FR!H203),"",FR!H203)</f>
        <v xml:space="preserve">TR-DSRSW-2581  The product SHALL, if signal loss occurs during an active recording, allow the user to play and perform trick-play across the gaps caused by signal loss while the recording event is still active. 
TR-DSRSW-2582  The product SHALL, if signal loss occurs during an active recording, allow the user to play and perform trick-play across the gaps caused by signal loss after the recording event is complete. </v>
      </c>
    </row>
    <row r="204" spans="1:10" ht="90" x14ac:dyDescent="0.25">
      <c r="A204" s="32" t="str">
        <f>FR!A204</f>
        <v>FR-DSRSW-1545</v>
      </c>
      <c r="B204" s="31" t="b">
        <f>ISERROR(FIND("-",FR!B204))</f>
        <v>0</v>
      </c>
      <c r="C204" s="31">
        <f>SetIndent(D204,(FR!C204-1)*2)</f>
        <v>2</v>
      </c>
      <c r="D204" s="34" t="str">
        <f>IF(ISERROR(FIND("-",FR!B204)),FR!B204&amp;" "&amp;FR!D204,FR!D204)</f>
        <v>The product SHALL provide and LOD trick-play experience that is robust (that is, responsive, without lags, or resets).</v>
      </c>
      <c r="E204" s="31" t="str">
        <f>IF(H204="Modified",VLOOKUP(A204,'Prev PMR'!A$2:D$190,4),"")</f>
        <v/>
      </c>
      <c r="F204" s="31" t="str">
        <f>FR!E204</f>
        <v>Req</v>
      </c>
      <c r="G204" s="37" t="str">
        <f>IF(ISERROR(FIND("Adara 1.0",FR!F204)),
        IF(ISERROR(FIND("Adara 1.1",FR!F204)),
                IF(ISERROR(FIND("Deneb",FR!F204)),"errorRob","Deneb"),
         "Adara 1.1"),
  "Adara 1.0")</f>
        <v>Deneb</v>
      </c>
      <c r="H204" s="37" t="str">
        <f>FR!I204</f>
        <v>New</v>
      </c>
      <c r="I204" s="31" t="str">
        <f>IF(ISBLANK(FR!G204),"",FR!G204)</f>
        <v/>
      </c>
      <c r="J204" s="30" t="str">
        <f>IF(ISBLANK(FR!H204),"",FR!H204)</f>
        <v>TR-DSRSW-2583  The product SHALL allow perform random trick-play operations on an active LOD program without failure.
TR-DSRSW-2584  The product SHALL support at least 6 VCO transitions during a recording.
TR-DSRSW-2585  The product SHALL support signal loss and recovery transitions during a recording.</v>
      </c>
    </row>
    <row r="205" spans="1:10" ht="45" x14ac:dyDescent="0.25">
      <c r="A205" s="32" t="str">
        <f>FR!A205</f>
        <v>FR-DSRSW-1546</v>
      </c>
      <c r="B205" s="31" t="b">
        <f>ISERROR(FIND("-",FR!B205))</f>
        <v>0</v>
      </c>
      <c r="C205" s="31">
        <f>SetIndent(D205,(FR!C205-1)*2)</f>
        <v>2</v>
      </c>
      <c r="D205" s="34" t="str">
        <f>IF(ISERROR(FIND("-",FR!B205)),FR!B205&amp;" "&amp;FR!D205,FR!D205)</f>
        <v>The product SHALL provide a robust VOD experience.</v>
      </c>
      <c r="E205" s="31" t="str">
        <f>IF(H205="Modified",VLOOKUP(A205,'Prev PMR'!A$2:D$190,4),"")</f>
        <v/>
      </c>
      <c r="F205" s="31" t="str">
        <f>FR!E205</f>
        <v>Req</v>
      </c>
      <c r="G205" s="37" t="str">
        <f>IF(ISERROR(FIND("Adara 1.0",FR!F205)),
        IF(ISERROR(FIND("Adara 1.1",FR!F205)),
                IF(ISERROR(FIND("Deneb",FR!F205)),"errorRob","Deneb"),
         "Adara 1.1"),
  "Adara 1.0")</f>
        <v>Deneb</v>
      </c>
      <c r="H205" s="37" t="str">
        <f>FR!I205</f>
        <v>New</v>
      </c>
      <c r="I205" s="31" t="str">
        <f>IF(ISBLANK(FR!G205),"",FR!G205)</f>
        <v/>
      </c>
      <c r="J205" s="30" t="str">
        <f>IF(ISBLANK(FR!H205),"",FR!H205)</f>
        <v>TR-DSRSW-2576 IP VOD Streaming 
TR-DSRSW-2586  The product SHALL be capable of switching between IP VOD and satellite programs (live or recorded [if supported]).</v>
      </c>
    </row>
    <row r="206" spans="1:10" ht="30" x14ac:dyDescent="0.25">
      <c r="A206" s="32" t="str">
        <f>FR!A206</f>
        <v>FR-DSRSW-1547</v>
      </c>
      <c r="B206" s="31" t="b">
        <f>ISERROR(FIND("-",FR!B206))</f>
        <v>0</v>
      </c>
      <c r="C206" s="31">
        <f>SetIndent(D206,(FR!C206-1)*2)</f>
        <v>2</v>
      </c>
      <c r="D206" s="34" t="str">
        <f>IF(ISERROR(FIND("-",FR!B206)),FR!B206&amp;" "&amp;FR!D206,FR!D206)</f>
        <v>The product SHALL minimize the number of resets.</v>
      </c>
      <c r="E206" s="31" t="str">
        <f>IF(H206="Modified",VLOOKUP(A206,'Prev PMR'!A$2:D$190,4),"")</f>
        <v/>
      </c>
      <c r="F206" s="31" t="str">
        <f>FR!E206</f>
        <v>Req</v>
      </c>
      <c r="G206" s="37" t="str">
        <f>IF(ISERROR(FIND("Adara 1.0",FR!F206)),
        IF(ISERROR(FIND("Adara 1.1",FR!F206)),
                IF(ISERROR(FIND("Deneb",FR!F206)),"errorRob","Deneb"),
         "Adara 1.1"),
  "Adara 1.0")</f>
        <v>Deneb</v>
      </c>
      <c r="H206" s="37" t="str">
        <f>FR!I206</f>
        <v>New</v>
      </c>
      <c r="I206" s="31" t="str">
        <f>IF(ISBLANK(FR!G206),"",FR!G206)</f>
        <v/>
      </c>
      <c r="J206" s="30" t="str">
        <f>IF(ISBLANK(FR!H206),"",FR!H206)</f>
        <v>TR-DSRSW-2587  The product SHALL achieve a reset rate of one reset or less per month (30 days) during normal operation.</v>
      </c>
    </row>
    <row r="207" spans="1:10" ht="75" x14ac:dyDescent="0.25">
      <c r="A207" s="32" t="str">
        <f>FR!A207</f>
        <v>FR-DSRSW-1548</v>
      </c>
      <c r="B207" s="31" t="b">
        <f>ISERROR(FIND("-",FR!B207))</f>
        <v>0</v>
      </c>
      <c r="C207" s="31">
        <f>SetIndent(D207,(FR!C207-1)*2)</f>
        <v>2</v>
      </c>
      <c r="D207" s="34" t="str">
        <f>IF(ISERROR(FIND("-",FR!B207)),FR!B207&amp;" "&amp;FR!D207,FR!D207)</f>
        <v>The product SHALL user experience shall not be impacted by a large number of recordings.</v>
      </c>
      <c r="E207" s="31" t="str">
        <f>IF(H207="Modified",VLOOKUP(A207,'Prev PMR'!A$2:D$190,4),"")</f>
        <v/>
      </c>
      <c r="F207" s="31" t="str">
        <f>FR!E207</f>
        <v>Req</v>
      </c>
      <c r="G207" s="37" t="str">
        <f>IF(ISERROR(FIND("Adara 1.0",FR!F207)),
        IF(ISERROR(FIND("Adara 1.1",FR!F207)),
                IF(ISERROR(FIND("Deneb",FR!F207)),"errorRob","Deneb"),
         "Adara 1.1"),
  "Adara 1.0")</f>
        <v>Deneb</v>
      </c>
      <c r="H207" s="37" t="str">
        <f>FR!I207</f>
        <v>New</v>
      </c>
      <c r="I207" s="31" t="str">
        <f>IF(ISBLANK(FR!G207),"",FR!G207)</f>
        <v/>
      </c>
      <c r="J207" s="30" t="str">
        <f>IF(ISBLANK(FR!H207),"",FR!H207)</f>
        <v>TR-DSRSW-2588  The product SHALL maintain a consistent and quality user experience regardless of the number of recordings and hard drive percentage full (internal and external).  Consistent” means that the normal operations, such as channel changes, are the same speed.   “Quality” means that user interfaces, response times, etc., are not impacted.</v>
      </c>
    </row>
  </sheetData>
  <conditionalFormatting sqref="D1:E207">
    <cfRule type="expression" dxfId="250" priority="6">
      <formula>$B1</formula>
    </cfRule>
  </conditionalFormatting>
  <conditionalFormatting sqref="F1:F207">
    <cfRule type="expression" dxfId="249" priority="4">
      <formula>$F1="Req"</formula>
    </cfRule>
  </conditionalFormatting>
  <conditionalFormatting sqref="H2:H207">
    <cfRule type="cellIs" dxfId="248" priority="3" operator="notEqual">
      <formula>"Approved"</formula>
    </cfRule>
  </conditionalFormatting>
  <conditionalFormatting sqref="H1:H1048576">
    <cfRule type="cellIs" dxfId="247" priority="2" operator="equal">
      <formula>"Adara 1.1"</formula>
    </cfRule>
  </conditionalFormatting>
  <conditionalFormatting sqref="G1:G1048576">
    <cfRule type="cellIs" dxfId="246" priority="1" operator="equal">
      <formula>"Adara 1.1"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O177"/>
  <sheetViews>
    <sheetView zoomScale="80" zoomScaleNormal="80" workbookViewId="0">
      <pane ySplit="1" topLeftCell="A93" activePane="bottomLeft" state="frozen"/>
      <selection pane="bottomLeft" activeCell="A99" sqref="A99"/>
    </sheetView>
  </sheetViews>
  <sheetFormatPr defaultRowHeight="15" x14ac:dyDescent="0.25"/>
  <cols>
    <col min="1" max="1" width="17.7109375" customWidth="1"/>
    <col min="2" max="3" width="8.85546875" hidden="1" customWidth="1"/>
    <col min="4" max="4" width="75.28515625" customWidth="1"/>
    <col min="5" max="5" width="21.42578125" customWidth="1"/>
    <col min="6" max="6" width="6.28515625" customWidth="1"/>
    <col min="7" max="8" width="10.28515625" customWidth="1"/>
    <col min="9" max="9" width="12.140625" customWidth="1"/>
    <col min="10" max="10" width="74.140625" customWidth="1"/>
    <col min="11" max="11" width="21.42578125" customWidth="1"/>
    <col min="12" max="12" width="26.7109375" customWidth="1"/>
  </cols>
  <sheetData>
    <row r="1" spans="1:15" x14ac:dyDescent="0.25">
      <c r="A1" s="15" t="s">
        <v>502</v>
      </c>
      <c r="B1" s="15" t="s">
        <v>635</v>
      </c>
      <c r="C1" s="15" t="e">
        <v>#VALUE!</v>
      </c>
      <c r="D1" s="16" t="s">
        <v>634</v>
      </c>
      <c r="E1" s="15" t="s">
        <v>3860</v>
      </c>
      <c r="F1" s="15" t="s">
        <v>8</v>
      </c>
      <c r="G1" s="15" t="s">
        <v>633</v>
      </c>
      <c r="H1" s="15" t="s">
        <v>2231</v>
      </c>
      <c r="I1" s="15" t="s">
        <v>122</v>
      </c>
      <c r="J1" s="17" t="s">
        <v>2228</v>
      </c>
      <c r="K1" s="15"/>
    </row>
    <row r="2" spans="1:15" ht="30" x14ac:dyDescent="0.25">
      <c r="A2" s="15"/>
      <c r="B2" s="15"/>
      <c r="C2" s="15"/>
      <c r="D2" s="26" t="s">
        <v>3441</v>
      </c>
      <c r="E2" s="26"/>
      <c r="G2" s="15"/>
      <c r="H2" s="15"/>
      <c r="I2" s="15"/>
      <c r="J2" s="15"/>
      <c r="K2" s="15"/>
      <c r="L2" s="17"/>
      <c r="M2" s="8"/>
      <c r="N2" s="17"/>
      <c r="O2" s="17"/>
    </row>
    <row r="3" spans="1:15" x14ac:dyDescent="0.25">
      <c r="A3" s="15"/>
      <c r="B3" s="15"/>
      <c r="C3" s="15"/>
      <c r="D3" s="20" t="s">
        <v>2327</v>
      </c>
      <c r="E3" s="20"/>
      <c r="G3" s="15"/>
      <c r="H3" s="15"/>
      <c r="I3" s="15"/>
      <c r="J3" s="15"/>
      <c r="K3" s="15"/>
      <c r="L3" s="17"/>
      <c r="M3" s="8"/>
      <c r="N3" s="17"/>
      <c r="O3" s="17"/>
    </row>
    <row r="4" spans="1:15" x14ac:dyDescent="0.25">
      <c r="A4" s="15"/>
      <c r="B4" s="15"/>
      <c r="C4" s="15"/>
      <c r="D4" s="21" t="s">
        <v>3417</v>
      </c>
      <c r="E4" s="21"/>
      <c r="G4" s="15"/>
      <c r="H4" s="15"/>
      <c r="I4" s="15"/>
      <c r="J4" s="15"/>
      <c r="K4" s="15"/>
      <c r="L4" s="17"/>
      <c r="M4" s="8"/>
      <c r="N4" s="17"/>
      <c r="O4" s="17"/>
    </row>
    <row r="5" spans="1:15" x14ac:dyDescent="0.25">
      <c r="A5" s="15"/>
      <c r="B5" s="15"/>
      <c r="C5" s="15"/>
      <c r="D5" s="20" t="s">
        <v>2330</v>
      </c>
      <c r="E5" s="20"/>
      <c r="G5" s="15"/>
      <c r="H5" s="15"/>
      <c r="I5" s="15"/>
      <c r="J5" s="15"/>
      <c r="K5" s="15"/>
      <c r="L5" s="17"/>
      <c r="M5" s="8"/>
      <c r="N5" s="17"/>
      <c r="O5" s="17"/>
    </row>
    <row r="6" spans="1:15" x14ac:dyDescent="0.25">
      <c r="A6" s="15"/>
      <c r="B6" s="15"/>
      <c r="C6" s="15"/>
      <c r="D6" s="21" t="s">
        <v>3418</v>
      </c>
      <c r="E6" s="21"/>
      <c r="G6" s="15"/>
      <c r="H6" s="15"/>
      <c r="I6" s="15"/>
      <c r="J6" s="15"/>
      <c r="K6" s="15"/>
      <c r="L6" s="17"/>
      <c r="M6" s="8"/>
      <c r="N6" s="17"/>
      <c r="O6" s="17"/>
    </row>
    <row r="7" spans="1:15" x14ac:dyDescent="0.25">
      <c r="A7" s="15"/>
      <c r="B7" s="15"/>
      <c r="C7" s="15"/>
      <c r="D7" s="20" t="s">
        <v>2388</v>
      </c>
      <c r="E7" s="20"/>
      <c r="G7" s="15"/>
      <c r="H7" s="15"/>
      <c r="I7" s="15"/>
      <c r="J7" s="15"/>
      <c r="K7" s="15"/>
      <c r="L7" s="17"/>
      <c r="M7" s="8"/>
      <c r="N7" s="17"/>
      <c r="O7" s="17"/>
    </row>
    <row r="8" spans="1:15" x14ac:dyDescent="0.25">
      <c r="A8" s="15"/>
      <c r="B8" s="15"/>
      <c r="C8" s="15"/>
      <c r="D8" s="21" t="s">
        <v>3418</v>
      </c>
      <c r="E8" s="21"/>
      <c r="G8" s="15"/>
      <c r="H8" s="15"/>
      <c r="I8" s="15"/>
      <c r="J8" s="15"/>
      <c r="K8" s="15"/>
      <c r="L8" s="17"/>
      <c r="M8" s="8"/>
      <c r="N8" s="17"/>
      <c r="O8" s="17"/>
    </row>
    <row r="9" spans="1:15" x14ac:dyDescent="0.25">
      <c r="A9" s="32" t="s">
        <v>206</v>
      </c>
      <c r="B9" s="31" t="b">
        <v>1</v>
      </c>
      <c r="C9" s="31">
        <v>0</v>
      </c>
      <c r="D9" s="31" t="s">
        <v>2331</v>
      </c>
      <c r="E9" s="31" t="s">
        <v>2328</v>
      </c>
      <c r="F9" s="31" t="s">
        <v>139</v>
      </c>
      <c r="G9" s="37" t="s">
        <v>210</v>
      </c>
      <c r="H9" s="37" t="s">
        <v>2232</v>
      </c>
      <c r="I9" s="31" t="s">
        <v>2328</v>
      </c>
      <c r="J9" s="30" t="s">
        <v>208</v>
      </c>
      <c r="K9" s="7" t="s">
        <v>2328</v>
      </c>
    </row>
    <row r="10" spans="1:15" x14ac:dyDescent="0.25">
      <c r="A10" s="32" t="s">
        <v>209</v>
      </c>
      <c r="B10" s="31" t="b">
        <v>0</v>
      </c>
      <c r="C10" s="31">
        <v>2</v>
      </c>
      <c r="D10" s="34" t="s">
        <v>2441</v>
      </c>
      <c r="E10" s="31" t="s">
        <v>2328</v>
      </c>
      <c r="F10" s="31" t="s">
        <v>131</v>
      </c>
      <c r="G10" s="37" t="s">
        <v>210</v>
      </c>
      <c r="H10" s="37" t="s">
        <v>2232</v>
      </c>
      <c r="I10" s="31" t="s">
        <v>2328</v>
      </c>
      <c r="J10" s="30" t="s">
        <v>2442</v>
      </c>
      <c r="K10" s="7" t="s">
        <v>2328</v>
      </c>
    </row>
    <row r="11" spans="1:15" ht="30" x14ac:dyDescent="0.25">
      <c r="A11" s="32" t="s">
        <v>211</v>
      </c>
      <c r="B11" s="31" t="b">
        <v>0</v>
      </c>
      <c r="C11" s="31">
        <v>2</v>
      </c>
      <c r="D11" s="34" t="s">
        <v>212</v>
      </c>
      <c r="E11" s="31" t="s">
        <v>2328</v>
      </c>
      <c r="F11" s="31" t="s">
        <v>131</v>
      </c>
      <c r="G11" s="37" t="s">
        <v>210</v>
      </c>
      <c r="H11" s="37" t="s">
        <v>2232</v>
      </c>
      <c r="I11" s="31" t="s">
        <v>2328</v>
      </c>
      <c r="J11" s="30" t="s">
        <v>3774</v>
      </c>
      <c r="K11" s="7" t="s">
        <v>2328</v>
      </c>
    </row>
    <row r="12" spans="1:15" ht="180" x14ac:dyDescent="0.25">
      <c r="A12" s="32" t="s">
        <v>3679</v>
      </c>
      <c r="B12" s="31" t="b">
        <v>0</v>
      </c>
      <c r="C12" s="31">
        <v>2</v>
      </c>
      <c r="D12" s="34" t="s">
        <v>3776</v>
      </c>
      <c r="E12" s="31" t="s">
        <v>2328</v>
      </c>
      <c r="F12" s="31" t="s">
        <v>131</v>
      </c>
      <c r="G12" s="37" t="s">
        <v>3692</v>
      </c>
      <c r="H12" s="37" t="s">
        <v>2473</v>
      </c>
      <c r="I12" s="31" t="s">
        <v>2328</v>
      </c>
      <c r="J12" s="30" t="s">
        <v>3777</v>
      </c>
      <c r="K12" s="7" t="s">
        <v>2328</v>
      </c>
    </row>
    <row r="13" spans="1:15" x14ac:dyDescent="0.25">
      <c r="A13" s="32" t="s">
        <v>214</v>
      </c>
      <c r="B13" s="31" t="b">
        <v>1</v>
      </c>
      <c r="C13" s="31">
        <v>0</v>
      </c>
      <c r="D13" s="33" t="s">
        <v>2332</v>
      </c>
      <c r="E13" s="31" t="s">
        <v>2328</v>
      </c>
      <c r="F13" s="31" t="s">
        <v>139</v>
      </c>
      <c r="G13" s="37" t="s">
        <v>210</v>
      </c>
      <c r="H13" s="37" t="s">
        <v>2232</v>
      </c>
      <c r="I13" s="31" t="s">
        <v>2328</v>
      </c>
      <c r="J13" s="30" t="s">
        <v>3404</v>
      </c>
      <c r="K13" s="7" t="s">
        <v>2328</v>
      </c>
    </row>
    <row r="14" spans="1:15" ht="120" x14ac:dyDescent="0.25">
      <c r="A14" s="32" t="s">
        <v>216</v>
      </c>
      <c r="B14" s="31" t="b">
        <v>0</v>
      </c>
      <c r="C14" s="31">
        <v>2</v>
      </c>
      <c r="D14" s="34" t="s">
        <v>217</v>
      </c>
      <c r="E14" s="31" t="s">
        <v>2328</v>
      </c>
      <c r="F14" s="31" t="s">
        <v>131</v>
      </c>
      <c r="G14" s="37" t="s">
        <v>210</v>
      </c>
      <c r="H14" s="37" t="s">
        <v>2232</v>
      </c>
      <c r="I14" s="31" t="s">
        <v>2328</v>
      </c>
      <c r="J14" s="30" t="s">
        <v>2443</v>
      </c>
      <c r="K14" s="7" t="s">
        <v>2328</v>
      </c>
    </row>
    <row r="15" spans="1:15" x14ac:dyDescent="0.25">
      <c r="A15" s="32" t="s">
        <v>218</v>
      </c>
      <c r="B15" s="31" t="b">
        <v>1</v>
      </c>
      <c r="C15" s="31">
        <v>0</v>
      </c>
      <c r="D15" s="33" t="s">
        <v>2333</v>
      </c>
      <c r="E15" s="31" t="s">
        <v>2328</v>
      </c>
      <c r="F15" s="31" t="s">
        <v>139</v>
      </c>
      <c r="G15" s="37" t="s">
        <v>210</v>
      </c>
      <c r="H15" s="37" t="s">
        <v>2232</v>
      </c>
      <c r="I15" s="31" t="s">
        <v>2328</v>
      </c>
      <c r="J15" s="30" t="s">
        <v>220</v>
      </c>
      <c r="K15" s="7" t="s">
        <v>2328</v>
      </c>
    </row>
    <row r="16" spans="1:15" ht="45" x14ac:dyDescent="0.25">
      <c r="A16" s="32" t="s">
        <v>221</v>
      </c>
      <c r="B16" s="31" t="b">
        <v>0</v>
      </c>
      <c r="C16" s="31">
        <v>2</v>
      </c>
      <c r="D16" s="34" t="s">
        <v>222</v>
      </c>
      <c r="E16" s="31" t="s">
        <v>2328</v>
      </c>
      <c r="F16" s="31" t="s">
        <v>131</v>
      </c>
      <c r="G16" s="37" t="s">
        <v>210</v>
      </c>
      <c r="H16" s="37" t="s">
        <v>2232</v>
      </c>
      <c r="I16" s="31" t="s">
        <v>2328</v>
      </c>
      <c r="J16" s="30" t="s">
        <v>3778</v>
      </c>
      <c r="K16" s="7" t="s">
        <v>2328</v>
      </c>
    </row>
    <row r="17" spans="1:11" ht="30" x14ac:dyDescent="0.25">
      <c r="A17" s="32" t="s">
        <v>224</v>
      </c>
      <c r="B17" s="31" t="b">
        <v>1</v>
      </c>
      <c r="C17" s="31">
        <v>0</v>
      </c>
      <c r="D17" s="33" t="s">
        <v>2334</v>
      </c>
      <c r="E17" s="31" t="s">
        <v>2328</v>
      </c>
      <c r="F17" s="31" t="s">
        <v>139</v>
      </c>
      <c r="G17" s="37" t="s">
        <v>210</v>
      </c>
      <c r="H17" s="37" t="s">
        <v>2232</v>
      </c>
      <c r="I17" s="31" t="s">
        <v>2328</v>
      </c>
      <c r="J17" s="30" t="s">
        <v>226</v>
      </c>
      <c r="K17" s="7" t="s">
        <v>2328</v>
      </c>
    </row>
    <row r="18" spans="1:11" x14ac:dyDescent="0.25">
      <c r="A18" s="32" t="s">
        <v>227</v>
      </c>
      <c r="B18" s="31" t="b">
        <v>1</v>
      </c>
      <c r="C18" s="31">
        <v>2</v>
      </c>
      <c r="D18" s="34" t="s">
        <v>2335</v>
      </c>
      <c r="E18" s="31" t="s">
        <v>2328</v>
      </c>
      <c r="F18" s="31" t="s">
        <v>139</v>
      </c>
      <c r="G18" s="37" t="s">
        <v>210</v>
      </c>
      <c r="H18" s="37" t="s">
        <v>2232</v>
      </c>
      <c r="I18" s="31" t="s">
        <v>2328</v>
      </c>
      <c r="J18" s="30" t="s">
        <v>229</v>
      </c>
      <c r="K18" s="7" t="s">
        <v>2328</v>
      </c>
    </row>
    <row r="19" spans="1:11" ht="60" x14ac:dyDescent="0.25">
      <c r="A19" s="32" t="s">
        <v>230</v>
      </c>
      <c r="B19" s="31" t="b">
        <v>0</v>
      </c>
      <c r="C19" s="31">
        <v>4</v>
      </c>
      <c r="D19" s="35" t="s">
        <v>2444</v>
      </c>
      <c r="E19" s="31" t="s">
        <v>2328</v>
      </c>
      <c r="F19" s="31" t="s">
        <v>131</v>
      </c>
      <c r="G19" s="37" t="s">
        <v>210</v>
      </c>
      <c r="H19" s="37" t="s">
        <v>2232</v>
      </c>
      <c r="I19" s="31" t="s">
        <v>2328</v>
      </c>
      <c r="J19" s="30" t="s">
        <v>3779</v>
      </c>
      <c r="K19" s="7" t="s">
        <v>2328</v>
      </c>
    </row>
    <row r="20" spans="1:11" x14ac:dyDescent="0.25">
      <c r="A20" s="32" t="s">
        <v>231</v>
      </c>
      <c r="B20" s="31" t="b">
        <v>1</v>
      </c>
      <c r="C20" s="31">
        <v>2</v>
      </c>
      <c r="D20" s="34" t="s">
        <v>2336</v>
      </c>
      <c r="E20" s="31" t="s">
        <v>2328</v>
      </c>
      <c r="F20" s="31" t="s">
        <v>139</v>
      </c>
      <c r="G20" s="37" t="s">
        <v>210</v>
      </c>
      <c r="H20" s="37" t="s">
        <v>2232</v>
      </c>
      <c r="I20" s="31" t="s">
        <v>2328</v>
      </c>
      <c r="J20" s="30" t="s">
        <v>233</v>
      </c>
      <c r="K20" s="7" t="s">
        <v>2328</v>
      </c>
    </row>
    <row r="21" spans="1:11" ht="30" x14ac:dyDescent="0.25">
      <c r="A21" s="32" t="s">
        <v>234</v>
      </c>
      <c r="B21" s="31" t="b">
        <v>0</v>
      </c>
      <c r="C21" s="31">
        <v>4</v>
      </c>
      <c r="D21" s="35" t="s">
        <v>235</v>
      </c>
      <c r="E21" s="31" t="s">
        <v>2328</v>
      </c>
      <c r="F21" s="31" t="s">
        <v>131</v>
      </c>
      <c r="G21" s="37" t="s">
        <v>210</v>
      </c>
      <c r="H21" s="37" t="s">
        <v>2232</v>
      </c>
      <c r="I21" s="31" t="s">
        <v>2328</v>
      </c>
      <c r="J21" s="30" t="s">
        <v>236</v>
      </c>
      <c r="K21" s="7" t="s">
        <v>2328</v>
      </c>
    </row>
    <row r="22" spans="1:11" ht="30" x14ac:dyDescent="0.25">
      <c r="A22" s="32" t="s">
        <v>237</v>
      </c>
      <c r="B22" s="31" t="b">
        <v>0</v>
      </c>
      <c r="C22" s="31">
        <v>4</v>
      </c>
      <c r="D22" s="35" t="s">
        <v>238</v>
      </c>
      <c r="E22" s="31" t="s">
        <v>2328</v>
      </c>
      <c r="F22" s="31" t="s">
        <v>131</v>
      </c>
      <c r="G22" s="37" t="s">
        <v>210</v>
      </c>
      <c r="H22" s="37" t="s">
        <v>2232</v>
      </c>
      <c r="I22" s="31" t="s">
        <v>2328</v>
      </c>
      <c r="J22" s="30" t="s">
        <v>236</v>
      </c>
      <c r="K22" s="7" t="s">
        <v>2328</v>
      </c>
    </row>
    <row r="23" spans="1:11" ht="45" x14ac:dyDescent="0.25">
      <c r="A23" s="32" t="s">
        <v>128</v>
      </c>
      <c r="B23" s="31" t="b">
        <v>0</v>
      </c>
      <c r="C23" s="31">
        <v>4</v>
      </c>
      <c r="D23" s="35" t="s">
        <v>239</v>
      </c>
      <c r="E23" s="31" t="s">
        <v>2328</v>
      </c>
      <c r="F23" s="31" t="s">
        <v>131</v>
      </c>
      <c r="G23" s="37" t="s">
        <v>210</v>
      </c>
      <c r="H23" s="37" t="s">
        <v>2232</v>
      </c>
      <c r="I23" s="31" t="s">
        <v>2328</v>
      </c>
      <c r="J23" s="30" t="s">
        <v>240</v>
      </c>
      <c r="K23" s="7" t="s">
        <v>2328</v>
      </c>
    </row>
    <row r="24" spans="1:11" ht="45" x14ac:dyDescent="0.25">
      <c r="A24" s="32" t="s">
        <v>241</v>
      </c>
      <c r="B24" s="31" t="b">
        <v>0</v>
      </c>
      <c r="C24" s="31">
        <v>4</v>
      </c>
      <c r="D24" s="35" t="s">
        <v>120</v>
      </c>
      <c r="E24" s="31" t="s">
        <v>2328</v>
      </c>
      <c r="F24" s="31" t="s">
        <v>131</v>
      </c>
      <c r="G24" s="37" t="s">
        <v>210</v>
      </c>
      <c r="H24" s="37" t="s">
        <v>2232</v>
      </c>
      <c r="I24" s="31" t="s">
        <v>2328</v>
      </c>
      <c r="J24" s="30" t="s">
        <v>242</v>
      </c>
      <c r="K24" s="7" t="s">
        <v>2328</v>
      </c>
    </row>
    <row r="25" spans="1:11" ht="30" x14ac:dyDescent="0.25">
      <c r="A25" s="32" t="s">
        <v>243</v>
      </c>
      <c r="B25" s="31" t="b">
        <v>0</v>
      </c>
      <c r="C25" s="31">
        <v>4</v>
      </c>
      <c r="D25" s="35" t="s">
        <v>244</v>
      </c>
      <c r="E25" s="31" t="s">
        <v>2328</v>
      </c>
      <c r="F25" s="31" t="s">
        <v>131</v>
      </c>
      <c r="G25" s="37" t="s">
        <v>210</v>
      </c>
      <c r="H25" s="37" t="s">
        <v>2232</v>
      </c>
      <c r="I25" s="31" t="s">
        <v>2328</v>
      </c>
      <c r="J25" s="30" t="s">
        <v>245</v>
      </c>
      <c r="K25" s="7" t="s">
        <v>2328</v>
      </c>
    </row>
    <row r="26" spans="1:11" ht="30" x14ac:dyDescent="0.25">
      <c r="A26" s="32" t="s">
        <v>246</v>
      </c>
      <c r="B26" s="31" t="b">
        <v>1</v>
      </c>
      <c r="C26" s="31">
        <v>2</v>
      </c>
      <c r="D26" s="34" t="s">
        <v>2337</v>
      </c>
      <c r="E26" s="31" t="s">
        <v>2328</v>
      </c>
      <c r="F26" s="31" t="s">
        <v>139</v>
      </c>
      <c r="G26" s="37" t="s">
        <v>210</v>
      </c>
      <c r="H26" s="37" t="s">
        <v>2232</v>
      </c>
      <c r="I26" s="31" t="s">
        <v>2328</v>
      </c>
      <c r="J26" s="30" t="s">
        <v>248</v>
      </c>
      <c r="K26" s="7" t="s">
        <v>2328</v>
      </c>
    </row>
    <row r="27" spans="1:11" ht="30" x14ac:dyDescent="0.25">
      <c r="A27" s="32" t="s">
        <v>249</v>
      </c>
      <c r="B27" s="31" t="b">
        <v>0</v>
      </c>
      <c r="C27" s="31">
        <v>4</v>
      </c>
      <c r="D27" s="35" t="s">
        <v>250</v>
      </c>
      <c r="E27" s="31" t="s">
        <v>2328</v>
      </c>
      <c r="F27" s="31" t="s">
        <v>131</v>
      </c>
      <c r="G27" s="37" t="s">
        <v>210</v>
      </c>
      <c r="H27" s="37" t="s">
        <v>2232</v>
      </c>
      <c r="I27" s="31" t="s">
        <v>2328</v>
      </c>
      <c r="J27" s="30" t="s">
        <v>251</v>
      </c>
      <c r="K27" s="7" t="s">
        <v>2328</v>
      </c>
    </row>
    <row r="28" spans="1:11" x14ac:dyDescent="0.25">
      <c r="A28" s="32" t="s">
        <v>3693</v>
      </c>
      <c r="B28" s="31" t="b">
        <v>0</v>
      </c>
      <c r="C28" s="31">
        <v>4</v>
      </c>
      <c r="D28" s="35" t="s">
        <v>3691</v>
      </c>
      <c r="E28" s="31" t="s">
        <v>2328</v>
      </c>
      <c r="F28" s="31" t="s">
        <v>131</v>
      </c>
      <c r="G28" s="37" t="s">
        <v>3692</v>
      </c>
      <c r="H28" s="37" t="s">
        <v>2473</v>
      </c>
      <c r="I28" s="31" t="s">
        <v>2328</v>
      </c>
      <c r="J28" s="30" t="s">
        <v>3780</v>
      </c>
      <c r="K28" s="7" t="s">
        <v>2328</v>
      </c>
    </row>
    <row r="29" spans="1:11" ht="105" x14ac:dyDescent="0.25">
      <c r="A29" s="32" t="s">
        <v>252</v>
      </c>
      <c r="B29" s="31" t="b">
        <v>0</v>
      </c>
      <c r="C29" s="31">
        <v>4</v>
      </c>
      <c r="D29" s="35" t="s">
        <v>253</v>
      </c>
      <c r="E29" s="31" t="s">
        <v>2328</v>
      </c>
      <c r="F29" s="31" t="s">
        <v>131</v>
      </c>
      <c r="G29" s="37" t="s">
        <v>210</v>
      </c>
      <c r="H29" s="37" t="s">
        <v>2232</v>
      </c>
      <c r="I29" s="31" t="s">
        <v>2328</v>
      </c>
      <c r="J29" s="30" t="s">
        <v>3851</v>
      </c>
      <c r="K29" s="7" t="s">
        <v>2328</v>
      </c>
    </row>
    <row r="30" spans="1:11" x14ac:dyDescent="0.25">
      <c r="A30" s="32" t="s">
        <v>254</v>
      </c>
      <c r="B30" s="31" t="b">
        <v>1</v>
      </c>
      <c r="C30" s="31">
        <v>2</v>
      </c>
      <c r="D30" s="34" t="s">
        <v>2338</v>
      </c>
      <c r="E30" s="31" t="s">
        <v>2328</v>
      </c>
      <c r="F30" s="31" t="s">
        <v>139</v>
      </c>
      <c r="G30" s="37" t="s">
        <v>210</v>
      </c>
      <c r="H30" s="37" t="s">
        <v>2232</v>
      </c>
      <c r="I30" s="31" t="s">
        <v>2328</v>
      </c>
      <c r="J30" s="30" t="s">
        <v>2328</v>
      </c>
      <c r="K30" s="7" t="s">
        <v>2328</v>
      </c>
    </row>
    <row r="31" spans="1:11" ht="60" x14ac:dyDescent="0.25">
      <c r="A31" s="32" t="s">
        <v>256</v>
      </c>
      <c r="B31" s="31" t="b">
        <v>0</v>
      </c>
      <c r="C31" s="31">
        <v>4</v>
      </c>
      <c r="D31" s="35" t="s">
        <v>257</v>
      </c>
      <c r="E31" s="31" t="s">
        <v>2328</v>
      </c>
      <c r="F31" s="31" t="s">
        <v>131</v>
      </c>
      <c r="G31" s="37" t="s">
        <v>210</v>
      </c>
      <c r="H31" s="37" t="s">
        <v>2232</v>
      </c>
      <c r="I31" s="31" t="s">
        <v>2328</v>
      </c>
      <c r="J31" s="30" t="s">
        <v>3852</v>
      </c>
      <c r="K31" s="7" t="s">
        <v>2328</v>
      </c>
    </row>
    <row r="32" spans="1:11" x14ac:dyDescent="0.25">
      <c r="A32" s="32" t="s">
        <v>258</v>
      </c>
      <c r="B32" s="31" t="b">
        <v>1</v>
      </c>
      <c r="C32" s="31">
        <v>2</v>
      </c>
      <c r="D32" s="34" t="s">
        <v>2339</v>
      </c>
      <c r="E32" s="31" t="s">
        <v>2328</v>
      </c>
      <c r="F32" s="31" t="s">
        <v>139</v>
      </c>
      <c r="G32" s="37" t="s">
        <v>210</v>
      </c>
      <c r="H32" s="37" t="s">
        <v>2232</v>
      </c>
      <c r="I32" s="31" t="s">
        <v>2328</v>
      </c>
      <c r="J32" s="30" t="s">
        <v>2328</v>
      </c>
      <c r="K32" s="7" t="s">
        <v>2328</v>
      </c>
    </row>
    <row r="33" spans="1:11" ht="255" x14ac:dyDescent="0.25">
      <c r="A33" s="32" t="s">
        <v>260</v>
      </c>
      <c r="B33" s="31" t="b">
        <v>0</v>
      </c>
      <c r="C33" s="31">
        <v>4</v>
      </c>
      <c r="D33" s="35" t="s">
        <v>261</v>
      </c>
      <c r="E33" s="31" t="s">
        <v>2328</v>
      </c>
      <c r="F33" s="31" t="s">
        <v>131</v>
      </c>
      <c r="G33" s="37" t="s">
        <v>210</v>
      </c>
      <c r="H33" s="37" t="s">
        <v>2232</v>
      </c>
      <c r="I33" s="31" t="s">
        <v>2328</v>
      </c>
      <c r="J33" s="30" t="s">
        <v>2446</v>
      </c>
      <c r="K33" s="7" t="s">
        <v>2328</v>
      </c>
    </row>
    <row r="34" spans="1:11" ht="30" x14ac:dyDescent="0.25">
      <c r="A34" s="32" t="s">
        <v>262</v>
      </c>
      <c r="B34" s="31" t="b">
        <v>1</v>
      </c>
      <c r="C34" s="31">
        <v>2</v>
      </c>
      <c r="D34" s="34" t="s">
        <v>2340</v>
      </c>
      <c r="E34" s="31" t="s">
        <v>2328</v>
      </c>
      <c r="F34" s="31" t="s">
        <v>139</v>
      </c>
      <c r="G34" s="37" t="s">
        <v>210</v>
      </c>
      <c r="H34" s="37" t="s">
        <v>2232</v>
      </c>
      <c r="I34" s="31" t="s">
        <v>2328</v>
      </c>
      <c r="J34" s="30" t="s">
        <v>264</v>
      </c>
      <c r="K34" s="7" t="s">
        <v>2328</v>
      </c>
    </row>
    <row r="35" spans="1:11" ht="409.5" x14ac:dyDescent="0.25">
      <c r="A35" s="32" t="s">
        <v>265</v>
      </c>
      <c r="B35" s="31" t="b">
        <v>0</v>
      </c>
      <c r="C35" s="31">
        <v>4</v>
      </c>
      <c r="D35" s="35" t="s">
        <v>266</v>
      </c>
      <c r="E35" s="31" t="s">
        <v>2328</v>
      </c>
      <c r="F35" s="31" t="s">
        <v>131</v>
      </c>
      <c r="G35" s="37" t="s">
        <v>210</v>
      </c>
      <c r="H35" s="37" t="s">
        <v>2232</v>
      </c>
      <c r="I35" s="31" t="s">
        <v>2328</v>
      </c>
      <c r="J35" s="30" t="s">
        <v>2447</v>
      </c>
      <c r="K35" s="7" t="s">
        <v>2328</v>
      </c>
    </row>
    <row r="36" spans="1:11" ht="45" x14ac:dyDescent="0.25">
      <c r="A36" s="32" t="s">
        <v>267</v>
      </c>
      <c r="B36" s="31" t="b">
        <v>1</v>
      </c>
      <c r="C36" s="31">
        <v>0</v>
      </c>
      <c r="D36" s="33" t="s">
        <v>2341</v>
      </c>
      <c r="E36" s="31" t="s">
        <v>2328</v>
      </c>
      <c r="F36" s="31" t="s">
        <v>139</v>
      </c>
      <c r="G36" s="37" t="s">
        <v>210</v>
      </c>
      <c r="H36" s="37" t="s">
        <v>2232</v>
      </c>
      <c r="I36" s="31" t="s">
        <v>2328</v>
      </c>
      <c r="J36" s="30" t="s">
        <v>269</v>
      </c>
      <c r="K36" s="7" t="s">
        <v>2328</v>
      </c>
    </row>
    <row r="37" spans="1:11" ht="409.5" x14ac:dyDescent="0.25">
      <c r="A37" s="32" t="s">
        <v>270</v>
      </c>
      <c r="B37" s="31" t="b">
        <v>0</v>
      </c>
      <c r="C37" s="31">
        <v>2</v>
      </c>
      <c r="D37" s="34" t="s">
        <v>271</v>
      </c>
      <c r="E37" s="31" t="s">
        <v>2328</v>
      </c>
      <c r="F37" s="31" t="s">
        <v>131</v>
      </c>
      <c r="G37" s="37" t="s">
        <v>210</v>
      </c>
      <c r="H37" s="37" t="s">
        <v>2232</v>
      </c>
      <c r="I37" s="31" t="s">
        <v>2328</v>
      </c>
      <c r="J37" s="30" t="s">
        <v>3784</v>
      </c>
      <c r="K37" s="7" t="s">
        <v>2328</v>
      </c>
    </row>
    <row r="38" spans="1:11" ht="409.5" x14ac:dyDescent="0.25">
      <c r="A38" s="32" t="s">
        <v>272</v>
      </c>
      <c r="B38" s="31" t="b">
        <v>0</v>
      </c>
      <c r="C38" s="31">
        <v>2</v>
      </c>
      <c r="D38" s="34" t="s">
        <v>273</v>
      </c>
      <c r="E38" s="31" t="s">
        <v>2328</v>
      </c>
      <c r="F38" s="31" t="s">
        <v>139</v>
      </c>
      <c r="G38" s="37" t="s">
        <v>210</v>
      </c>
      <c r="H38" s="37" t="s">
        <v>2232</v>
      </c>
      <c r="I38" s="31" t="s">
        <v>2328</v>
      </c>
      <c r="J38" s="30" t="s">
        <v>3406</v>
      </c>
      <c r="K38" s="7" t="s">
        <v>2328</v>
      </c>
    </row>
    <row r="39" spans="1:11" s="28" customFormat="1" x14ac:dyDescent="0.25">
      <c r="A39" s="32" t="s">
        <v>4002</v>
      </c>
      <c r="B39" s="31" t="b">
        <v>0</v>
      </c>
      <c r="C39" s="31">
        <v>2</v>
      </c>
      <c r="D39" s="58" t="s">
        <v>4001</v>
      </c>
      <c r="E39" s="31" t="s">
        <v>2328</v>
      </c>
      <c r="F39" s="31" t="s">
        <v>139</v>
      </c>
      <c r="G39" s="37" t="s">
        <v>4038</v>
      </c>
      <c r="H39" s="37" t="s">
        <v>2473</v>
      </c>
      <c r="I39" s="31"/>
      <c r="J39" s="59" t="s">
        <v>4035</v>
      </c>
      <c r="K39" s="31"/>
    </row>
    <row r="40" spans="1:11" x14ac:dyDescent="0.25">
      <c r="A40" s="32" t="s">
        <v>274</v>
      </c>
      <c r="B40" s="31" t="b">
        <v>1</v>
      </c>
      <c r="C40" s="31">
        <v>0</v>
      </c>
      <c r="D40" s="33" t="s">
        <v>2342</v>
      </c>
      <c r="E40" s="31" t="s">
        <v>2328</v>
      </c>
      <c r="F40" s="31" t="s">
        <v>139</v>
      </c>
      <c r="G40" s="37" t="s">
        <v>210</v>
      </c>
      <c r="H40" s="37" t="s">
        <v>2232</v>
      </c>
      <c r="I40" s="31" t="s">
        <v>2328</v>
      </c>
      <c r="J40" s="30" t="s">
        <v>2328</v>
      </c>
      <c r="K40" s="7" t="s">
        <v>2328</v>
      </c>
    </row>
    <row r="41" spans="1:11" x14ac:dyDescent="0.25">
      <c r="A41" s="32" t="s">
        <v>276</v>
      </c>
      <c r="B41" s="31" t="b">
        <v>1</v>
      </c>
      <c r="C41" s="31">
        <v>2</v>
      </c>
      <c r="D41" s="34" t="s">
        <v>2343</v>
      </c>
      <c r="E41" s="31" t="s">
        <v>2328</v>
      </c>
      <c r="F41" s="31" t="s">
        <v>139</v>
      </c>
      <c r="G41" s="37" t="s">
        <v>210</v>
      </c>
      <c r="H41" s="37" t="s">
        <v>2232</v>
      </c>
      <c r="I41" s="31" t="s">
        <v>2328</v>
      </c>
      <c r="J41" s="30" t="s">
        <v>2328</v>
      </c>
      <c r="K41" s="7" t="s">
        <v>2328</v>
      </c>
    </row>
    <row r="42" spans="1:11" ht="165" x14ac:dyDescent="0.25">
      <c r="A42" s="32" t="s">
        <v>278</v>
      </c>
      <c r="B42" s="31" t="b">
        <v>0</v>
      </c>
      <c r="C42" s="31">
        <v>4</v>
      </c>
      <c r="D42" s="35" t="s">
        <v>279</v>
      </c>
      <c r="E42" s="31" t="s">
        <v>2328</v>
      </c>
      <c r="F42" s="31" t="s">
        <v>131</v>
      </c>
      <c r="G42" s="37" t="s">
        <v>210</v>
      </c>
      <c r="H42" s="37" t="s">
        <v>2232</v>
      </c>
      <c r="I42" s="31" t="s">
        <v>2328</v>
      </c>
      <c r="J42" s="30" t="s">
        <v>3785</v>
      </c>
      <c r="K42" s="7" t="s">
        <v>2328</v>
      </c>
    </row>
    <row r="43" spans="1:11" x14ac:dyDescent="0.25">
      <c r="A43" s="32" t="s">
        <v>280</v>
      </c>
      <c r="B43" s="31" t="b">
        <v>1</v>
      </c>
      <c r="C43" s="31">
        <v>2</v>
      </c>
      <c r="D43" s="34" t="s">
        <v>2344</v>
      </c>
      <c r="E43" s="31" t="s">
        <v>2328</v>
      </c>
      <c r="F43" s="31" t="s">
        <v>139</v>
      </c>
      <c r="G43" s="37" t="s">
        <v>210</v>
      </c>
      <c r="H43" s="37" t="s">
        <v>2232</v>
      </c>
      <c r="I43" s="31" t="s">
        <v>2328</v>
      </c>
      <c r="J43" s="30" t="s">
        <v>2328</v>
      </c>
      <c r="K43" s="7" t="s">
        <v>2328</v>
      </c>
    </row>
    <row r="44" spans="1:11" ht="30" x14ac:dyDescent="0.25">
      <c r="A44" s="32" t="s">
        <v>282</v>
      </c>
      <c r="B44" s="31" t="b">
        <v>0</v>
      </c>
      <c r="C44" s="31">
        <v>4</v>
      </c>
      <c r="D44" s="35" t="s">
        <v>283</v>
      </c>
      <c r="E44" s="31" t="s">
        <v>2328</v>
      </c>
      <c r="F44" s="31" t="s">
        <v>131</v>
      </c>
      <c r="G44" s="37" t="s">
        <v>210</v>
      </c>
      <c r="H44" s="37" t="s">
        <v>2232</v>
      </c>
      <c r="I44" s="31" t="s">
        <v>2328</v>
      </c>
      <c r="J44" s="30" t="s">
        <v>284</v>
      </c>
      <c r="K44" s="7" t="s">
        <v>2328</v>
      </c>
    </row>
    <row r="45" spans="1:11" x14ac:dyDescent="0.25">
      <c r="A45" s="32" t="s">
        <v>285</v>
      </c>
      <c r="B45" s="31" t="b">
        <v>1</v>
      </c>
      <c r="C45" s="31">
        <v>2</v>
      </c>
      <c r="D45" s="34" t="s">
        <v>2345</v>
      </c>
      <c r="E45" s="31" t="s">
        <v>2328</v>
      </c>
      <c r="F45" s="31" t="s">
        <v>139</v>
      </c>
      <c r="G45" s="37" t="s">
        <v>210</v>
      </c>
      <c r="H45" s="37" t="s">
        <v>2232</v>
      </c>
      <c r="I45" s="31" t="s">
        <v>2328</v>
      </c>
      <c r="J45" s="30" t="s">
        <v>2328</v>
      </c>
      <c r="K45" s="7" t="s">
        <v>2328</v>
      </c>
    </row>
    <row r="46" spans="1:11" ht="60" x14ac:dyDescent="0.25">
      <c r="A46" s="32" t="s">
        <v>286</v>
      </c>
      <c r="B46" s="31" t="b">
        <v>0</v>
      </c>
      <c r="C46" s="31">
        <v>4</v>
      </c>
      <c r="D46" s="35" t="s">
        <v>287</v>
      </c>
      <c r="E46" s="31" t="s">
        <v>2328</v>
      </c>
      <c r="F46" s="31" t="s">
        <v>131</v>
      </c>
      <c r="G46" s="37" t="s">
        <v>210</v>
      </c>
      <c r="H46" s="37" t="s">
        <v>2232</v>
      </c>
      <c r="I46" s="31" t="s">
        <v>2328</v>
      </c>
      <c r="J46" s="30" t="s">
        <v>2449</v>
      </c>
      <c r="K46" s="7" t="s">
        <v>2328</v>
      </c>
    </row>
    <row r="47" spans="1:11" ht="75" x14ac:dyDescent="0.25">
      <c r="A47" s="32" t="s">
        <v>288</v>
      </c>
      <c r="B47" s="31" t="b">
        <v>0</v>
      </c>
      <c r="C47" s="31">
        <v>4</v>
      </c>
      <c r="D47" s="35" t="s">
        <v>2450</v>
      </c>
      <c r="E47" s="31" t="s">
        <v>2328</v>
      </c>
      <c r="F47" s="31" t="s">
        <v>131</v>
      </c>
      <c r="G47" s="37" t="s">
        <v>210</v>
      </c>
      <c r="H47" s="37" t="s">
        <v>2232</v>
      </c>
      <c r="I47" s="31" t="s">
        <v>2328</v>
      </c>
      <c r="J47" s="30" t="s">
        <v>289</v>
      </c>
      <c r="K47" s="7" t="s">
        <v>2328</v>
      </c>
    </row>
    <row r="48" spans="1:11" ht="60" x14ac:dyDescent="0.25">
      <c r="A48" s="32" t="s">
        <v>290</v>
      </c>
      <c r="B48" s="31" t="b">
        <v>0</v>
      </c>
      <c r="C48" s="31">
        <v>4</v>
      </c>
      <c r="D48" s="35" t="s">
        <v>291</v>
      </c>
      <c r="E48" s="31" t="s">
        <v>2328</v>
      </c>
      <c r="F48" s="31" t="s">
        <v>131</v>
      </c>
      <c r="G48" s="37" t="s">
        <v>210</v>
      </c>
      <c r="H48" s="37" t="s">
        <v>2232</v>
      </c>
      <c r="I48" s="31" t="s">
        <v>2328</v>
      </c>
      <c r="J48" s="30" t="s">
        <v>2451</v>
      </c>
      <c r="K48" s="7" t="s">
        <v>2328</v>
      </c>
    </row>
    <row r="49" spans="1:11" x14ac:dyDescent="0.25">
      <c r="A49" s="32" t="s">
        <v>292</v>
      </c>
      <c r="B49" s="31" t="b">
        <v>1</v>
      </c>
      <c r="C49" s="31">
        <v>0</v>
      </c>
      <c r="D49" s="33" t="s">
        <v>2346</v>
      </c>
      <c r="E49" s="31" t="s">
        <v>2328</v>
      </c>
      <c r="F49" s="31" t="s">
        <v>139</v>
      </c>
      <c r="G49" s="37" t="s">
        <v>210</v>
      </c>
      <c r="H49" s="37" t="s">
        <v>2232</v>
      </c>
      <c r="I49" s="31" t="s">
        <v>2328</v>
      </c>
      <c r="J49" s="30" t="s">
        <v>2328</v>
      </c>
      <c r="K49" s="7" t="s">
        <v>2328</v>
      </c>
    </row>
    <row r="50" spans="1:11" ht="75" x14ac:dyDescent="0.25">
      <c r="A50" s="32" t="s">
        <v>294</v>
      </c>
      <c r="B50" s="31" t="b">
        <v>0</v>
      </c>
      <c r="C50" s="31">
        <v>2</v>
      </c>
      <c r="D50" s="34" t="s">
        <v>295</v>
      </c>
      <c r="E50" s="31" t="s">
        <v>2328</v>
      </c>
      <c r="F50" s="31" t="s">
        <v>131</v>
      </c>
      <c r="G50" s="37" t="s">
        <v>210</v>
      </c>
      <c r="H50" s="37" t="s">
        <v>2232</v>
      </c>
      <c r="I50" s="31" t="s">
        <v>2328</v>
      </c>
      <c r="J50" s="30" t="s">
        <v>2452</v>
      </c>
      <c r="K50" s="7" t="s">
        <v>2328</v>
      </c>
    </row>
    <row r="51" spans="1:11" ht="120" x14ac:dyDescent="0.25">
      <c r="A51" s="32" t="s">
        <v>296</v>
      </c>
      <c r="B51" s="31" t="b">
        <v>0</v>
      </c>
      <c r="C51" s="31">
        <v>2</v>
      </c>
      <c r="D51" s="34" t="s">
        <v>297</v>
      </c>
      <c r="E51" s="31" t="s">
        <v>2328</v>
      </c>
      <c r="F51" s="31" t="s">
        <v>131</v>
      </c>
      <c r="G51" s="37" t="s">
        <v>210</v>
      </c>
      <c r="H51" s="37" t="s">
        <v>2232</v>
      </c>
      <c r="I51" s="31" t="s">
        <v>2328</v>
      </c>
      <c r="J51" s="30" t="s">
        <v>2453</v>
      </c>
      <c r="K51" s="7" t="s">
        <v>2328</v>
      </c>
    </row>
    <row r="52" spans="1:11" x14ac:dyDescent="0.25">
      <c r="A52" s="32" t="s">
        <v>298</v>
      </c>
      <c r="B52" s="31" t="b">
        <v>1</v>
      </c>
      <c r="C52" s="31">
        <v>0</v>
      </c>
      <c r="D52" s="33" t="s">
        <v>2347</v>
      </c>
      <c r="E52" s="31" t="s">
        <v>2328</v>
      </c>
      <c r="F52" s="31" t="s">
        <v>139</v>
      </c>
      <c r="G52" s="37" t="s">
        <v>210</v>
      </c>
      <c r="H52" s="37" t="s">
        <v>2232</v>
      </c>
      <c r="I52" s="31" t="s">
        <v>2328</v>
      </c>
      <c r="J52" s="30" t="s">
        <v>300</v>
      </c>
      <c r="K52" s="7" t="s">
        <v>2328</v>
      </c>
    </row>
    <row r="53" spans="1:11" x14ac:dyDescent="0.25">
      <c r="A53" s="32" t="s">
        <v>301</v>
      </c>
      <c r="B53" s="31" t="b">
        <v>1</v>
      </c>
      <c r="C53" s="31">
        <v>2</v>
      </c>
      <c r="D53" s="34" t="s">
        <v>2348</v>
      </c>
      <c r="E53" s="31" t="s">
        <v>2328</v>
      </c>
      <c r="F53" s="31" t="s">
        <v>139</v>
      </c>
      <c r="G53" s="37" t="s">
        <v>210</v>
      </c>
      <c r="H53" s="37" t="s">
        <v>2232</v>
      </c>
      <c r="I53" s="31" t="s">
        <v>2328</v>
      </c>
      <c r="J53" s="30" t="s">
        <v>2328</v>
      </c>
      <c r="K53" s="7" t="s">
        <v>2328</v>
      </c>
    </row>
    <row r="54" spans="1:11" ht="409.5" x14ac:dyDescent="0.25">
      <c r="A54" s="32" t="s">
        <v>303</v>
      </c>
      <c r="B54" s="31" t="b">
        <v>0</v>
      </c>
      <c r="C54" s="31">
        <v>4</v>
      </c>
      <c r="D54" s="35" t="s">
        <v>304</v>
      </c>
      <c r="E54" s="31" t="s">
        <v>2328</v>
      </c>
      <c r="F54" s="31" t="s">
        <v>131</v>
      </c>
      <c r="G54" s="37" t="s">
        <v>210</v>
      </c>
      <c r="H54" s="37" t="s">
        <v>2232</v>
      </c>
      <c r="I54" s="31" t="s">
        <v>2328</v>
      </c>
      <c r="J54" s="30" t="s">
        <v>3407</v>
      </c>
      <c r="K54" s="7" t="s">
        <v>2328</v>
      </c>
    </row>
    <row r="55" spans="1:11" ht="409.5" x14ac:dyDescent="0.25">
      <c r="A55" s="32" t="s">
        <v>305</v>
      </c>
      <c r="B55" s="31" t="b">
        <v>0</v>
      </c>
      <c r="C55" s="31">
        <v>4</v>
      </c>
      <c r="D55" s="35" t="s">
        <v>306</v>
      </c>
      <c r="E55" s="31" t="s">
        <v>2328</v>
      </c>
      <c r="F55" s="31" t="s">
        <v>131</v>
      </c>
      <c r="G55" s="37" t="s">
        <v>210</v>
      </c>
      <c r="H55" s="37" t="s">
        <v>2232</v>
      </c>
      <c r="I55" s="31" t="s">
        <v>2328</v>
      </c>
      <c r="J55" s="30" t="s">
        <v>3401</v>
      </c>
      <c r="K55" s="7" t="s">
        <v>2328</v>
      </c>
    </row>
    <row r="56" spans="1:11" x14ac:dyDescent="0.25">
      <c r="A56" s="32" t="s">
        <v>2454</v>
      </c>
      <c r="B56" s="31" t="b">
        <v>1</v>
      </c>
      <c r="C56" s="31">
        <v>2</v>
      </c>
      <c r="D56" s="34" t="s">
        <v>2396</v>
      </c>
      <c r="E56" s="31" t="s">
        <v>2328</v>
      </c>
      <c r="F56" s="31" t="s">
        <v>139</v>
      </c>
      <c r="G56" s="37" t="s">
        <v>210</v>
      </c>
      <c r="H56" s="37" t="s">
        <v>2232</v>
      </c>
      <c r="I56" s="31" t="s">
        <v>2328</v>
      </c>
      <c r="J56" s="30" t="s">
        <v>2328</v>
      </c>
      <c r="K56" s="7" t="s">
        <v>2328</v>
      </c>
    </row>
    <row r="57" spans="1:11" ht="150" x14ac:dyDescent="0.25">
      <c r="A57" s="32" t="s">
        <v>307</v>
      </c>
      <c r="B57" s="31" t="b">
        <v>0</v>
      </c>
      <c r="C57" s="31">
        <v>4</v>
      </c>
      <c r="D57" s="35" t="s">
        <v>308</v>
      </c>
      <c r="E57" s="31" t="s">
        <v>2328</v>
      </c>
      <c r="F57" s="31" t="s">
        <v>131</v>
      </c>
      <c r="G57" s="37" t="s">
        <v>210</v>
      </c>
      <c r="H57" s="37" t="s">
        <v>2232</v>
      </c>
      <c r="I57" s="31" t="s">
        <v>2328</v>
      </c>
      <c r="J57" s="30" t="s">
        <v>2455</v>
      </c>
      <c r="K57" s="7" t="s">
        <v>2328</v>
      </c>
    </row>
    <row r="58" spans="1:11" x14ac:dyDescent="0.25">
      <c r="A58" s="32" t="s">
        <v>2456</v>
      </c>
      <c r="B58" s="31" t="b">
        <v>1</v>
      </c>
      <c r="C58" s="31">
        <v>2</v>
      </c>
      <c r="D58" s="34" t="s">
        <v>2427</v>
      </c>
      <c r="E58" s="31" t="s">
        <v>2328</v>
      </c>
      <c r="F58" s="31" t="s">
        <v>139</v>
      </c>
      <c r="G58" s="37" t="s">
        <v>210</v>
      </c>
      <c r="H58" s="37" t="s">
        <v>2232</v>
      </c>
      <c r="I58" s="31" t="s">
        <v>2328</v>
      </c>
      <c r="J58" s="30" t="s">
        <v>2328</v>
      </c>
      <c r="K58" s="7" t="s">
        <v>2328</v>
      </c>
    </row>
    <row r="59" spans="1:11" ht="409.5" x14ac:dyDescent="0.25">
      <c r="A59" s="32" t="s">
        <v>309</v>
      </c>
      <c r="B59" s="31" t="b">
        <v>0</v>
      </c>
      <c r="C59" s="31">
        <v>4</v>
      </c>
      <c r="D59" s="35" t="s">
        <v>2251</v>
      </c>
      <c r="E59" s="31" t="s">
        <v>2328</v>
      </c>
      <c r="F59" s="31" t="s">
        <v>131</v>
      </c>
      <c r="G59" s="37" t="s">
        <v>210</v>
      </c>
      <c r="H59" s="37" t="s">
        <v>2232</v>
      </c>
      <c r="I59" s="31" t="s">
        <v>2328</v>
      </c>
      <c r="J59" s="30" t="s">
        <v>2457</v>
      </c>
      <c r="K59" s="7" t="s">
        <v>2328</v>
      </c>
    </row>
    <row r="60" spans="1:11" x14ac:dyDescent="0.25">
      <c r="A60" s="32" t="s">
        <v>310</v>
      </c>
      <c r="B60" s="31" t="b">
        <v>1</v>
      </c>
      <c r="C60" s="31">
        <v>2</v>
      </c>
      <c r="D60" s="34" t="s">
        <v>2349</v>
      </c>
      <c r="E60" s="31" t="s">
        <v>2328</v>
      </c>
      <c r="F60" s="31" t="s">
        <v>139</v>
      </c>
      <c r="G60" s="37" t="s">
        <v>210</v>
      </c>
      <c r="H60" s="37" t="s">
        <v>2232</v>
      </c>
      <c r="I60" s="31" t="s">
        <v>2328</v>
      </c>
      <c r="J60" s="30" t="s">
        <v>2328</v>
      </c>
      <c r="K60" s="7" t="s">
        <v>2328</v>
      </c>
    </row>
    <row r="61" spans="1:11" ht="409.5" x14ac:dyDescent="0.25">
      <c r="A61" s="32" t="s">
        <v>312</v>
      </c>
      <c r="B61" s="31" t="b">
        <v>0</v>
      </c>
      <c r="C61" s="31">
        <v>4</v>
      </c>
      <c r="D61" s="35" t="s">
        <v>313</v>
      </c>
      <c r="E61" s="31" t="s">
        <v>2328</v>
      </c>
      <c r="F61" s="31" t="s">
        <v>131</v>
      </c>
      <c r="G61" s="37" t="s">
        <v>210</v>
      </c>
      <c r="H61" s="37" t="s">
        <v>2232</v>
      </c>
      <c r="I61" s="31" t="s">
        <v>2328</v>
      </c>
      <c r="J61" s="30" t="s">
        <v>2458</v>
      </c>
      <c r="K61" s="7" t="s">
        <v>2328</v>
      </c>
    </row>
    <row r="62" spans="1:11" x14ac:dyDescent="0.25">
      <c r="A62" s="32" t="s">
        <v>2459</v>
      </c>
      <c r="B62" s="31" t="b">
        <v>1</v>
      </c>
      <c r="C62" s="31">
        <v>0</v>
      </c>
      <c r="D62" s="31" t="s">
        <v>2436</v>
      </c>
      <c r="E62" s="31" t="s">
        <v>2328</v>
      </c>
      <c r="F62" s="31" t="s">
        <v>139</v>
      </c>
      <c r="G62" s="37" t="s">
        <v>210</v>
      </c>
      <c r="H62" s="37" t="s">
        <v>2232</v>
      </c>
      <c r="I62" s="31" t="s">
        <v>2328</v>
      </c>
      <c r="J62" s="30" t="s">
        <v>2328</v>
      </c>
      <c r="K62" s="7" t="s">
        <v>2328</v>
      </c>
    </row>
    <row r="63" spans="1:11" ht="150" x14ac:dyDescent="0.25">
      <c r="A63" s="32" t="s">
        <v>1261</v>
      </c>
      <c r="B63" s="31" t="b">
        <v>0</v>
      </c>
      <c r="C63" s="31">
        <v>2</v>
      </c>
      <c r="D63" s="34" t="s">
        <v>2461</v>
      </c>
      <c r="E63" s="31" t="s">
        <v>2328</v>
      </c>
      <c r="F63" s="31" t="s">
        <v>131</v>
      </c>
      <c r="G63" s="37" t="s">
        <v>210</v>
      </c>
      <c r="H63" s="37" t="s">
        <v>2232</v>
      </c>
      <c r="I63" s="31" t="s">
        <v>2328</v>
      </c>
      <c r="J63" s="30" t="s">
        <v>2462</v>
      </c>
      <c r="K63" s="7" t="s">
        <v>2328</v>
      </c>
    </row>
    <row r="64" spans="1:11" x14ac:dyDescent="0.25">
      <c r="A64" s="32" t="s">
        <v>314</v>
      </c>
      <c r="B64" s="31" t="b">
        <v>1</v>
      </c>
      <c r="C64" s="31">
        <v>0</v>
      </c>
      <c r="D64" s="33" t="s">
        <v>2350</v>
      </c>
      <c r="E64" s="31" t="s">
        <v>2328</v>
      </c>
      <c r="F64" s="31" t="s">
        <v>139</v>
      </c>
      <c r="G64" s="37" t="s">
        <v>210</v>
      </c>
      <c r="H64" s="37" t="s">
        <v>2232</v>
      </c>
      <c r="I64" s="31" t="s">
        <v>2328</v>
      </c>
      <c r="J64" s="30" t="s">
        <v>316</v>
      </c>
      <c r="K64" s="7" t="s">
        <v>2328</v>
      </c>
    </row>
    <row r="65" spans="1:11" ht="165" x14ac:dyDescent="0.25">
      <c r="A65" s="32" t="s">
        <v>317</v>
      </c>
      <c r="B65" s="31" t="b">
        <v>0</v>
      </c>
      <c r="C65" s="31">
        <v>2</v>
      </c>
      <c r="D65" s="34" t="s">
        <v>318</v>
      </c>
      <c r="E65" s="31" t="s">
        <v>2328</v>
      </c>
      <c r="F65" s="31" t="s">
        <v>131</v>
      </c>
      <c r="G65" s="37" t="s">
        <v>210</v>
      </c>
      <c r="H65" s="37" t="s">
        <v>2232</v>
      </c>
      <c r="I65" s="31" t="s">
        <v>2328</v>
      </c>
      <c r="J65" s="30" t="s">
        <v>2463</v>
      </c>
      <c r="K65" s="7" t="s">
        <v>2328</v>
      </c>
    </row>
    <row r="66" spans="1:11" x14ac:dyDescent="0.25">
      <c r="A66" s="32" t="s">
        <v>319</v>
      </c>
      <c r="B66" s="31" t="b">
        <v>1</v>
      </c>
      <c r="C66" s="31">
        <v>2</v>
      </c>
      <c r="D66" s="34" t="s">
        <v>2351</v>
      </c>
      <c r="E66" s="31" t="s">
        <v>2328</v>
      </c>
      <c r="F66" s="31" t="s">
        <v>139</v>
      </c>
      <c r="G66" s="37" t="s">
        <v>210</v>
      </c>
      <c r="H66" s="37" t="s">
        <v>2232</v>
      </c>
      <c r="I66" s="31" t="s">
        <v>2328</v>
      </c>
      <c r="J66" s="30" t="s">
        <v>2328</v>
      </c>
      <c r="K66" s="7" t="s">
        <v>2328</v>
      </c>
    </row>
    <row r="67" spans="1:11" ht="30" x14ac:dyDescent="0.25">
      <c r="A67" s="32" t="s">
        <v>321</v>
      </c>
      <c r="B67" s="31" t="b">
        <v>0</v>
      </c>
      <c r="C67" s="31">
        <v>4</v>
      </c>
      <c r="D67" s="35" t="s">
        <v>55</v>
      </c>
      <c r="E67" s="31" t="s">
        <v>2328</v>
      </c>
      <c r="F67" s="31" t="s">
        <v>131</v>
      </c>
      <c r="G67" s="37" t="s">
        <v>210</v>
      </c>
      <c r="H67" s="37" t="s">
        <v>2232</v>
      </c>
      <c r="I67" s="31" t="s">
        <v>322</v>
      </c>
      <c r="J67" s="30" t="s">
        <v>2328</v>
      </c>
      <c r="K67" s="7" t="s">
        <v>2328</v>
      </c>
    </row>
    <row r="68" spans="1:11" x14ac:dyDescent="0.25">
      <c r="A68" s="32" t="s">
        <v>323</v>
      </c>
      <c r="B68" s="31" t="b">
        <v>1</v>
      </c>
      <c r="C68" s="31">
        <v>0</v>
      </c>
      <c r="D68" s="33" t="s">
        <v>2352</v>
      </c>
      <c r="E68" s="31" t="s">
        <v>2328</v>
      </c>
      <c r="F68" s="31" t="s">
        <v>139</v>
      </c>
      <c r="G68" s="37" t="s">
        <v>210</v>
      </c>
      <c r="H68" s="37" t="s">
        <v>2232</v>
      </c>
      <c r="I68" s="31" t="s">
        <v>2328</v>
      </c>
      <c r="J68" s="30" t="s">
        <v>324</v>
      </c>
      <c r="K68" s="7" t="s">
        <v>2328</v>
      </c>
    </row>
    <row r="69" spans="1:11" x14ac:dyDescent="0.25">
      <c r="A69" s="32" t="s">
        <v>325</v>
      </c>
      <c r="B69" s="31" t="b">
        <v>0</v>
      </c>
      <c r="C69" s="31">
        <v>2</v>
      </c>
      <c r="D69" s="34" t="s">
        <v>326</v>
      </c>
      <c r="E69" s="31" t="s">
        <v>2328</v>
      </c>
      <c r="F69" s="31" t="s">
        <v>139</v>
      </c>
      <c r="G69" s="37" t="s">
        <v>210</v>
      </c>
      <c r="H69" s="37" t="s">
        <v>2232</v>
      </c>
      <c r="I69" s="31" t="s">
        <v>2328</v>
      </c>
      <c r="J69" s="30" t="s">
        <v>2328</v>
      </c>
      <c r="K69" s="7" t="s">
        <v>2328</v>
      </c>
    </row>
    <row r="70" spans="1:11" x14ac:dyDescent="0.25">
      <c r="A70" s="32" t="s">
        <v>327</v>
      </c>
      <c r="B70" s="31" t="b">
        <v>1</v>
      </c>
      <c r="C70" s="31">
        <v>2</v>
      </c>
      <c r="D70" s="34" t="s">
        <v>2353</v>
      </c>
      <c r="E70" s="31" t="s">
        <v>2328</v>
      </c>
      <c r="F70" s="31" t="s">
        <v>139</v>
      </c>
      <c r="G70" s="37" t="s">
        <v>210</v>
      </c>
      <c r="H70" s="37" t="s">
        <v>2232</v>
      </c>
      <c r="I70" s="31" t="s">
        <v>2328</v>
      </c>
      <c r="J70" s="30" t="s">
        <v>328</v>
      </c>
      <c r="K70" s="7" t="s">
        <v>2328</v>
      </c>
    </row>
    <row r="71" spans="1:11" ht="90" x14ac:dyDescent="0.25">
      <c r="A71" s="32" t="s">
        <v>329</v>
      </c>
      <c r="B71" s="31" t="b">
        <v>0</v>
      </c>
      <c r="C71" s="31">
        <v>4</v>
      </c>
      <c r="D71" s="35" t="s">
        <v>330</v>
      </c>
      <c r="E71" s="31" t="s">
        <v>2328</v>
      </c>
      <c r="F71" s="31" t="s">
        <v>131</v>
      </c>
      <c r="G71" s="37" t="s">
        <v>210</v>
      </c>
      <c r="H71" s="37" t="s">
        <v>2232</v>
      </c>
      <c r="I71" s="31" t="s">
        <v>2328</v>
      </c>
      <c r="J71" s="30" t="s">
        <v>2464</v>
      </c>
      <c r="K71" s="7" t="s">
        <v>2328</v>
      </c>
    </row>
    <row r="72" spans="1:11" ht="90" x14ac:dyDescent="0.25">
      <c r="A72" s="32" t="s">
        <v>331</v>
      </c>
      <c r="B72" s="31" t="b">
        <v>0</v>
      </c>
      <c r="C72" s="31">
        <v>4</v>
      </c>
      <c r="D72" s="35" t="s">
        <v>332</v>
      </c>
      <c r="E72" s="31" t="s">
        <v>2328</v>
      </c>
      <c r="F72" s="31" t="s">
        <v>131</v>
      </c>
      <c r="G72" s="37" t="s">
        <v>210</v>
      </c>
      <c r="H72" s="37" t="s">
        <v>2232</v>
      </c>
      <c r="I72" s="31" t="s">
        <v>2328</v>
      </c>
      <c r="J72" s="30" t="s">
        <v>2465</v>
      </c>
      <c r="K72" s="7" t="s">
        <v>2328</v>
      </c>
    </row>
    <row r="73" spans="1:11" x14ac:dyDescent="0.25">
      <c r="A73" s="32" t="s">
        <v>333</v>
      </c>
      <c r="B73" s="31" t="b">
        <v>1</v>
      </c>
      <c r="C73" s="31">
        <v>2</v>
      </c>
      <c r="D73" s="34" t="s">
        <v>2354</v>
      </c>
      <c r="E73" s="31" t="s">
        <v>2328</v>
      </c>
      <c r="F73" s="31" t="s">
        <v>139</v>
      </c>
      <c r="G73" s="37" t="s">
        <v>210</v>
      </c>
      <c r="H73" s="37" t="s">
        <v>2232</v>
      </c>
      <c r="I73" s="31" t="s">
        <v>2328</v>
      </c>
      <c r="J73" s="30" t="s">
        <v>334</v>
      </c>
      <c r="K73" s="7" t="s">
        <v>2328</v>
      </c>
    </row>
    <row r="74" spans="1:11" x14ac:dyDescent="0.25">
      <c r="A74" s="32" t="s">
        <v>335</v>
      </c>
      <c r="B74" s="31" t="b">
        <v>0</v>
      </c>
      <c r="C74" s="31">
        <v>4</v>
      </c>
      <c r="D74" s="35" t="s">
        <v>336</v>
      </c>
      <c r="E74" s="31" t="s">
        <v>2328</v>
      </c>
      <c r="F74" s="31" t="s">
        <v>139</v>
      </c>
      <c r="G74" s="37" t="s">
        <v>210</v>
      </c>
      <c r="H74" s="37" t="s">
        <v>2232</v>
      </c>
      <c r="I74" s="31" t="s">
        <v>2328</v>
      </c>
      <c r="J74" s="30" t="s">
        <v>2328</v>
      </c>
      <c r="K74" s="7" t="s">
        <v>2328</v>
      </c>
    </row>
    <row r="75" spans="1:11" ht="409.5" x14ac:dyDescent="0.25">
      <c r="A75" s="32" t="s">
        <v>1304</v>
      </c>
      <c r="B75" s="31" t="b">
        <v>0</v>
      </c>
      <c r="C75" s="31">
        <v>4</v>
      </c>
      <c r="D75" s="35" t="s">
        <v>2466</v>
      </c>
      <c r="E75" s="31" t="s">
        <v>2328</v>
      </c>
      <c r="F75" s="31" t="s">
        <v>131</v>
      </c>
      <c r="G75" s="37" t="s">
        <v>210</v>
      </c>
      <c r="H75" s="37" t="s">
        <v>2232</v>
      </c>
      <c r="I75" s="31" t="s">
        <v>2328</v>
      </c>
      <c r="J75" s="30" t="s">
        <v>3853</v>
      </c>
      <c r="K75" s="7" t="s">
        <v>2328</v>
      </c>
    </row>
    <row r="76" spans="1:11" x14ac:dyDescent="0.25">
      <c r="A76" s="32" t="s">
        <v>337</v>
      </c>
      <c r="B76" s="31" t="b">
        <v>1</v>
      </c>
      <c r="C76" s="31">
        <v>2</v>
      </c>
      <c r="D76" s="34" t="s">
        <v>2355</v>
      </c>
      <c r="E76" s="31" t="s">
        <v>2328</v>
      </c>
      <c r="F76" s="31" t="s">
        <v>139</v>
      </c>
      <c r="G76" s="37" t="s">
        <v>210</v>
      </c>
      <c r="H76" s="37" t="s">
        <v>2232</v>
      </c>
      <c r="I76" s="31" t="s">
        <v>2328</v>
      </c>
      <c r="J76" s="30" t="s">
        <v>339</v>
      </c>
      <c r="K76" s="7" t="s">
        <v>2328</v>
      </c>
    </row>
    <row r="77" spans="1:11" x14ac:dyDescent="0.25">
      <c r="A77" s="32" t="s">
        <v>340</v>
      </c>
      <c r="B77" s="31" t="b">
        <v>1</v>
      </c>
      <c r="C77" s="31">
        <v>4</v>
      </c>
      <c r="D77" s="35" t="s">
        <v>2356</v>
      </c>
      <c r="E77" s="31" t="s">
        <v>2328</v>
      </c>
      <c r="F77" s="31" t="s">
        <v>139</v>
      </c>
      <c r="G77" s="37" t="s">
        <v>210</v>
      </c>
      <c r="H77" s="37" t="s">
        <v>2232</v>
      </c>
      <c r="I77" s="31" t="s">
        <v>2328</v>
      </c>
      <c r="J77" s="30" t="s">
        <v>342</v>
      </c>
      <c r="K77" s="7" t="s">
        <v>2328</v>
      </c>
    </row>
    <row r="78" spans="1:11" ht="105" x14ac:dyDescent="0.25">
      <c r="A78" s="32" t="s">
        <v>343</v>
      </c>
      <c r="B78" s="31" t="b">
        <v>0</v>
      </c>
      <c r="C78" s="31">
        <v>6</v>
      </c>
      <c r="D78" s="38" t="s">
        <v>344</v>
      </c>
      <c r="E78" s="31" t="s">
        <v>2328</v>
      </c>
      <c r="F78" s="31" t="s">
        <v>131</v>
      </c>
      <c r="G78" s="37" t="s">
        <v>210</v>
      </c>
      <c r="H78" s="37" t="s">
        <v>2232</v>
      </c>
      <c r="I78" s="31" t="s">
        <v>2328</v>
      </c>
      <c r="J78" s="30" t="s">
        <v>2467</v>
      </c>
      <c r="K78" s="7" t="s">
        <v>2328</v>
      </c>
    </row>
    <row r="79" spans="1:11" x14ac:dyDescent="0.25">
      <c r="A79" s="32" t="s">
        <v>345</v>
      </c>
      <c r="B79" s="31" t="b">
        <v>0</v>
      </c>
      <c r="C79" s="31">
        <v>6</v>
      </c>
      <c r="D79" s="38" t="s">
        <v>346</v>
      </c>
      <c r="E79" s="31" t="s">
        <v>2328</v>
      </c>
      <c r="F79" s="31" t="s">
        <v>131</v>
      </c>
      <c r="G79" s="37" t="s">
        <v>210</v>
      </c>
      <c r="H79" s="37" t="s">
        <v>2232</v>
      </c>
      <c r="I79" s="31" t="s">
        <v>2328</v>
      </c>
      <c r="J79" s="30" t="s">
        <v>2328</v>
      </c>
      <c r="K79" s="7" t="s">
        <v>2328</v>
      </c>
    </row>
    <row r="80" spans="1:11" x14ac:dyDescent="0.25">
      <c r="A80" s="32" t="s">
        <v>347</v>
      </c>
      <c r="B80" s="31" t="b">
        <v>1</v>
      </c>
      <c r="C80" s="31">
        <v>4</v>
      </c>
      <c r="D80" s="35" t="s">
        <v>2357</v>
      </c>
      <c r="E80" s="31" t="s">
        <v>2328</v>
      </c>
      <c r="F80" s="31" t="s">
        <v>139</v>
      </c>
      <c r="G80" s="37" t="s">
        <v>210</v>
      </c>
      <c r="H80" s="37" t="s">
        <v>2232</v>
      </c>
      <c r="I80" s="31" t="s">
        <v>2328</v>
      </c>
      <c r="J80" s="30" t="s">
        <v>349</v>
      </c>
      <c r="K80" s="7" t="s">
        <v>2328</v>
      </c>
    </row>
    <row r="81" spans="1:11" ht="45" x14ac:dyDescent="0.25">
      <c r="A81" s="32" t="s">
        <v>350</v>
      </c>
      <c r="B81" s="31" t="b">
        <v>0</v>
      </c>
      <c r="C81" s="31">
        <v>6</v>
      </c>
      <c r="D81" s="38" t="s">
        <v>351</v>
      </c>
      <c r="E81" s="31" t="s">
        <v>2328</v>
      </c>
      <c r="F81" s="31" t="s">
        <v>131</v>
      </c>
      <c r="G81" s="37" t="s">
        <v>210</v>
      </c>
      <c r="H81" s="37" t="s">
        <v>2232</v>
      </c>
      <c r="I81" s="31" t="s">
        <v>2328</v>
      </c>
      <c r="J81" s="30" t="s">
        <v>352</v>
      </c>
      <c r="K81" s="7" t="s">
        <v>2328</v>
      </c>
    </row>
    <row r="82" spans="1:11" x14ac:dyDescent="0.25">
      <c r="A82" s="32" t="s">
        <v>353</v>
      </c>
      <c r="B82" s="31" t="b">
        <v>1</v>
      </c>
      <c r="C82" s="31">
        <v>4</v>
      </c>
      <c r="D82" s="35" t="s">
        <v>2358</v>
      </c>
      <c r="E82" s="31" t="s">
        <v>2328</v>
      </c>
      <c r="F82" s="31" t="s">
        <v>139</v>
      </c>
      <c r="G82" s="37" t="s">
        <v>210</v>
      </c>
      <c r="H82" s="37" t="s">
        <v>2232</v>
      </c>
      <c r="I82" s="31" t="s">
        <v>2328</v>
      </c>
      <c r="J82" s="30" t="s">
        <v>2328</v>
      </c>
      <c r="K82" s="7" t="s">
        <v>2328</v>
      </c>
    </row>
    <row r="83" spans="1:11" ht="225" x14ac:dyDescent="0.25">
      <c r="A83" s="32" t="s">
        <v>355</v>
      </c>
      <c r="B83" s="31" t="b">
        <v>0</v>
      </c>
      <c r="C83" s="31">
        <v>6</v>
      </c>
      <c r="D83" s="38" t="s">
        <v>62</v>
      </c>
      <c r="E83" s="31" t="s">
        <v>2328</v>
      </c>
      <c r="F83" s="31" t="s">
        <v>131</v>
      </c>
      <c r="G83" s="37" t="s">
        <v>210</v>
      </c>
      <c r="H83" s="37" t="s">
        <v>2232</v>
      </c>
      <c r="I83" s="31" t="s">
        <v>2328</v>
      </c>
      <c r="J83" s="30" t="s">
        <v>2468</v>
      </c>
      <c r="K83" s="7" t="s">
        <v>2328</v>
      </c>
    </row>
    <row r="84" spans="1:11" x14ac:dyDescent="0.25">
      <c r="A84" s="32" t="s">
        <v>356</v>
      </c>
      <c r="B84" s="31" t="b">
        <v>1</v>
      </c>
      <c r="C84" s="31">
        <v>4</v>
      </c>
      <c r="D84" s="35" t="s">
        <v>2359</v>
      </c>
      <c r="E84" s="31" t="s">
        <v>2328</v>
      </c>
      <c r="F84" s="31" t="s">
        <v>139</v>
      </c>
      <c r="G84" s="37" t="s">
        <v>210</v>
      </c>
      <c r="H84" s="37" t="s">
        <v>2232</v>
      </c>
      <c r="I84" s="31" t="s">
        <v>2328</v>
      </c>
      <c r="J84" s="30" t="s">
        <v>358</v>
      </c>
      <c r="K84" s="7" t="s">
        <v>2328</v>
      </c>
    </row>
    <row r="85" spans="1:11" ht="409.5" x14ac:dyDescent="0.25">
      <c r="A85" s="32" t="s">
        <v>359</v>
      </c>
      <c r="B85" s="31" t="b">
        <v>0</v>
      </c>
      <c r="C85" s="31">
        <v>6</v>
      </c>
      <c r="D85" s="38" t="s">
        <v>360</v>
      </c>
      <c r="E85" s="31" t="s">
        <v>2328</v>
      </c>
      <c r="F85" s="31" t="s">
        <v>131</v>
      </c>
      <c r="G85" s="37" t="s">
        <v>210</v>
      </c>
      <c r="H85" s="37" t="s">
        <v>2232</v>
      </c>
      <c r="I85" s="31" t="s">
        <v>2328</v>
      </c>
      <c r="J85" s="30" t="s">
        <v>2469</v>
      </c>
      <c r="K85" s="7" t="s">
        <v>2328</v>
      </c>
    </row>
    <row r="86" spans="1:11" ht="30" x14ac:dyDescent="0.25">
      <c r="A86" s="32" t="s">
        <v>126</v>
      </c>
      <c r="B86" s="31" t="b">
        <v>0</v>
      </c>
      <c r="C86" s="31">
        <v>6</v>
      </c>
      <c r="D86" s="38" t="s">
        <v>361</v>
      </c>
      <c r="E86" s="31" t="s">
        <v>2328</v>
      </c>
      <c r="F86" s="31" t="s">
        <v>131</v>
      </c>
      <c r="G86" s="37" t="s">
        <v>210</v>
      </c>
      <c r="H86" s="37" t="s">
        <v>2232</v>
      </c>
      <c r="I86" s="31" t="s">
        <v>2328</v>
      </c>
      <c r="J86" s="30" t="s">
        <v>362</v>
      </c>
      <c r="K86" s="7" t="s">
        <v>2328</v>
      </c>
    </row>
    <row r="87" spans="1:11" x14ac:dyDescent="0.25">
      <c r="A87" s="32" t="s">
        <v>363</v>
      </c>
      <c r="B87" s="31" t="b">
        <v>1</v>
      </c>
      <c r="C87" s="31">
        <v>2</v>
      </c>
      <c r="D87" s="34" t="s">
        <v>2360</v>
      </c>
      <c r="E87" s="31" t="s">
        <v>2328</v>
      </c>
      <c r="F87" s="31" t="s">
        <v>139</v>
      </c>
      <c r="G87" s="37" t="s">
        <v>210</v>
      </c>
      <c r="H87" s="37" t="s">
        <v>2232</v>
      </c>
      <c r="I87" s="31" t="s">
        <v>2328</v>
      </c>
      <c r="J87" s="30" t="s">
        <v>2328</v>
      </c>
      <c r="K87" s="7" t="s">
        <v>2328</v>
      </c>
    </row>
    <row r="88" spans="1:11" ht="60" x14ac:dyDescent="0.25">
      <c r="A88" s="32" t="s">
        <v>2470</v>
      </c>
      <c r="B88" s="31" t="b">
        <v>0</v>
      </c>
      <c r="C88" s="31">
        <v>4</v>
      </c>
      <c r="D88" s="35" t="s">
        <v>4066</v>
      </c>
      <c r="E88" s="31" t="s">
        <v>2328</v>
      </c>
      <c r="F88" s="31" t="s">
        <v>131</v>
      </c>
      <c r="G88" s="37" t="s">
        <v>210</v>
      </c>
      <c r="H88" s="37" t="s">
        <v>2232</v>
      </c>
      <c r="I88" s="31" t="s">
        <v>2328</v>
      </c>
      <c r="J88" s="30" t="s">
        <v>2472</v>
      </c>
      <c r="K88" s="7" t="s">
        <v>2328</v>
      </c>
    </row>
    <row r="89" spans="1:11" ht="240" x14ac:dyDescent="0.25">
      <c r="A89" s="32" t="s">
        <v>124</v>
      </c>
      <c r="B89" s="31" t="b">
        <v>0</v>
      </c>
      <c r="C89" s="31">
        <v>4</v>
      </c>
      <c r="D89" s="35" t="s">
        <v>365</v>
      </c>
      <c r="E89" s="31" t="s">
        <v>2328</v>
      </c>
      <c r="F89" s="31" t="s">
        <v>131</v>
      </c>
      <c r="G89" s="37" t="s">
        <v>1402</v>
      </c>
      <c r="H89" s="37" t="s">
        <v>2232</v>
      </c>
      <c r="I89" s="31" t="s">
        <v>2328</v>
      </c>
      <c r="J89" s="30" t="s">
        <v>3787</v>
      </c>
      <c r="K89" s="7" t="s">
        <v>2328</v>
      </c>
    </row>
    <row r="90" spans="1:11" ht="195" x14ac:dyDescent="0.25">
      <c r="A90" s="32" t="s">
        <v>366</v>
      </c>
      <c r="B90" s="31" t="b">
        <v>0</v>
      </c>
      <c r="C90" s="31">
        <v>4</v>
      </c>
      <c r="D90" s="35" t="s">
        <v>367</v>
      </c>
      <c r="E90" s="31" t="s">
        <v>2328</v>
      </c>
      <c r="F90" s="31" t="s">
        <v>131</v>
      </c>
      <c r="G90" s="37" t="s">
        <v>1402</v>
      </c>
      <c r="H90" s="37" t="s">
        <v>2265</v>
      </c>
      <c r="I90" s="31" t="s">
        <v>2328</v>
      </c>
      <c r="J90" s="30" t="s">
        <v>3788</v>
      </c>
      <c r="K90" s="7" t="s">
        <v>2328</v>
      </c>
    </row>
    <row r="91" spans="1:11" x14ac:dyDescent="0.25">
      <c r="A91" s="32" t="s">
        <v>3697</v>
      </c>
      <c r="B91" s="31" t="b">
        <v>1</v>
      </c>
      <c r="C91" s="31">
        <v>2</v>
      </c>
      <c r="D91" s="34" t="s">
        <v>3854</v>
      </c>
      <c r="E91" s="31" t="s">
        <v>2328</v>
      </c>
      <c r="F91" s="31" t="s">
        <v>139</v>
      </c>
      <c r="G91" s="37" t="s">
        <v>3692</v>
      </c>
      <c r="H91" s="37" t="s">
        <v>2473</v>
      </c>
      <c r="I91" s="31" t="s">
        <v>2328</v>
      </c>
      <c r="J91" s="30" t="s">
        <v>3789</v>
      </c>
      <c r="K91" s="7" t="s">
        <v>2328</v>
      </c>
    </row>
    <row r="92" spans="1:11" ht="30" x14ac:dyDescent="0.25">
      <c r="A92" s="32" t="s">
        <v>3701</v>
      </c>
      <c r="B92" s="31" t="b">
        <v>0</v>
      </c>
      <c r="C92" s="31">
        <v>4</v>
      </c>
      <c r="D92" s="35" t="s">
        <v>3791</v>
      </c>
      <c r="E92" s="31" t="s">
        <v>2328</v>
      </c>
      <c r="F92" s="31" t="s">
        <v>131</v>
      </c>
      <c r="G92" s="37" t="s">
        <v>3692</v>
      </c>
      <c r="H92" s="37" t="s">
        <v>2473</v>
      </c>
      <c r="I92" s="31" t="s">
        <v>2328</v>
      </c>
      <c r="J92" s="30" t="s">
        <v>3792</v>
      </c>
      <c r="K92" s="7" t="s">
        <v>2328</v>
      </c>
    </row>
    <row r="93" spans="1:11" ht="30" x14ac:dyDescent="0.25">
      <c r="A93" s="32" t="s">
        <v>3705</v>
      </c>
      <c r="B93" s="31" t="b">
        <v>0</v>
      </c>
      <c r="C93" s="31">
        <v>4</v>
      </c>
      <c r="D93" s="35" t="s">
        <v>3794</v>
      </c>
      <c r="E93" s="31" t="s">
        <v>2328</v>
      </c>
      <c r="F93" s="31" t="s">
        <v>131</v>
      </c>
      <c r="G93" s="37" t="s">
        <v>3692</v>
      </c>
      <c r="H93" s="37" t="s">
        <v>2473</v>
      </c>
      <c r="I93" s="31" t="s">
        <v>2328</v>
      </c>
      <c r="J93" s="30" t="s">
        <v>3795</v>
      </c>
      <c r="K93" s="7" t="s">
        <v>2328</v>
      </c>
    </row>
    <row r="94" spans="1:11" s="28" customFormat="1" x14ac:dyDescent="0.25">
      <c r="A94" s="32" t="s">
        <v>4070</v>
      </c>
      <c r="B94" s="31"/>
      <c r="C94" s="31"/>
      <c r="D94" s="56" t="s">
        <v>4065</v>
      </c>
      <c r="E94" s="31"/>
      <c r="F94" s="31" t="s">
        <v>139</v>
      </c>
      <c r="G94" s="37"/>
      <c r="H94" s="37"/>
      <c r="I94" s="31"/>
      <c r="J94" s="30"/>
      <c r="K94" s="31"/>
    </row>
    <row r="95" spans="1:11" s="28" customFormat="1" ht="30" x14ac:dyDescent="0.25">
      <c r="A95" s="32" t="s">
        <v>4071</v>
      </c>
      <c r="B95" s="31"/>
      <c r="C95" s="31"/>
      <c r="D95" s="57" t="s">
        <v>4068</v>
      </c>
      <c r="E95" s="31"/>
      <c r="F95" s="31" t="s">
        <v>131</v>
      </c>
      <c r="G95" s="37" t="s">
        <v>4038</v>
      </c>
      <c r="H95" s="37" t="s">
        <v>2473</v>
      </c>
      <c r="I95" s="31"/>
      <c r="J95" s="30"/>
      <c r="K95" s="31"/>
    </row>
    <row r="96" spans="1:11" s="28" customFormat="1" ht="30" x14ac:dyDescent="0.25">
      <c r="A96" s="32" t="s">
        <v>4072</v>
      </c>
      <c r="B96" s="31"/>
      <c r="C96" s="31"/>
      <c r="D96" s="57" t="s">
        <v>4067</v>
      </c>
      <c r="E96" s="31"/>
      <c r="F96" s="31" t="s">
        <v>131</v>
      </c>
      <c r="G96" s="37" t="s">
        <v>4038</v>
      </c>
      <c r="H96" s="37" t="s">
        <v>2473</v>
      </c>
      <c r="I96" s="31"/>
      <c r="J96" s="30"/>
      <c r="K96" s="31"/>
    </row>
    <row r="97" spans="1:11" s="28" customFormat="1" ht="30" x14ac:dyDescent="0.25">
      <c r="A97" s="32" t="s">
        <v>4073</v>
      </c>
      <c r="B97" s="31"/>
      <c r="C97" s="31"/>
      <c r="D97" s="57" t="s">
        <v>4069</v>
      </c>
      <c r="E97" s="31"/>
      <c r="F97" s="31" t="s">
        <v>131</v>
      </c>
      <c r="G97" s="37" t="s">
        <v>4038</v>
      </c>
      <c r="H97" s="37" t="s">
        <v>2473</v>
      </c>
      <c r="I97" s="31"/>
      <c r="J97" s="30"/>
      <c r="K97" s="31"/>
    </row>
    <row r="98" spans="1:11" s="28" customFormat="1" ht="30" x14ac:dyDescent="0.25">
      <c r="A98" s="32" t="s">
        <v>4074</v>
      </c>
      <c r="B98" s="31"/>
      <c r="C98" s="31"/>
      <c r="D98" s="57" t="s">
        <v>4166</v>
      </c>
      <c r="E98" s="31"/>
      <c r="F98" s="31" t="s">
        <v>131</v>
      </c>
      <c r="G98" s="37" t="s">
        <v>4038</v>
      </c>
      <c r="H98" s="37" t="s">
        <v>2473</v>
      </c>
      <c r="I98" s="31"/>
      <c r="J98" s="30"/>
      <c r="K98" s="31"/>
    </row>
    <row r="99" spans="1:11" s="28" customFormat="1" x14ac:dyDescent="0.25">
      <c r="A99" s="32" t="s">
        <v>4168</v>
      </c>
      <c r="B99" s="31"/>
      <c r="C99" s="31"/>
      <c r="D99" s="57" t="s">
        <v>4169</v>
      </c>
      <c r="E99" s="31"/>
      <c r="F99" s="31" t="s">
        <v>131</v>
      </c>
      <c r="G99" s="37" t="s">
        <v>4038</v>
      </c>
      <c r="H99" s="37" t="s">
        <v>2473</v>
      </c>
      <c r="I99" s="31"/>
      <c r="J99" s="30"/>
      <c r="K99" s="31"/>
    </row>
    <row r="100" spans="1:11" x14ac:dyDescent="0.25">
      <c r="A100" s="32" t="s">
        <v>368</v>
      </c>
      <c r="B100" s="31" t="b">
        <v>1</v>
      </c>
      <c r="C100" s="31">
        <v>0</v>
      </c>
      <c r="D100" s="31" t="s">
        <v>2361</v>
      </c>
      <c r="E100" s="31" t="s">
        <v>2328</v>
      </c>
      <c r="F100" s="31" t="s">
        <v>139</v>
      </c>
      <c r="G100" s="37" t="s">
        <v>210</v>
      </c>
      <c r="H100" s="37" t="s">
        <v>2232</v>
      </c>
      <c r="I100" s="31" t="s">
        <v>2328</v>
      </c>
      <c r="J100" s="30" t="s">
        <v>370</v>
      </c>
      <c r="K100" s="7" t="s">
        <v>2328</v>
      </c>
    </row>
    <row r="101" spans="1:11" ht="135" x14ac:dyDescent="0.25">
      <c r="A101" s="32" t="s">
        <v>371</v>
      </c>
      <c r="B101" s="31" t="b">
        <v>0</v>
      </c>
      <c r="C101" s="31">
        <v>2</v>
      </c>
      <c r="D101" s="34" t="s">
        <v>372</v>
      </c>
      <c r="E101" s="31" t="s">
        <v>2328</v>
      </c>
      <c r="F101" s="31" t="s">
        <v>131</v>
      </c>
      <c r="G101" s="37" t="s">
        <v>210</v>
      </c>
      <c r="H101" s="37" t="s">
        <v>2232</v>
      </c>
      <c r="I101" s="31" t="s">
        <v>2328</v>
      </c>
      <c r="J101" s="30" t="s">
        <v>2474</v>
      </c>
      <c r="K101" s="7" t="s">
        <v>2328</v>
      </c>
    </row>
    <row r="102" spans="1:11" x14ac:dyDescent="0.25">
      <c r="A102" s="32" t="s">
        <v>373</v>
      </c>
      <c r="B102" s="31" t="b">
        <v>1</v>
      </c>
      <c r="C102" s="31">
        <v>0</v>
      </c>
      <c r="D102" s="33" t="s">
        <v>2362</v>
      </c>
      <c r="E102" s="31" t="s">
        <v>2328</v>
      </c>
      <c r="F102" s="31" t="s">
        <v>139</v>
      </c>
      <c r="G102" s="37" t="s">
        <v>210</v>
      </c>
      <c r="H102" s="37" t="s">
        <v>2232</v>
      </c>
      <c r="I102" s="31" t="s">
        <v>2328</v>
      </c>
      <c r="J102" s="30" t="s">
        <v>2328</v>
      </c>
      <c r="K102" s="7" t="s">
        <v>2328</v>
      </c>
    </row>
    <row r="103" spans="1:11" x14ac:dyDescent="0.25">
      <c r="A103" s="32" t="s">
        <v>375</v>
      </c>
      <c r="B103" s="31" t="b">
        <v>1</v>
      </c>
      <c r="C103" s="31">
        <v>2</v>
      </c>
      <c r="D103" s="34" t="s">
        <v>2363</v>
      </c>
      <c r="E103" s="31" t="s">
        <v>2328</v>
      </c>
      <c r="F103" s="31" t="s">
        <v>139</v>
      </c>
      <c r="G103" s="37" t="s">
        <v>210</v>
      </c>
      <c r="H103" s="37" t="s">
        <v>2232</v>
      </c>
      <c r="I103" s="31" t="s">
        <v>2328</v>
      </c>
      <c r="J103" s="30" t="s">
        <v>377</v>
      </c>
      <c r="K103" s="7" t="s">
        <v>2328</v>
      </c>
    </row>
    <row r="104" spans="1:11" ht="409.5" x14ac:dyDescent="0.25">
      <c r="A104" s="32" t="s">
        <v>378</v>
      </c>
      <c r="B104" s="31" t="b">
        <v>0</v>
      </c>
      <c r="C104" s="31">
        <v>4</v>
      </c>
      <c r="D104" s="35" t="s">
        <v>379</v>
      </c>
      <c r="E104" s="31" t="s">
        <v>2328</v>
      </c>
      <c r="F104" s="31" t="s">
        <v>131</v>
      </c>
      <c r="G104" s="37" t="s">
        <v>210</v>
      </c>
      <c r="H104" s="37" t="s">
        <v>2232</v>
      </c>
      <c r="I104" s="31" t="s">
        <v>2328</v>
      </c>
      <c r="J104" s="30" t="s">
        <v>3796</v>
      </c>
      <c r="K104" s="7" t="s">
        <v>2328</v>
      </c>
    </row>
    <row r="105" spans="1:11" x14ac:dyDescent="0.25">
      <c r="A105" s="32" t="s">
        <v>380</v>
      </c>
      <c r="B105" s="31" t="b">
        <v>1</v>
      </c>
      <c r="C105" s="31">
        <v>0</v>
      </c>
      <c r="D105" s="33" t="s">
        <v>2364</v>
      </c>
      <c r="E105" s="31" t="s">
        <v>2328</v>
      </c>
      <c r="F105" s="31" t="s">
        <v>139</v>
      </c>
      <c r="G105" s="37" t="s">
        <v>210</v>
      </c>
      <c r="H105" s="37" t="s">
        <v>2232</v>
      </c>
      <c r="I105" s="31" t="s">
        <v>2328</v>
      </c>
      <c r="J105" s="30" t="s">
        <v>2328</v>
      </c>
      <c r="K105" s="7" t="s">
        <v>2328</v>
      </c>
    </row>
    <row r="106" spans="1:11" ht="409.5" x14ac:dyDescent="0.25">
      <c r="A106" s="32" t="s">
        <v>381</v>
      </c>
      <c r="B106" s="31" t="b">
        <v>0</v>
      </c>
      <c r="C106" s="31">
        <v>2</v>
      </c>
      <c r="D106" s="34" t="s">
        <v>382</v>
      </c>
      <c r="E106" s="31" t="s">
        <v>2328</v>
      </c>
      <c r="F106" s="31" t="s">
        <v>131</v>
      </c>
      <c r="G106" s="37" t="s">
        <v>210</v>
      </c>
      <c r="H106" s="37" t="s">
        <v>2232</v>
      </c>
      <c r="I106" s="31" t="s">
        <v>2328</v>
      </c>
      <c r="J106" s="30" t="s">
        <v>3797</v>
      </c>
      <c r="K106" s="7" t="s">
        <v>2328</v>
      </c>
    </row>
    <row r="107" spans="1:11" x14ac:dyDescent="0.25">
      <c r="A107" s="32" t="s">
        <v>383</v>
      </c>
      <c r="B107" s="31" t="b">
        <v>1</v>
      </c>
      <c r="C107" s="31">
        <v>0</v>
      </c>
      <c r="D107" s="33" t="s">
        <v>2365</v>
      </c>
      <c r="E107" s="31" t="s">
        <v>2328</v>
      </c>
      <c r="F107" s="31" t="s">
        <v>139</v>
      </c>
      <c r="G107" s="37" t="s">
        <v>210</v>
      </c>
      <c r="H107" s="37" t="s">
        <v>2232</v>
      </c>
      <c r="I107" s="31" t="s">
        <v>2328</v>
      </c>
      <c r="J107" s="30" t="s">
        <v>385</v>
      </c>
      <c r="K107" s="7" t="s">
        <v>2328</v>
      </c>
    </row>
    <row r="108" spans="1:11" ht="120" x14ac:dyDescent="0.25">
      <c r="A108" s="32" t="s">
        <v>386</v>
      </c>
      <c r="B108" s="31" t="b">
        <v>0</v>
      </c>
      <c r="C108" s="31">
        <v>2</v>
      </c>
      <c r="D108" s="34" t="s">
        <v>387</v>
      </c>
      <c r="E108" s="31" t="s">
        <v>2328</v>
      </c>
      <c r="F108" s="31" t="s">
        <v>131</v>
      </c>
      <c r="G108" s="37" t="s">
        <v>210</v>
      </c>
      <c r="H108" s="37" t="s">
        <v>2232</v>
      </c>
      <c r="I108" s="31" t="s">
        <v>2328</v>
      </c>
      <c r="J108" s="30" t="s">
        <v>2476</v>
      </c>
      <c r="K108" s="7" t="s">
        <v>2328</v>
      </c>
    </row>
    <row r="109" spans="1:11" ht="45" x14ac:dyDescent="0.25">
      <c r="A109" s="32" t="s">
        <v>388</v>
      </c>
      <c r="B109" s="31" t="b">
        <v>0</v>
      </c>
      <c r="C109" s="31">
        <v>2</v>
      </c>
      <c r="D109" s="34" t="s">
        <v>389</v>
      </c>
      <c r="E109" s="31" t="s">
        <v>2328</v>
      </c>
      <c r="F109" s="31" t="s">
        <v>131</v>
      </c>
      <c r="G109" s="37" t="s">
        <v>210</v>
      </c>
      <c r="H109" s="37" t="s">
        <v>2232</v>
      </c>
      <c r="I109" s="31" t="s">
        <v>2328</v>
      </c>
      <c r="J109" s="30" t="s">
        <v>390</v>
      </c>
      <c r="K109" s="7" t="s">
        <v>2328</v>
      </c>
    </row>
    <row r="110" spans="1:11" ht="45" x14ac:dyDescent="0.25">
      <c r="A110" s="32" t="s">
        <v>391</v>
      </c>
      <c r="B110" s="31" t="b">
        <v>0</v>
      </c>
      <c r="C110" s="31">
        <v>2</v>
      </c>
      <c r="D110" s="34" t="s">
        <v>392</v>
      </c>
      <c r="E110" s="31" t="s">
        <v>2328</v>
      </c>
      <c r="F110" s="31" t="s">
        <v>131</v>
      </c>
      <c r="G110" s="37" t="s">
        <v>210</v>
      </c>
      <c r="H110" s="37" t="s">
        <v>2232</v>
      </c>
      <c r="I110" s="31" t="s">
        <v>2328</v>
      </c>
      <c r="J110" s="30" t="s">
        <v>393</v>
      </c>
      <c r="K110" s="7" t="s">
        <v>2328</v>
      </c>
    </row>
    <row r="111" spans="1:11" x14ac:dyDescent="0.25">
      <c r="A111" s="32" t="s">
        <v>394</v>
      </c>
      <c r="B111" s="31" t="b">
        <v>1</v>
      </c>
      <c r="C111" s="31">
        <v>0</v>
      </c>
      <c r="D111" s="33" t="s">
        <v>2366</v>
      </c>
      <c r="E111" s="31" t="s">
        <v>2328</v>
      </c>
      <c r="F111" s="31" t="s">
        <v>139</v>
      </c>
      <c r="G111" s="37" t="s">
        <v>210</v>
      </c>
      <c r="H111" s="37" t="s">
        <v>2232</v>
      </c>
      <c r="I111" s="31" t="s">
        <v>2328</v>
      </c>
      <c r="J111" s="30" t="s">
        <v>2328</v>
      </c>
      <c r="K111" s="7" t="s">
        <v>2328</v>
      </c>
    </row>
    <row r="112" spans="1:11" x14ac:dyDescent="0.25">
      <c r="A112" s="32" t="s">
        <v>396</v>
      </c>
      <c r="B112" s="31" t="b">
        <v>1</v>
      </c>
      <c r="C112" s="31">
        <v>2</v>
      </c>
      <c r="D112" s="34" t="s">
        <v>2367</v>
      </c>
      <c r="E112" s="31" t="s">
        <v>2328</v>
      </c>
      <c r="F112" s="31" t="s">
        <v>139</v>
      </c>
      <c r="G112" s="37" t="s">
        <v>210</v>
      </c>
      <c r="H112" s="37" t="s">
        <v>2232</v>
      </c>
      <c r="I112" s="31" t="s">
        <v>2328</v>
      </c>
      <c r="J112" s="30" t="s">
        <v>2328</v>
      </c>
      <c r="K112" s="7" t="s">
        <v>2328</v>
      </c>
    </row>
    <row r="113" spans="1:11" ht="90" x14ac:dyDescent="0.25">
      <c r="A113" s="32" t="s">
        <v>398</v>
      </c>
      <c r="B113" s="31" t="b">
        <v>0</v>
      </c>
      <c r="C113" s="31">
        <v>4</v>
      </c>
      <c r="D113" s="35" t="s">
        <v>2477</v>
      </c>
      <c r="E113" s="31" t="s">
        <v>2328</v>
      </c>
      <c r="F113" s="31" t="s">
        <v>131</v>
      </c>
      <c r="G113" s="37" t="s">
        <v>210</v>
      </c>
      <c r="H113" s="37" t="s">
        <v>2232</v>
      </c>
      <c r="I113" s="31" t="s">
        <v>2328</v>
      </c>
      <c r="J113" s="30" t="s">
        <v>2724</v>
      </c>
      <c r="K113" s="7" t="s">
        <v>2328</v>
      </c>
    </row>
    <row r="114" spans="1:11" x14ac:dyDescent="0.25">
      <c r="A114" s="32" t="s">
        <v>399</v>
      </c>
      <c r="B114" s="31" t="b">
        <v>1</v>
      </c>
      <c r="C114" s="31">
        <v>0</v>
      </c>
      <c r="D114" s="33" t="s">
        <v>2368</v>
      </c>
      <c r="E114" s="31" t="s">
        <v>2328</v>
      </c>
      <c r="F114" s="31" t="s">
        <v>139</v>
      </c>
      <c r="G114" s="37" t="s">
        <v>210</v>
      </c>
      <c r="H114" s="37" t="s">
        <v>2232</v>
      </c>
      <c r="I114" s="31" t="s">
        <v>2328</v>
      </c>
      <c r="J114" s="30" t="s">
        <v>401</v>
      </c>
      <c r="K114" s="7" t="s">
        <v>2328</v>
      </c>
    </row>
    <row r="115" spans="1:11" ht="409.5" x14ac:dyDescent="0.25">
      <c r="A115" s="32" t="s">
        <v>402</v>
      </c>
      <c r="B115" s="31" t="b">
        <v>0</v>
      </c>
      <c r="C115" s="31">
        <v>2</v>
      </c>
      <c r="D115" s="34" t="s">
        <v>403</v>
      </c>
      <c r="E115" s="31" t="s">
        <v>2328</v>
      </c>
      <c r="F115" s="31" t="s">
        <v>131</v>
      </c>
      <c r="G115" s="37" t="s">
        <v>210</v>
      </c>
      <c r="H115" s="37" t="s">
        <v>2232</v>
      </c>
      <c r="I115" s="31" t="s">
        <v>2328</v>
      </c>
      <c r="J115" s="30" t="s">
        <v>3798</v>
      </c>
      <c r="K115" s="7" t="s">
        <v>2328</v>
      </c>
    </row>
    <row r="116" spans="1:11" ht="135" x14ac:dyDescent="0.25">
      <c r="A116" s="32" t="s">
        <v>3799</v>
      </c>
      <c r="B116" s="31" t="b">
        <v>0</v>
      </c>
      <c r="C116" s="31">
        <v>2</v>
      </c>
      <c r="D116" s="34" t="s">
        <v>3800</v>
      </c>
      <c r="E116" s="31" t="s">
        <v>2328</v>
      </c>
      <c r="F116" s="31" t="s">
        <v>131</v>
      </c>
      <c r="G116" s="37" t="s">
        <v>1402</v>
      </c>
      <c r="H116" s="37" t="s">
        <v>2473</v>
      </c>
      <c r="I116" s="31" t="s">
        <v>2328</v>
      </c>
      <c r="J116" s="30" t="s">
        <v>3801</v>
      </c>
      <c r="K116" s="7" t="s">
        <v>2328</v>
      </c>
    </row>
    <row r="117" spans="1:11" ht="165" x14ac:dyDescent="0.25">
      <c r="A117" s="32" t="s">
        <v>3709</v>
      </c>
      <c r="B117" s="31" t="b">
        <v>0</v>
      </c>
      <c r="C117" s="31">
        <v>2</v>
      </c>
      <c r="D117" s="34" t="s">
        <v>3803</v>
      </c>
      <c r="E117" s="31" t="s">
        <v>2328</v>
      </c>
      <c r="F117" s="31" t="s">
        <v>131</v>
      </c>
      <c r="G117" s="37" t="s">
        <v>1402</v>
      </c>
      <c r="H117" s="37" t="s">
        <v>2473</v>
      </c>
      <c r="I117" s="31" t="s">
        <v>2328</v>
      </c>
      <c r="J117" s="30" t="s">
        <v>3805</v>
      </c>
      <c r="K117" s="7" t="s">
        <v>2328</v>
      </c>
    </row>
    <row r="118" spans="1:11" ht="105" x14ac:dyDescent="0.25">
      <c r="A118" s="32" t="s">
        <v>404</v>
      </c>
      <c r="B118" s="31" t="b">
        <v>0</v>
      </c>
      <c r="C118" s="31">
        <v>2</v>
      </c>
      <c r="D118" s="34" t="s">
        <v>405</v>
      </c>
      <c r="E118" s="31" t="s">
        <v>2328</v>
      </c>
      <c r="F118" s="31" t="s">
        <v>131</v>
      </c>
      <c r="G118" s="37" t="s">
        <v>210</v>
      </c>
      <c r="H118" s="37" t="s">
        <v>2232</v>
      </c>
      <c r="I118" s="31" t="s">
        <v>2328</v>
      </c>
      <c r="J118" s="30" t="s">
        <v>3807</v>
      </c>
      <c r="K118" s="7" t="s">
        <v>2328</v>
      </c>
    </row>
    <row r="119" spans="1:11" x14ac:dyDescent="0.25">
      <c r="A119" s="32" t="s">
        <v>406</v>
      </c>
      <c r="B119" s="31" t="b">
        <v>1</v>
      </c>
      <c r="C119" s="31">
        <v>0</v>
      </c>
      <c r="D119" s="33" t="s">
        <v>2369</v>
      </c>
      <c r="E119" s="31" t="s">
        <v>2328</v>
      </c>
      <c r="F119" s="31" t="s">
        <v>139</v>
      </c>
      <c r="G119" s="37" t="s">
        <v>210</v>
      </c>
      <c r="H119" s="37" t="s">
        <v>2232</v>
      </c>
      <c r="I119" s="31" t="s">
        <v>2328</v>
      </c>
      <c r="J119" s="30" t="s">
        <v>407</v>
      </c>
      <c r="K119" s="7" t="s">
        <v>2328</v>
      </c>
    </row>
    <row r="120" spans="1:11" ht="409.5" x14ac:dyDescent="0.25">
      <c r="A120" s="32" t="s">
        <v>408</v>
      </c>
      <c r="B120" s="31" t="b">
        <v>0</v>
      </c>
      <c r="C120" s="31">
        <v>2</v>
      </c>
      <c r="D120" s="34" t="s">
        <v>92</v>
      </c>
      <c r="E120" s="31" t="s">
        <v>2328</v>
      </c>
      <c r="F120" s="31" t="s">
        <v>131</v>
      </c>
      <c r="G120" s="37" t="s">
        <v>210</v>
      </c>
      <c r="H120" s="37" t="s">
        <v>2232</v>
      </c>
      <c r="I120" s="31" t="s">
        <v>2328</v>
      </c>
      <c r="J120" s="30" t="s">
        <v>3808</v>
      </c>
      <c r="K120" s="7" t="s">
        <v>2328</v>
      </c>
    </row>
    <row r="121" spans="1:11" ht="60" x14ac:dyDescent="0.25">
      <c r="A121" s="32" t="s">
        <v>409</v>
      </c>
      <c r="B121" s="31" t="b">
        <v>0</v>
      </c>
      <c r="C121" s="31">
        <v>2</v>
      </c>
      <c r="D121" s="34" t="s">
        <v>86</v>
      </c>
      <c r="E121" s="31" t="s">
        <v>2328</v>
      </c>
      <c r="F121" s="31" t="s">
        <v>131</v>
      </c>
      <c r="G121" s="37" t="s">
        <v>210</v>
      </c>
      <c r="H121" s="37" t="s">
        <v>2232</v>
      </c>
      <c r="I121" s="31" t="s">
        <v>2328</v>
      </c>
      <c r="J121" s="30" t="s">
        <v>410</v>
      </c>
      <c r="K121" s="7" t="s">
        <v>2328</v>
      </c>
    </row>
    <row r="122" spans="1:11" ht="409.5" x14ac:dyDescent="0.25">
      <c r="A122" s="32" t="s">
        <v>411</v>
      </c>
      <c r="B122" s="31" t="b">
        <v>0</v>
      </c>
      <c r="C122" s="31">
        <v>2</v>
      </c>
      <c r="D122" s="34" t="s">
        <v>412</v>
      </c>
      <c r="E122" s="31" t="s">
        <v>2328</v>
      </c>
      <c r="F122" s="31" t="s">
        <v>131</v>
      </c>
      <c r="G122" s="37" t="s">
        <v>210</v>
      </c>
      <c r="H122" s="37" t="s">
        <v>2232</v>
      </c>
      <c r="I122" s="31" t="s">
        <v>2328</v>
      </c>
      <c r="J122" s="30" t="s">
        <v>3855</v>
      </c>
      <c r="K122" s="7" t="s">
        <v>2328</v>
      </c>
    </row>
    <row r="123" spans="1:11" ht="409.5" x14ac:dyDescent="0.25">
      <c r="A123" s="32" t="s">
        <v>125</v>
      </c>
      <c r="B123" s="31" t="b">
        <v>0</v>
      </c>
      <c r="C123" s="31">
        <v>2</v>
      </c>
      <c r="D123" s="34" t="s">
        <v>413</v>
      </c>
      <c r="E123" s="31" t="s">
        <v>2328</v>
      </c>
      <c r="F123" s="31" t="s">
        <v>131</v>
      </c>
      <c r="G123" s="37" t="s">
        <v>210</v>
      </c>
      <c r="H123" s="37" t="s">
        <v>2232</v>
      </c>
      <c r="I123" s="31" t="s">
        <v>2328</v>
      </c>
      <c r="J123" s="30" t="s">
        <v>3810</v>
      </c>
      <c r="K123" s="7" t="s">
        <v>2328</v>
      </c>
    </row>
    <row r="124" spans="1:11" ht="135" x14ac:dyDescent="0.25">
      <c r="A124" s="32" t="s">
        <v>414</v>
      </c>
      <c r="B124" s="31" t="b">
        <v>0</v>
      </c>
      <c r="C124" s="31">
        <v>2</v>
      </c>
      <c r="D124" s="34" t="s">
        <v>415</v>
      </c>
      <c r="E124" s="31" t="s">
        <v>2328</v>
      </c>
      <c r="F124" s="31" t="s">
        <v>131</v>
      </c>
      <c r="G124" s="37" t="s">
        <v>210</v>
      </c>
      <c r="H124" s="37" t="s">
        <v>2232</v>
      </c>
      <c r="I124" s="31" t="s">
        <v>2328</v>
      </c>
      <c r="J124" s="30" t="s">
        <v>2481</v>
      </c>
      <c r="K124" s="7" t="s">
        <v>2328</v>
      </c>
    </row>
    <row r="125" spans="1:11" ht="195" x14ac:dyDescent="0.25">
      <c r="A125" s="32" t="s">
        <v>416</v>
      </c>
      <c r="B125" s="31" t="b">
        <v>0</v>
      </c>
      <c r="C125" s="31">
        <v>2</v>
      </c>
      <c r="D125" s="34" t="s">
        <v>417</v>
      </c>
      <c r="E125" s="31" t="s">
        <v>2328</v>
      </c>
      <c r="F125" s="31" t="s">
        <v>131</v>
      </c>
      <c r="G125" s="37" t="s">
        <v>210</v>
      </c>
      <c r="H125" s="37" t="s">
        <v>2232</v>
      </c>
      <c r="I125" s="31" t="s">
        <v>2328</v>
      </c>
      <c r="J125" s="30" t="s">
        <v>2482</v>
      </c>
      <c r="K125" s="7" t="s">
        <v>2328</v>
      </c>
    </row>
    <row r="126" spans="1:11" x14ac:dyDescent="0.25">
      <c r="A126" s="32" t="s">
        <v>418</v>
      </c>
      <c r="B126" s="31" t="b">
        <v>1</v>
      </c>
      <c r="C126" s="31">
        <v>2</v>
      </c>
      <c r="D126" s="34" t="s">
        <v>2370</v>
      </c>
      <c r="E126" s="31" t="s">
        <v>2328</v>
      </c>
      <c r="F126" s="31" t="s">
        <v>139</v>
      </c>
      <c r="G126" s="37" t="s">
        <v>210</v>
      </c>
      <c r="H126" s="37" t="s">
        <v>2232</v>
      </c>
      <c r="I126" s="31" t="s">
        <v>2328</v>
      </c>
      <c r="J126" s="30" t="s">
        <v>2328</v>
      </c>
      <c r="K126" s="7" t="s">
        <v>2328</v>
      </c>
    </row>
    <row r="127" spans="1:11" ht="165" x14ac:dyDescent="0.25">
      <c r="A127" s="32" t="s">
        <v>420</v>
      </c>
      <c r="B127" s="31" t="b">
        <v>0</v>
      </c>
      <c r="C127" s="31">
        <v>4</v>
      </c>
      <c r="D127" s="35" t="s">
        <v>421</v>
      </c>
      <c r="E127" s="31" t="s">
        <v>2328</v>
      </c>
      <c r="F127" s="31" t="s">
        <v>131</v>
      </c>
      <c r="G127" s="37" t="s">
        <v>210</v>
      </c>
      <c r="H127" s="37" t="s">
        <v>2232</v>
      </c>
      <c r="I127" s="31" t="s">
        <v>2328</v>
      </c>
      <c r="J127" s="30" t="s">
        <v>2483</v>
      </c>
      <c r="K127" s="7" t="s">
        <v>2328</v>
      </c>
    </row>
    <row r="128" spans="1:11" ht="165" x14ac:dyDescent="0.25">
      <c r="A128" s="32" t="s">
        <v>422</v>
      </c>
      <c r="B128" s="31" t="b">
        <v>0</v>
      </c>
      <c r="C128" s="31">
        <v>4</v>
      </c>
      <c r="D128" s="35" t="s">
        <v>423</v>
      </c>
      <c r="E128" s="31" t="s">
        <v>2328</v>
      </c>
      <c r="F128" s="31" t="s">
        <v>131</v>
      </c>
      <c r="G128" s="37" t="s">
        <v>210</v>
      </c>
      <c r="H128" s="37" t="s">
        <v>2232</v>
      </c>
      <c r="I128" s="31" t="s">
        <v>2328</v>
      </c>
      <c r="J128" s="30" t="s">
        <v>2484</v>
      </c>
      <c r="K128" s="7" t="s">
        <v>2328</v>
      </c>
    </row>
    <row r="129" spans="1:11" x14ac:dyDescent="0.25">
      <c r="A129" s="32" t="s">
        <v>424</v>
      </c>
      <c r="B129" s="31" t="b">
        <v>1</v>
      </c>
      <c r="C129" s="31">
        <v>0</v>
      </c>
      <c r="D129" s="33" t="s">
        <v>2371</v>
      </c>
      <c r="E129" s="31" t="s">
        <v>2328</v>
      </c>
      <c r="F129" s="31" t="s">
        <v>139</v>
      </c>
      <c r="G129" s="37" t="s">
        <v>210</v>
      </c>
      <c r="H129" s="37" t="s">
        <v>2232</v>
      </c>
      <c r="I129" s="31" t="s">
        <v>2328</v>
      </c>
      <c r="J129" s="30" t="s">
        <v>426</v>
      </c>
      <c r="K129" s="7" t="s">
        <v>2328</v>
      </c>
    </row>
    <row r="130" spans="1:11" ht="75" x14ac:dyDescent="0.25">
      <c r="A130" s="32" t="s">
        <v>427</v>
      </c>
      <c r="B130" s="31" t="b">
        <v>0</v>
      </c>
      <c r="C130" s="31">
        <v>2</v>
      </c>
      <c r="D130" s="34" t="s">
        <v>3435</v>
      </c>
      <c r="E130" s="31" t="s">
        <v>2328</v>
      </c>
      <c r="F130" s="31" t="s">
        <v>131</v>
      </c>
      <c r="G130" s="37" t="s">
        <v>210</v>
      </c>
      <c r="H130" s="37" t="s">
        <v>2232</v>
      </c>
      <c r="I130" s="31" t="s">
        <v>2328</v>
      </c>
      <c r="J130" s="30" t="s">
        <v>3811</v>
      </c>
    </row>
    <row r="131" spans="1:11" ht="105" x14ac:dyDescent="0.25">
      <c r="A131" s="32" t="s">
        <v>429</v>
      </c>
      <c r="B131" s="31" t="b">
        <v>0</v>
      </c>
      <c r="C131" s="31">
        <v>2</v>
      </c>
      <c r="D131" s="34" t="s">
        <v>430</v>
      </c>
      <c r="E131" s="31" t="s">
        <v>2328</v>
      </c>
      <c r="F131" s="31" t="s">
        <v>131</v>
      </c>
      <c r="G131" s="37" t="s">
        <v>210</v>
      </c>
      <c r="H131" s="37" t="s">
        <v>2232</v>
      </c>
      <c r="I131" s="31" t="s">
        <v>2328</v>
      </c>
      <c r="J131" s="30" t="s">
        <v>2485</v>
      </c>
    </row>
    <row r="132" spans="1:11" ht="90" x14ac:dyDescent="0.25">
      <c r="A132" s="32" t="s">
        <v>431</v>
      </c>
      <c r="B132" s="31" t="b">
        <v>0</v>
      </c>
      <c r="C132" s="31">
        <v>2</v>
      </c>
      <c r="D132" s="34" t="s">
        <v>432</v>
      </c>
      <c r="E132" s="31" t="s">
        <v>2328</v>
      </c>
      <c r="F132" s="31" t="s">
        <v>131</v>
      </c>
      <c r="G132" s="37" t="s">
        <v>210</v>
      </c>
      <c r="H132" s="37" t="s">
        <v>2232</v>
      </c>
      <c r="I132" s="31" t="s">
        <v>2328</v>
      </c>
      <c r="J132" s="30" t="s">
        <v>2486</v>
      </c>
    </row>
    <row r="133" spans="1:11" x14ac:dyDescent="0.25">
      <c r="A133" s="32" t="s">
        <v>433</v>
      </c>
      <c r="B133" s="31" t="b">
        <v>1</v>
      </c>
      <c r="C133" s="31">
        <v>0</v>
      </c>
      <c r="D133" s="33" t="s">
        <v>2372</v>
      </c>
      <c r="E133" s="31" t="s">
        <v>2328</v>
      </c>
      <c r="F133" s="31" t="s">
        <v>139</v>
      </c>
      <c r="G133" s="37" t="s">
        <v>210</v>
      </c>
      <c r="H133" s="37" t="s">
        <v>2232</v>
      </c>
      <c r="I133" s="31" t="s">
        <v>2328</v>
      </c>
      <c r="J133" s="30" t="s">
        <v>2328</v>
      </c>
    </row>
    <row r="134" spans="1:11" ht="135" x14ac:dyDescent="0.25">
      <c r="A134" s="32" t="s">
        <v>435</v>
      </c>
      <c r="B134" s="31" t="b">
        <v>0</v>
      </c>
      <c r="C134" s="31">
        <v>2</v>
      </c>
      <c r="D134" s="34" t="s">
        <v>436</v>
      </c>
      <c r="E134" s="31" t="s">
        <v>2328</v>
      </c>
      <c r="F134" s="31" t="s">
        <v>131</v>
      </c>
      <c r="G134" s="37" t="s">
        <v>210</v>
      </c>
      <c r="H134" s="37" t="s">
        <v>2232</v>
      </c>
      <c r="I134" s="31" t="s">
        <v>2328</v>
      </c>
      <c r="J134" s="30" t="s">
        <v>2487</v>
      </c>
    </row>
    <row r="135" spans="1:11" x14ac:dyDescent="0.25">
      <c r="A135" s="32" t="s">
        <v>437</v>
      </c>
      <c r="B135" s="31" t="b">
        <v>1</v>
      </c>
      <c r="C135" s="31">
        <v>0</v>
      </c>
      <c r="D135" s="33" t="s">
        <v>2373</v>
      </c>
      <c r="E135" s="31" t="s">
        <v>2328</v>
      </c>
      <c r="F135" s="31" t="s">
        <v>139</v>
      </c>
      <c r="G135" s="37" t="s">
        <v>210</v>
      </c>
      <c r="H135" s="37" t="s">
        <v>2232</v>
      </c>
      <c r="I135" s="31" t="s">
        <v>2328</v>
      </c>
      <c r="J135" s="30" t="s">
        <v>439</v>
      </c>
    </row>
    <row r="136" spans="1:11" ht="30" x14ac:dyDescent="0.25">
      <c r="A136" s="32" t="s">
        <v>440</v>
      </c>
      <c r="B136" s="31" t="b">
        <v>0</v>
      </c>
      <c r="C136" s="31">
        <v>2</v>
      </c>
      <c r="D136" s="34" t="s">
        <v>441</v>
      </c>
      <c r="E136" s="31" t="s">
        <v>2328</v>
      </c>
      <c r="F136" s="31" t="s">
        <v>131</v>
      </c>
      <c r="G136" s="37" t="s">
        <v>210</v>
      </c>
      <c r="H136" s="37" t="s">
        <v>2232</v>
      </c>
      <c r="I136" s="31" t="s">
        <v>2328</v>
      </c>
      <c r="J136" s="30" t="s">
        <v>442</v>
      </c>
    </row>
    <row r="137" spans="1:11" x14ac:dyDescent="0.25">
      <c r="A137" s="32" t="s">
        <v>443</v>
      </c>
      <c r="B137" s="31" t="b">
        <v>1</v>
      </c>
      <c r="C137" s="31">
        <v>0</v>
      </c>
      <c r="D137" s="33" t="s">
        <v>2374</v>
      </c>
      <c r="E137" s="31" t="s">
        <v>2328</v>
      </c>
      <c r="F137" s="31" t="s">
        <v>139</v>
      </c>
      <c r="G137" s="37" t="s">
        <v>210</v>
      </c>
      <c r="H137" s="37" t="s">
        <v>2232</v>
      </c>
      <c r="I137" s="31" t="s">
        <v>2328</v>
      </c>
      <c r="J137" s="30" t="s">
        <v>445</v>
      </c>
    </row>
    <row r="138" spans="1:11" ht="409.5" x14ac:dyDescent="0.25">
      <c r="A138" s="32" t="s">
        <v>446</v>
      </c>
      <c r="B138" s="31" t="b">
        <v>0</v>
      </c>
      <c r="C138" s="31">
        <v>2</v>
      </c>
      <c r="D138" s="34" t="s">
        <v>447</v>
      </c>
      <c r="E138" s="31" t="s">
        <v>2328</v>
      </c>
      <c r="F138" s="31" t="s">
        <v>131</v>
      </c>
      <c r="G138" s="37" t="s">
        <v>210</v>
      </c>
      <c r="H138" s="37" t="s">
        <v>2232</v>
      </c>
      <c r="I138" s="31" t="s">
        <v>2328</v>
      </c>
      <c r="J138" s="30" t="s">
        <v>3812</v>
      </c>
    </row>
    <row r="139" spans="1:11" ht="409.5" x14ac:dyDescent="0.25">
      <c r="A139" s="32" t="s">
        <v>448</v>
      </c>
      <c r="B139" s="31" t="b">
        <v>0</v>
      </c>
      <c r="C139" s="31">
        <v>2</v>
      </c>
      <c r="D139" s="34" t="s">
        <v>449</v>
      </c>
      <c r="E139" s="31" t="s">
        <v>2328</v>
      </c>
      <c r="F139" s="31" t="s">
        <v>131</v>
      </c>
      <c r="G139" s="37" t="s">
        <v>210</v>
      </c>
      <c r="H139" s="37" t="s">
        <v>2232</v>
      </c>
      <c r="I139" s="31" t="s">
        <v>2328</v>
      </c>
      <c r="J139" s="30" t="s">
        <v>2488</v>
      </c>
    </row>
    <row r="140" spans="1:11" ht="285" x14ac:dyDescent="0.25">
      <c r="A140" s="32" t="s">
        <v>450</v>
      </c>
      <c r="B140" s="31" t="b">
        <v>0</v>
      </c>
      <c r="C140" s="31">
        <v>2</v>
      </c>
      <c r="D140" s="34" t="s">
        <v>451</v>
      </c>
      <c r="E140" s="31" t="s">
        <v>2328</v>
      </c>
      <c r="F140" s="31" t="s">
        <v>131</v>
      </c>
      <c r="G140" s="37" t="s">
        <v>210</v>
      </c>
      <c r="H140" s="37" t="s">
        <v>2232</v>
      </c>
      <c r="I140" s="31" t="s">
        <v>2328</v>
      </c>
      <c r="J140" s="30" t="s">
        <v>2489</v>
      </c>
    </row>
    <row r="141" spans="1:11" x14ac:dyDescent="0.25">
      <c r="A141" s="32" t="s">
        <v>452</v>
      </c>
      <c r="B141" s="31" t="b">
        <v>1</v>
      </c>
      <c r="C141" s="31">
        <v>0</v>
      </c>
      <c r="D141" s="33" t="s">
        <v>2375</v>
      </c>
      <c r="E141" s="31" t="s">
        <v>2328</v>
      </c>
      <c r="F141" s="31" t="s">
        <v>139</v>
      </c>
      <c r="G141" s="37" t="s">
        <v>210</v>
      </c>
      <c r="H141" s="37" t="s">
        <v>2232</v>
      </c>
      <c r="I141" s="31" t="s">
        <v>2328</v>
      </c>
      <c r="J141" s="30" t="s">
        <v>453</v>
      </c>
    </row>
    <row r="142" spans="1:11" x14ac:dyDescent="0.25">
      <c r="A142" s="32" t="s">
        <v>454</v>
      </c>
      <c r="B142" s="31" t="b">
        <v>1</v>
      </c>
      <c r="C142" s="31">
        <v>2</v>
      </c>
      <c r="D142" s="34" t="s">
        <v>2376</v>
      </c>
      <c r="E142" s="31" t="s">
        <v>2328</v>
      </c>
      <c r="F142" s="31" t="s">
        <v>139</v>
      </c>
      <c r="G142" s="37" t="s">
        <v>210</v>
      </c>
      <c r="H142" s="37" t="s">
        <v>2232</v>
      </c>
      <c r="I142" s="31" t="s">
        <v>2328</v>
      </c>
      <c r="J142" s="30" t="s">
        <v>455</v>
      </c>
    </row>
    <row r="143" spans="1:11" ht="120" x14ac:dyDescent="0.25">
      <c r="A143" s="32" t="s">
        <v>456</v>
      </c>
      <c r="B143" s="31" t="b">
        <v>0</v>
      </c>
      <c r="C143" s="31">
        <v>4</v>
      </c>
      <c r="D143" s="35" t="s">
        <v>457</v>
      </c>
      <c r="E143" s="31" t="s">
        <v>2328</v>
      </c>
      <c r="F143" s="31" t="s">
        <v>131</v>
      </c>
      <c r="G143" s="37" t="s">
        <v>210</v>
      </c>
      <c r="H143" s="37" t="s">
        <v>2232</v>
      </c>
      <c r="I143" s="31" t="s">
        <v>2328</v>
      </c>
      <c r="J143" s="30" t="s">
        <v>2490</v>
      </c>
    </row>
    <row r="144" spans="1:11" ht="255" x14ac:dyDescent="0.25">
      <c r="A144" s="32" t="s">
        <v>458</v>
      </c>
      <c r="B144" s="31" t="b">
        <v>0</v>
      </c>
      <c r="C144" s="31">
        <v>4</v>
      </c>
      <c r="D144" s="35" t="s">
        <v>52</v>
      </c>
      <c r="E144" s="31" t="s">
        <v>2328</v>
      </c>
      <c r="F144" s="31" t="s">
        <v>131</v>
      </c>
      <c r="G144" s="37" t="s">
        <v>210</v>
      </c>
      <c r="H144" s="37" t="s">
        <v>2232</v>
      </c>
      <c r="I144" s="31" t="s">
        <v>2328</v>
      </c>
      <c r="J144" s="30" t="s">
        <v>2491</v>
      </c>
    </row>
    <row r="145" spans="1:10" x14ac:dyDescent="0.25">
      <c r="A145" s="32" t="s">
        <v>459</v>
      </c>
      <c r="B145" s="31" t="b">
        <v>1</v>
      </c>
      <c r="C145" s="31">
        <v>2</v>
      </c>
      <c r="D145" s="34" t="s">
        <v>2377</v>
      </c>
      <c r="E145" s="31" t="s">
        <v>2328</v>
      </c>
      <c r="F145" s="31" t="s">
        <v>139</v>
      </c>
      <c r="G145" s="37" t="s">
        <v>210</v>
      </c>
      <c r="H145" s="37" t="s">
        <v>2232</v>
      </c>
      <c r="I145" s="31" t="s">
        <v>2328</v>
      </c>
      <c r="J145" s="30" t="s">
        <v>2328</v>
      </c>
    </row>
    <row r="146" spans="1:10" ht="409.5" x14ac:dyDescent="0.25">
      <c r="A146" s="32" t="s">
        <v>460</v>
      </c>
      <c r="B146" s="31" t="b">
        <v>0</v>
      </c>
      <c r="C146" s="31">
        <v>4</v>
      </c>
      <c r="D146" s="35" t="s">
        <v>461</v>
      </c>
      <c r="E146" s="31" t="s">
        <v>2328</v>
      </c>
      <c r="F146" s="31" t="s">
        <v>131</v>
      </c>
      <c r="G146" s="37" t="s">
        <v>210</v>
      </c>
      <c r="H146" s="37" t="s">
        <v>2232</v>
      </c>
      <c r="I146" s="31" t="s">
        <v>2328</v>
      </c>
      <c r="J146" s="30" t="s">
        <v>3856</v>
      </c>
    </row>
    <row r="147" spans="1:10" x14ac:dyDescent="0.25">
      <c r="A147" s="32" t="s">
        <v>462</v>
      </c>
      <c r="B147" s="31" t="b">
        <v>1</v>
      </c>
      <c r="C147" s="31">
        <v>0</v>
      </c>
      <c r="D147" s="33" t="s">
        <v>2378</v>
      </c>
      <c r="E147" s="31" t="s">
        <v>2328</v>
      </c>
      <c r="F147" s="31" t="s">
        <v>139</v>
      </c>
      <c r="G147" s="37" t="s">
        <v>210</v>
      </c>
      <c r="H147" s="37" t="s">
        <v>2232</v>
      </c>
      <c r="I147" s="31" t="s">
        <v>2328</v>
      </c>
      <c r="J147" s="30" t="s">
        <v>2328</v>
      </c>
    </row>
    <row r="148" spans="1:10" ht="90" x14ac:dyDescent="0.25">
      <c r="A148" s="32" t="s">
        <v>464</v>
      </c>
      <c r="B148" s="31" t="b">
        <v>0</v>
      </c>
      <c r="C148" s="31">
        <v>2</v>
      </c>
      <c r="D148" s="34" t="s">
        <v>465</v>
      </c>
      <c r="E148" s="31" t="s">
        <v>2328</v>
      </c>
      <c r="F148" s="31" t="s">
        <v>139</v>
      </c>
      <c r="G148" s="37" t="s">
        <v>210</v>
      </c>
      <c r="H148" s="37" t="s">
        <v>2232</v>
      </c>
      <c r="I148" s="31" t="s">
        <v>2328</v>
      </c>
      <c r="J148" s="30" t="s">
        <v>2492</v>
      </c>
    </row>
    <row r="149" spans="1:10" ht="30" x14ac:dyDescent="0.25">
      <c r="A149" s="32" t="s">
        <v>127</v>
      </c>
      <c r="B149" s="31" t="b">
        <v>0</v>
      </c>
      <c r="C149" s="31">
        <v>2</v>
      </c>
      <c r="D149" s="34" t="s">
        <v>466</v>
      </c>
      <c r="E149" s="31" t="s">
        <v>2328</v>
      </c>
      <c r="F149" s="31" t="s">
        <v>131</v>
      </c>
      <c r="G149" s="37" t="s">
        <v>210</v>
      </c>
      <c r="H149" s="37" t="s">
        <v>2232</v>
      </c>
      <c r="I149" s="31" t="s">
        <v>2328</v>
      </c>
      <c r="J149" s="30" t="s">
        <v>467</v>
      </c>
    </row>
    <row r="150" spans="1:10" x14ac:dyDescent="0.25">
      <c r="A150" s="32" t="s">
        <v>468</v>
      </c>
      <c r="B150" s="31" t="b">
        <v>1</v>
      </c>
      <c r="C150" s="31">
        <v>0</v>
      </c>
      <c r="D150" s="33" t="s">
        <v>2379</v>
      </c>
      <c r="E150" s="31" t="s">
        <v>2328</v>
      </c>
      <c r="F150" s="31" t="s">
        <v>139</v>
      </c>
      <c r="G150" s="37" t="s">
        <v>210</v>
      </c>
      <c r="H150" s="37" t="s">
        <v>2232</v>
      </c>
      <c r="I150" s="31" t="s">
        <v>2328</v>
      </c>
      <c r="J150" s="30" t="s">
        <v>470</v>
      </c>
    </row>
    <row r="151" spans="1:10" x14ac:dyDescent="0.25">
      <c r="A151" s="32" t="s">
        <v>471</v>
      </c>
      <c r="B151" s="31" t="b">
        <v>1</v>
      </c>
      <c r="C151" s="31">
        <v>2</v>
      </c>
      <c r="D151" s="34" t="s">
        <v>2380</v>
      </c>
      <c r="E151" s="31" t="s">
        <v>2328</v>
      </c>
      <c r="F151" s="31" t="s">
        <v>139</v>
      </c>
      <c r="G151" s="37" t="s">
        <v>210</v>
      </c>
      <c r="H151" s="37" t="s">
        <v>2232</v>
      </c>
      <c r="I151" s="31" t="s">
        <v>2328</v>
      </c>
      <c r="J151" s="30" t="s">
        <v>2328</v>
      </c>
    </row>
    <row r="152" spans="1:10" ht="150" x14ac:dyDescent="0.25">
      <c r="A152" s="32" t="s">
        <v>472</v>
      </c>
      <c r="B152" s="31" t="b">
        <v>0</v>
      </c>
      <c r="C152" s="31">
        <v>4</v>
      </c>
      <c r="D152" s="35" t="s">
        <v>83</v>
      </c>
      <c r="E152" s="31" t="s">
        <v>2328</v>
      </c>
      <c r="F152" s="31" t="s">
        <v>131</v>
      </c>
      <c r="G152" s="37" t="s">
        <v>210</v>
      </c>
      <c r="H152" s="37" t="s">
        <v>2232</v>
      </c>
      <c r="I152" s="31" t="s">
        <v>2328</v>
      </c>
      <c r="J152" s="30" t="s">
        <v>2493</v>
      </c>
    </row>
    <row r="153" spans="1:10" x14ac:dyDescent="0.25">
      <c r="A153" s="32" t="s">
        <v>473</v>
      </c>
      <c r="B153" s="31" t="b">
        <v>1</v>
      </c>
      <c r="C153" s="31">
        <v>2</v>
      </c>
      <c r="D153" s="34" t="s">
        <v>2381</v>
      </c>
      <c r="E153" s="31" t="s">
        <v>2328</v>
      </c>
      <c r="F153" s="31" t="s">
        <v>139</v>
      </c>
      <c r="G153" s="37" t="s">
        <v>210</v>
      </c>
      <c r="H153" s="37" t="s">
        <v>2232</v>
      </c>
      <c r="I153" s="31" t="s">
        <v>2328</v>
      </c>
      <c r="J153" s="30" t="s">
        <v>2328</v>
      </c>
    </row>
    <row r="154" spans="1:10" ht="105" x14ac:dyDescent="0.25">
      <c r="A154" s="32" t="s">
        <v>474</v>
      </c>
      <c r="B154" s="31" t="b">
        <v>0</v>
      </c>
      <c r="C154" s="31">
        <v>4</v>
      </c>
      <c r="D154" s="35" t="s">
        <v>78</v>
      </c>
      <c r="E154" s="31" t="s">
        <v>2328</v>
      </c>
      <c r="F154" s="31" t="s">
        <v>131</v>
      </c>
      <c r="G154" s="37" t="s">
        <v>210</v>
      </c>
      <c r="H154" s="37" t="s">
        <v>2232</v>
      </c>
      <c r="I154" s="31" t="s">
        <v>2328</v>
      </c>
      <c r="J154" s="30" t="s">
        <v>2494</v>
      </c>
    </row>
    <row r="155" spans="1:10" x14ac:dyDescent="0.25">
      <c r="A155" s="32" t="s">
        <v>475</v>
      </c>
      <c r="B155" s="31" t="b">
        <v>1</v>
      </c>
      <c r="C155" s="31">
        <v>2</v>
      </c>
      <c r="D155" s="34" t="s">
        <v>2382</v>
      </c>
      <c r="E155" s="31" t="s">
        <v>2328</v>
      </c>
      <c r="F155" s="31" t="s">
        <v>139</v>
      </c>
      <c r="G155" s="37" t="s">
        <v>210</v>
      </c>
      <c r="H155" s="37" t="s">
        <v>2232</v>
      </c>
      <c r="I155" s="31" t="s">
        <v>2328</v>
      </c>
      <c r="J155" s="30" t="s">
        <v>2328</v>
      </c>
    </row>
    <row r="156" spans="1:10" ht="120" x14ac:dyDescent="0.25">
      <c r="A156" s="32" t="s">
        <v>476</v>
      </c>
      <c r="B156" s="31" t="b">
        <v>0</v>
      </c>
      <c r="C156" s="31">
        <v>4</v>
      </c>
      <c r="D156" s="35" t="s">
        <v>74</v>
      </c>
      <c r="E156" s="31" t="s">
        <v>2328</v>
      </c>
      <c r="F156" s="31" t="s">
        <v>131</v>
      </c>
      <c r="G156" s="37" t="s">
        <v>210</v>
      </c>
      <c r="H156" s="37" t="s">
        <v>2232</v>
      </c>
      <c r="I156" s="31" t="s">
        <v>2328</v>
      </c>
      <c r="J156" s="30" t="s">
        <v>2495</v>
      </c>
    </row>
    <row r="157" spans="1:10" x14ac:dyDescent="0.25">
      <c r="A157" s="32" t="s">
        <v>477</v>
      </c>
      <c r="B157" s="31" t="b">
        <v>1</v>
      </c>
      <c r="C157" s="31">
        <v>2</v>
      </c>
      <c r="D157" s="34" t="s">
        <v>2383</v>
      </c>
      <c r="E157" s="31" t="s">
        <v>2328</v>
      </c>
      <c r="F157" s="31" t="s">
        <v>139</v>
      </c>
      <c r="G157" s="37" t="s">
        <v>210</v>
      </c>
      <c r="H157" s="37" t="s">
        <v>2232</v>
      </c>
      <c r="I157" s="31" t="s">
        <v>2328</v>
      </c>
      <c r="J157" s="30" t="s">
        <v>2328</v>
      </c>
    </row>
    <row r="158" spans="1:10" ht="285" x14ac:dyDescent="0.25">
      <c r="A158" s="32" t="s">
        <v>478</v>
      </c>
      <c r="B158" s="31" t="b">
        <v>0</v>
      </c>
      <c r="C158" s="31">
        <v>4</v>
      </c>
      <c r="D158" s="35" t="s">
        <v>70</v>
      </c>
      <c r="E158" s="31" t="s">
        <v>2328</v>
      </c>
      <c r="F158" s="31" t="s">
        <v>131</v>
      </c>
      <c r="G158" s="37" t="s">
        <v>210</v>
      </c>
      <c r="H158" s="37" t="s">
        <v>2232</v>
      </c>
      <c r="I158" s="31" t="s">
        <v>2328</v>
      </c>
      <c r="J158" s="30" t="s">
        <v>2496</v>
      </c>
    </row>
    <row r="159" spans="1:10" ht="315" x14ac:dyDescent="0.25">
      <c r="A159" s="32" t="s">
        <v>479</v>
      </c>
      <c r="B159" s="31" t="b">
        <v>0</v>
      </c>
      <c r="C159" s="31">
        <v>4</v>
      </c>
      <c r="D159" s="35" t="s">
        <v>65</v>
      </c>
      <c r="E159" s="31" t="s">
        <v>2328</v>
      </c>
      <c r="F159" s="31" t="s">
        <v>131</v>
      </c>
      <c r="G159" s="37" t="s">
        <v>210</v>
      </c>
      <c r="H159" s="37" t="s">
        <v>2232</v>
      </c>
      <c r="I159" s="31" t="s">
        <v>2328</v>
      </c>
      <c r="J159" s="30" t="s">
        <v>2497</v>
      </c>
    </row>
    <row r="160" spans="1:10" ht="285" x14ac:dyDescent="0.25">
      <c r="A160" s="32" t="s">
        <v>480</v>
      </c>
      <c r="B160" s="31" t="b">
        <v>0</v>
      </c>
      <c r="C160" s="31">
        <v>4</v>
      </c>
      <c r="D160" s="35" t="s">
        <v>481</v>
      </c>
      <c r="E160" s="31" t="s">
        <v>2328</v>
      </c>
      <c r="F160" s="31" t="s">
        <v>131</v>
      </c>
      <c r="G160" s="37" t="s">
        <v>210</v>
      </c>
      <c r="H160" s="37" t="s">
        <v>2232</v>
      </c>
      <c r="I160" s="31" t="s">
        <v>2328</v>
      </c>
      <c r="J160" s="30" t="s">
        <v>3814</v>
      </c>
    </row>
    <row r="161" spans="1:10" x14ac:dyDescent="0.25">
      <c r="A161" s="32" t="s">
        <v>482</v>
      </c>
      <c r="B161" s="31" t="b">
        <v>1</v>
      </c>
      <c r="C161" s="31">
        <v>0</v>
      </c>
      <c r="D161" s="33" t="s">
        <v>2384</v>
      </c>
      <c r="E161" s="31" t="s">
        <v>2328</v>
      </c>
      <c r="F161" s="31" t="s">
        <v>139</v>
      </c>
      <c r="G161" s="37" t="s">
        <v>210</v>
      </c>
      <c r="H161" s="37" t="s">
        <v>2232</v>
      </c>
      <c r="I161" s="31" t="s">
        <v>2328</v>
      </c>
      <c r="J161" s="30" t="s">
        <v>2328</v>
      </c>
    </row>
    <row r="162" spans="1:10" ht="75" x14ac:dyDescent="0.25">
      <c r="A162" s="32" t="s">
        <v>484</v>
      </c>
      <c r="B162" s="31" t="b">
        <v>0</v>
      </c>
      <c r="C162" s="31">
        <v>2</v>
      </c>
      <c r="D162" s="34" t="s">
        <v>485</v>
      </c>
      <c r="E162" s="31" t="s">
        <v>2328</v>
      </c>
      <c r="F162" s="31" t="s">
        <v>131</v>
      </c>
      <c r="G162" s="37" t="s">
        <v>210</v>
      </c>
      <c r="H162" s="37" t="s">
        <v>2232</v>
      </c>
      <c r="I162" s="31" t="s">
        <v>2328</v>
      </c>
      <c r="J162" s="30" t="s">
        <v>2499</v>
      </c>
    </row>
    <row r="163" spans="1:10" ht="255" x14ac:dyDescent="0.25">
      <c r="A163" s="32" t="s">
        <v>486</v>
      </c>
      <c r="B163" s="31" t="b">
        <v>0</v>
      </c>
      <c r="C163" s="31">
        <v>2</v>
      </c>
      <c r="D163" s="34" t="s">
        <v>487</v>
      </c>
      <c r="E163" s="31" t="s">
        <v>2328</v>
      </c>
      <c r="F163" s="31" t="s">
        <v>131</v>
      </c>
      <c r="G163" s="37" t="s">
        <v>1402</v>
      </c>
      <c r="H163" s="37" t="s">
        <v>2265</v>
      </c>
      <c r="I163" s="31" t="s">
        <v>2328</v>
      </c>
      <c r="J163" s="30" t="s">
        <v>2508</v>
      </c>
    </row>
    <row r="164" spans="1:10" x14ac:dyDescent="0.25">
      <c r="A164" s="32" t="s">
        <v>488</v>
      </c>
      <c r="B164" s="31" t="b">
        <v>1</v>
      </c>
      <c r="C164" s="31">
        <v>0</v>
      </c>
      <c r="D164" s="33" t="s">
        <v>2385</v>
      </c>
      <c r="E164" s="31" t="s">
        <v>2328</v>
      </c>
      <c r="F164" s="31" t="s">
        <v>139</v>
      </c>
      <c r="G164" s="37" t="s">
        <v>210</v>
      </c>
      <c r="H164" s="37" t="s">
        <v>2232</v>
      </c>
      <c r="I164" s="31" t="s">
        <v>2328</v>
      </c>
      <c r="J164" s="30" t="s">
        <v>490</v>
      </c>
    </row>
    <row r="165" spans="1:10" ht="270" x14ac:dyDescent="0.25">
      <c r="A165" s="32" t="s">
        <v>491</v>
      </c>
      <c r="B165" s="31" t="b">
        <v>0</v>
      </c>
      <c r="C165" s="31">
        <v>2</v>
      </c>
      <c r="D165" s="34" t="s">
        <v>492</v>
      </c>
      <c r="E165" s="31" t="s">
        <v>2328</v>
      </c>
      <c r="F165" s="31" t="s">
        <v>131</v>
      </c>
      <c r="G165" s="37" t="s">
        <v>210</v>
      </c>
      <c r="H165" s="37" t="s">
        <v>2232</v>
      </c>
      <c r="I165" s="31" t="s">
        <v>2328</v>
      </c>
      <c r="J165" s="30" t="s">
        <v>3815</v>
      </c>
    </row>
    <row r="166" spans="1:10" ht="165" x14ac:dyDescent="0.25">
      <c r="A166" s="32" t="s">
        <v>493</v>
      </c>
      <c r="B166" s="31" t="b">
        <v>0</v>
      </c>
      <c r="C166" s="31">
        <v>2</v>
      </c>
      <c r="D166" s="34" t="s">
        <v>494</v>
      </c>
      <c r="E166" s="31" t="s">
        <v>2328</v>
      </c>
      <c r="F166" s="31" t="s">
        <v>131</v>
      </c>
      <c r="G166" s="37" t="s">
        <v>210</v>
      </c>
      <c r="H166" s="37" t="s">
        <v>2232</v>
      </c>
      <c r="I166" s="31" t="s">
        <v>2328</v>
      </c>
      <c r="J166" s="30" t="s">
        <v>2501</v>
      </c>
    </row>
    <row r="167" spans="1:10" ht="120" x14ac:dyDescent="0.25">
      <c r="A167" s="32" t="s">
        <v>495</v>
      </c>
      <c r="B167" s="31" t="b">
        <v>0</v>
      </c>
      <c r="C167" s="31">
        <v>2</v>
      </c>
      <c r="D167" s="34" t="s">
        <v>496</v>
      </c>
      <c r="E167" s="31" t="s">
        <v>2328</v>
      </c>
      <c r="F167" s="31" t="s">
        <v>131</v>
      </c>
      <c r="G167" s="37" t="s">
        <v>210</v>
      </c>
      <c r="H167" s="37" t="s">
        <v>2232</v>
      </c>
      <c r="I167" s="31" t="s">
        <v>2328</v>
      </c>
      <c r="J167" s="30" t="s">
        <v>2502</v>
      </c>
    </row>
    <row r="168" spans="1:10" x14ac:dyDescent="0.25">
      <c r="A168" s="32" t="s">
        <v>497</v>
      </c>
      <c r="B168" s="31" t="b">
        <v>1</v>
      </c>
      <c r="C168" s="31">
        <v>0</v>
      </c>
      <c r="D168" s="33" t="s">
        <v>2386</v>
      </c>
      <c r="E168" s="31" t="s">
        <v>2328</v>
      </c>
      <c r="F168" s="31" t="s">
        <v>139</v>
      </c>
      <c r="G168" s="37" t="s">
        <v>210</v>
      </c>
      <c r="H168" s="37" t="s">
        <v>2232</v>
      </c>
      <c r="I168" s="31" t="s">
        <v>2328</v>
      </c>
      <c r="J168" s="30" t="s">
        <v>499</v>
      </c>
    </row>
    <row r="169" spans="1:10" ht="45" x14ac:dyDescent="0.25">
      <c r="A169" s="32" t="s">
        <v>500</v>
      </c>
      <c r="B169" s="31" t="b">
        <v>0</v>
      </c>
      <c r="C169" s="31">
        <v>2</v>
      </c>
      <c r="D169" s="34" t="s">
        <v>121</v>
      </c>
      <c r="E169" s="31" t="s">
        <v>2328</v>
      </c>
      <c r="F169" s="31" t="s">
        <v>131</v>
      </c>
      <c r="G169" s="37" t="s">
        <v>210</v>
      </c>
      <c r="H169" s="37" t="s">
        <v>2232</v>
      </c>
      <c r="I169" s="31" t="s">
        <v>2328</v>
      </c>
      <c r="J169" s="30" t="s">
        <v>501</v>
      </c>
    </row>
    <row r="170" spans="1:10" ht="30" x14ac:dyDescent="0.25">
      <c r="A170" s="32" t="s">
        <v>3816</v>
      </c>
      <c r="B170" s="31" t="b">
        <v>0</v>
      </c>
      <c r="C170" s="31">
        <v>2</v>
      </c>
      <c r="D170" s="34" t="s">
        <v>3818</v>
      </c>
      <c r="E170" s="31" t="s">
        <v>2328</v>
      </c>
      <c r="F170" s="31" t="s">
        <v>131</v>
      </c>
      <c r="G170" s="37" t="s">
        <v>210</v>
      </c>
      <c r="H170" s="37" t="s">
        <v>2232</v>
      </c>
      <c r="I170" s="31" t="s">
        <v>2328</v>
      </c>
      <c r="J170" s="30" t="s">
        <v>3819</v>
      </c>
    </row>
    <row r="171" spans="1:10" ht="45" x14ac:dyDescent="0.25">
      <c r="A171" s="32" t="s">
        <v>3820</v>
      </c>
      <c r="B171" s="31" t="b">
        <v>0</v>
      </c>
      <c r="C171" s="31">
        <v>2</v>
      </c>
      <c r="D171" s="34" t="s">
        <v>3822</v>
      </c>
      <c r="E171" s="31" t="s">
        <v>2328</v>
      </c>
      <c r="F171" s="31" t="s">
        <v>131</v>
      </c>
      <c r="G171" s="37" t="s">
        <v>210</v>
      </c>
      <c r="H171" s="37" t="s">
        <v>2232</v>
      </c>
      <c r="I171" s="31" t="s">
        <v>2328</v>
      </c>
      <c r="J171" s="30" t="s">
        <v>3823</v>
      </c>
    </row>
    <row r="172" spans="1:10" ht="180" x14ac:dyDescent="0.25">
      <c r="A172" s="32" t="s">
        <v>3724</v>
      </c>
      <c r="B172" s="31" t="b">
        <v>0</v>
      </c>
      <c r="C172" s="31">
        <v>2</v>
      </c>
      <c r="D172" s="34" t="s">
        <v>3825</v>
      </c>
      <c r="E172" s="31" t="s">
        <v>2328</v>
      </c>
      <c r="F172" s="31" t="s">
        <v>131</v>
      </c>
      <c r="G172" s="37" t="s">
        <v>3692</v>
      </c>
      <c r="H172" s="37" t="s">
        <v>2473</v>
      </c>
      <c r="I172" s="31" t="s">
        <v>2328</v>
      </c>
      <c r="J172" s="30" t="s">
        <v>3826</v>
      </c>
    </row>
    <row r="173" spans="1:10" ht="90" x14ac:dyDescent="0.25">
      <c r="A173" s="32" t="s">
        <v>3742</v>
      </c>
      <c r="B173" s="31" t="b">
        <v>0</v>
      </c>
      <c r="C173" s="31">
        <v>2</v>
      </c>
      <c r="D173" s="34" t="s">
        <v>3828</v>
      </c>
      <c r="E173" s="31" t="s">
        <v>2328</v>
      </c>
      <c r="F173" s="31" t="s">
        <v>131</v>
      </c>
      <c r="G173" s="37" t="s">
        <v>3692</v>
      </c>
      <c r="H173" s="37" t="s">
        <v>2473</v>
      </c>
      <c r="I173" s="31" t="s">
        <v>2328</v>
      </c>
      <c r="J173" s="30" t="s">
        <v>3829</v>
      </c>
    </row>
    <row r="174" spans="1:10" ht="90" x14ac:dyDescent="0.25">
      <c r="A174" s="32" t="s">
        <v>3749</v>
      </c>
      <c r="B174" s="31" t="b">
        <v>0</v>
      </c>
      <c r="C174" s="31">
        <v>2</v>
      </c>
      <c r="D174" s="34" t="s">
        <v>3831</v>
      </c>
      <c r="E174" s="31" t="s">
        <v>2328</v>
      </c>
      <c r="F174" s="31" t="s">
        <v>131</v>
      </c>
      <c r="G174" s="37" t="s">
        <v>3692</v>
      </c>
      <c r="H174" s="37" t="s">
        <v>2473</v>
      </c>
      <c r="I174" s="31" t="s">
        <v>2328</v>
      </c>
      <c r="J174" s="30" t="s">
        <v>3832</v>
      </c>
    </row>
    <row r="175" spans="1:10" ht="45" x14ac:dyDescent="0.25">
      <c r="A175" s="32" t="s">
        <v>3759</v>
      </c>
      <c r="B175" s="31" t="b">
        <v>0</v>
      </c>
      <c r="C175" s="31">
        <v>2</v>
      </c>
      <c r="D175" s="34" t="s">
        <v>3834</v>
      </c>
      <c r="E175" s="31" t="s">
        <v>2328</v>
      </c>
      <c r="F175" s="31" t="s">
        <v>131</v>
      </c>
      <c r="G175" s="37" t="s">
        <v>3692</v>
      </c>
      <c r="H175" s="37" t="s">
        <v>2473</v>
      </c>
      <c r="I175" s="31" t="s">
        <v>2328</v>
      </c>
      <c r="J175" s="30" t="s">
        <v>3835</v>
      </c>
    </row>
    <row r="176" spans="1:10" ht="30" x14ac:dyDescent="0.25">
      <c r="A176" s="32" t="s">
        <v>3769</v>
      </c>
      <c r="B176" s="31" t="b">
        <v>0</v>
      </c>
      <c r="C176" s="31">
        <v>2</v>
      </c>
      <c r="D176" s="34" t="s">
        <v>3837</v>
      </c>
      <c r="E176" s="31" t="s">
        <v>2328</v>
      </c>
      <c r="F176" s="31" t="s">
        <v>131</v>
      </c>
      <c r="G176" s="37" t="s">
        <v>3692</v>
      </c>
      <c r="H176" s="37" t="s">
        <v>2473</v>
      </c>
      <c r="I176" s="31" t="s">
        <v>2328</v>
      </c>
      <c r="J176" s="30" t="s">
        <v>3838</v>
      </c>
    </row>
    <row r="177" spans="1:10" ht="75" x14ac:dyDescent="0.25">
      <c r="A177" s="32" t="s">
        <v>3773</v>
      </c>
      <c r="B177" s="31" t="b">
        <v>0</v>
      </c>
      <c r="C177" s="31">
        <v>2</v>
      </c>
      <c r="D177" s="34" t="s">
        <v>3840</v>
      </c>
      <c r="E177" s="31" t="s">
        <v>2328</v>
      </c>
      <c r="F177" s="31" t="s">
        <v>131</v>
      </c>
      <c r="G177" s="37" t="s">
        <v>3692</v>
      </c>
      <c r="H177" s="37" t="s">
        <v>2473</v>
      </c>
      <c r="I177" s="31" t="s">
        <v>2328</v>
      </c>
      <c r="J177" s="30" t="s">
        <v>3841</v>
      </c>
    </row>
  </sheetData>
  <autoFilter ref="A1:J166" xr:uid="{00000000-0009-0000-0000-000004000000}"/>
  <conditionalFormatting sqref="G1 G40:H98 G100:H177">
    <cfRule type="cellIs" dxfId="245" priority="37" operator="equal">
      <formula>"Adara 1.1"</formula>
    </cfRule>
  </conditionalFormatting>
  <conditionalFormatting sqref="D1 K1 K9:K129 D40:E98 D100:E177">
    <cfRule type="expression" dxfId="244" priority="41">
      <formula>$B1</formula>
    </cfRule>
  </conditionalFormatting>
  <conditionalFormatting sqref="F1 F40:F98 F100:F177">
    <cfRule type="expression" dxfId="243" priority="40">
      <formula>$F1="Req"</formula>
    </cfRule>
  </conditionalFormatting>
  <conditionalFormatting sqref="H1">
    <cfRule type="cellIs" dxfId="242" priority="38" operator="equal">
      <formula>"Adara 1.1"</formula>
    </cfRule>
  </conditionalFormatting>
  <conditionalFormatting sqref="G2:G8">
    <cfRule type="cellIs" dxfId="241" priority="35" operator="equal">
      <formula>"Req"</formula>
    </cfRule>
  </conditionalFormatting>
  <conditionalFormatting sqref="J2:J8">
    <cfRule type="cellIs" dxfId="240" priority="34" operator="equal">
      <formula>"Adara 1.1"</formula>
    </cfRule>
  </conditionalFormatting>
  <conditionalFormatting sqref="E1">
    <cfRule type="expression" dxfId="239" priority="30">
      <formula>$B1</formula>
    </cfRule>
  </conditionalFormatting>
  <conditionalFormatting sqref="D9:E38">
    <cfRule type="expression" dxfId="238" priority="14">
      <formula>$B9</formula>
    </cfRule>
  </conditionalFormatting>
  <conditionalFormatting sqref="F9:F38">
    <cfRule type="expression" dxfId="237" priority="13">
      <formula>$F9="Req"</formula>
    </cfRule>
  </conditionalFormatting>
  <conditionalFormatting sqref="H9:H38 H40:H98 H100:H177">
    <cfRule type="cellIs" dxfId="236" priority="12" operator="notEqual">
      <formula>"Approved"</formula>
    </cfRule>
  </conditionalFormatting>
  <conditionalFormatting sqref="H9:H38">
    <cfRule type="cellIs" dxfId="235" priority="11" operator="equal">
      <formula>"Adara 1.1"</formula>
    </cfRule>
  </conditionalFormatting>
  <conditionalFormatting sqref="G9:G38">
    <cfRule type="cellIs" dxfId="234" priority="10" operator="equal">
      <formula>"Adara 1.1"</formula>
    </cfRule>
  </conditionalFormatting>
  <conditionalFormatting sqref="D39:E39">
    <cfRule type="expression" dxfId="233" priority="9">
      <formula>$B39</formula>
    </cfRule>
  </conditionalFormatting>
  <conditionalFormatting sqref="F39">
    <cfRule type="expression" dxfId="232" priority="8">
      <formula>$F39="Req"</formula>
    </cfRule>
  </conditionalFormatting>
  <conditionalFormatting sqref="H39">
    <cfRule type="cellIs" dxfId="231" priority="7" operator="notEqual">
      <formula>"Approved"</formula>
    </cfRule>
  </conditionalFormatting>
  <conditionalFormatting sqref="H39">
    <cfRule type="cellIs" dxfId="230" priority="6" operator="equal">
      <formula>"Adara 1.1"</formula>
    </cfRule>
  </conditionalFormatting>
  <conditionalFormatting sqref="G39">
    <cfRule type="cellIs" dxfId="229" priority="5" operator="equal">
      <formula>"Adara 1.1"</formula>
    </cfRule>
  </conditionalFormatting>
  <conditionalFormatting sqref="G99:H99">
    <cfRule type="cellIs" dxfId="228" priority="2" operator="equal">
      <formula>"Adara 1.1"</formula>
    </cfRule>
  </conditionalFormatting>
  <conditionalFormatting sqref="D99:E99">
    <cfRule type="expression" dxfId="227" priority="4">
      <formula>$B99</formula>
    </cfRule>
  </conditionalFormatting>
  <conditionalFormatting sqref="F99">
    <cfRule type="expression" dxfId="226" priority="3">
      <formula>$F99="Req"</formula>
    </cfRule>
  </conditionalFormatting>
  <conditionalFormatting sqref="H99">
    <cfRule type="cellIs" dxfId="225" priority="1" operator="notEqual">
      <formula>"Approved"</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6" id="{FD024E13-325E-419E-B3C3-EA5298A351C2}">
            <xm:f>PFS!$C3</xm:f>
            <x14:dxf>
              <font>
                <b/>
                <i val="0"/>
              </font>
            </x14:dxf>
          </x14:cfRule>
          <xm:sqref>D2:E4</xm:sqref>
        </x14:conditionalFormatting>
        <x14:conditionalFormatting xmlns:xm="http://schemas.microsoft.com/office/excel/2006/main">
          <x14:cfRule type="expression" priority="32" id="{47832CD8-7AAA-4610-82F3-1F9DF631E07E}">
            <xm:f>PFS!$B6</xm:f>
            <x14:dxf>
              <font>
                <b/>
                <i val="0"/>
              </font>
            </x14:dxf>
          </x14:cfRule>
          <xm:sqref>D5:E8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830"/>
  <sheetViews>
    <sheetView zoomScale="85" zoomScaleNormal="85" workbookViewId="0">
      <selection activeCell="E10" sqref="E10"/>
    </sheetView>
  </sheetViews>
  <sheetFormatPr defaultColWidth="8.85546875" defaultRowHeight="15" x14ac:dyDescent="0.25"/>
  <cols>
    <col min="1" max="1" width="17.42578125" style="28" customWidth="1"/>
    <col min="2" max="2" width="18.140625" style="28" customWidth="1"/>
    <col min="3" max="3" width="8.85546875" style="28"/>
    <col min="4" max="4" width="8.85546875" style="28" customWidth="1"/>
    <col min="5" max="5" width="75.28515625" style="28" customWidth="1"/>
    <col min="6" max="6" width="6.28515625" style="28" customWidth="1"/>
    <col min="7" max="7" width="8.85546875" style="28"/>
    <col min="8" max="8" width="8.85546875" style="28" customWidth="1"/>
    <col min="9" max="9" width="10.28515625" style="28" customWidth="1"/>
    <col min="10" max="10" width="8.85546875" style="28"/>
    <col min="11" max="11" width="20" style="27" customWidth="1"/>
    <col min="12" max="12" width="13.42578125" style="27" customWidth="1"/>
    <col min="13" max="13" width="64.85546875" style="28" customWidth="1"/>
    <col min="14" max="14" width="8" style="28" customWidth="1"/>
    <col min="15" max="15" width="9.140625" style="28" customWidth="1"/>
    <col min="16" max="16384" width="8.85546875" style="28"/>
  </cols>
  <sheetData>
    <row r="1" spans="1:14" ht="36.6" customHeight="1" x14ac:dyDescent="0.25">
      <c r="A1" s="15" t="s">
        <v>3398</v>
      </c>
      <c r="B1" s="15" t="s">
        <v>502</v>
      </c>
      <c r="C1" s="15" t="s">
        <v>635</v>
      </c>
      <c r="D1" s="15" t="e">
        <v>#VALUE!</v>
      </c>
      <c r="E1" s="16" t="s">
        <v>2226</v>
      </c>
      <c r="F1" s="15" t="s">
        <v>8</v>
      </c>
      <c r="G1" s="15"/>
      <c r="H1" s="15"/>
      <c r="I1" s="15" t="s">
        <v>633</v>
      </c>
      <c r="J1" s="15" t="s">
        <v>122</v>
      </c>
      <c r="K1" s="15" t="s">
        <v>2227</v>
      </c>
      <c r="L1" s="25" t="s">
        <v>2231</v>
      </c>
      <c r="M1" s="15" t="s">
        <v>3416</v>
      </c>
      <c r="N1" s="17"/>
    </row>
    <row r="2" spans="1:14" ht="45" x14ac:dyDescent="0.25">
      <c r="A2" s="31" t="s">
        <v>2328</v>
      </c>
      <c r="B2" s="32" t="s">
        <v>637</v>
      </c>
      <c r="C2" s="31" t="b">
        <v>1</v>
      </c>
      <c r="D2" s="31">
        <v>0</v>
      </c>
      <c r="E2" s="33" t="s">
        <v>2327</v>
      </c>
      <c r="F2" s="31" t="s">
        <v>3443</v>
      </c>
      <c r="G2" s="31" t="s">
        <v>3665</v>
      </c>
      <c r="H2" s="31" t="s">
        <v>3666</v>
      </c>
      <c r="I2" s="37" t="s">
        <v>3667</v>
      </c>
      <c r="J2" s="31" t="s">
        <v>2328</v>
      </c>
      <c r="K2" s="31" t="s">
        <v>2328</v>
      </c>
      <c r="L2" s="30" t="s">
        <v>2232</v>
      </c>
      <c r="M2" s="31" t="s">
        <v>2328</v>
      </c>
      <c r="N2" s="17"/>
    </row>
    <row r="3" spans="1:14" ht="45" x14ac:dyDescent="0.25">
      <c r="A3" s="31" t="s">
        <v>2328</v>
      </c>
      <c r="B3" s="32" t="s">
        <v>667</v>
      </c>
      <c r="C3" s="31" t="b">
        <v>1</v>
      </c>
      <c r="D3" s="31">
        <v>0</v>
      </c>
      <c r="E3" s="33" t="s">
        <v>2330</v>
      </c>
      <c r="F3" s="31" t="s">
        <v>3443</v>
      </c>
      <c r="G3" s="31" t="s">
        <v>3665</v>
      </c>
      <c r="H3" s="31" t="s">
        <v>3666</v>
      </c>
      <c r="I3" s="37" t="s">
        <v>3667</v>
      </c>
      <c r="J3" s="31" t="s">
        <v>2328</v>
      </c>
      <c r="K3" s="31" t="s">
        <v>2328</v>
      </c>
      <c r="L3" s="30" t="s">
        <v>2232</v>
      </c>
      <c r="M3" s="31" t="s">
        <v>2328</v>
      </c>
      <c r="N3" s="17"/>
    </row>
    <row r="4" spans="1:14" ht="45" x14ac:dyDescent="0.25">
      <c r="A4" s="31" t="s">
        <v>2328</v>
      </c>
      <c r="B4" s="32" t="s">
        <v>679</v>
      </c>
      <c r="C4" s="31" t="b">
        <v>1</v>
      </c>
      <c r="D4" s="31">
        <v>0</v>
      </c>
      <c r="E4" s="33" t="s">
        <v>2388</v>
      </c>
      <c r="F4" s="31" t="s">
        <v>3443</v>
      </c>
      <c r="G4" s="31" t="s">
        <v>3665</v>
      </c>
      <c r="H4" s="31" t="s">
        <v>3666</v>
      </c>
      <c r="I4" s="37" t="s">
        <v>3667</v>
      </c>
      <c r="J4" s="31" t="s">
        <v>2328</v>
      </c>
      <c r="K4" s="31" t="s">
        <v>2328</v>
      </c>
      <c r="L4" s="30" t="s">
        <v>2232</v>
      </c>
      <c r="M4" s="31" t="s">
        <v>2328</v>
      </c>
      <c r="N4" s="17"/>
    </row>
    <row r="5" spans="1:14" ht="45" x14ac:dyDescent="0.25">
      <c r="A5" s="31" t="s">
        <v>2328</v>
      </c>
      <c r="B5" s="32" t="s">
        <v>705</v>
      </c>
      <c r="C5" s="31" t="b">
        <v>1</v>
      </c>
      <c r="D5" s="31">
        <v>0</v>
      </c>
      <c r="E5" s="33" t="s">
        <v>2334</v>
      </c>
      <c r="F5" s="31" t="s">
        <v>3443</v>
      </c>
      <c r="G5" s="31" t="s">
        <v>3665</v>
      </c>
      <c r="H5" s="31" t="s">
        <v>3666</v>
      </c>
      <c r="I5" s="37" t="s">
        <v>3667</v>
      </c>
      <c r="J5" s="31" t="s">
        <v>2328</v>
      </c>
      <c r="K5" s="31" t="s">
        <v>224</v>
      </c>
      <c r="L5" s="30" t="s">
        <v>2232</v>
      </c>
      <c r="M5" s="31" t="s">
        <v>2328</v>
      </c>
      <c r="N5" s="17"/>
    </row>
    <row r="6" spans="1:14" ht="45" x14ac:dyDescent="0.25">
      <c r="A6" s="31" t="s">
        <v>2728</v>
      </c>
      <c r="B6" s="32" t="s">
        <v>693</v>
      </c>
      <c r="C6" s="31" t="b">
        <v>0</v>
      </c>
      <c r="D6" s="31">
        <v>2</v>
      </c>
      <c r="E6" s="34" t="s">
        <v>694</v>
      </c>
      <c r="F6" s="31" t="s">
        <v>131</v>
      </c>
      <c r="G6" s="31" t="s">
        <v>3665</v>
      </c>
      <c r="H6" s="31" t="s">
        <v>3666</v>
      </c>
      <c r="I6" s="37" t="s">
        <v>3667</v>
      </c>
      <c r="J6" s="31" t="s">
        <v>2328</v>
      </c>
      <c r="K6" s="31" t="s">
        <v>216</v>
      </c>
      <c r="L6" s="30" t="s">
        <v>2232</v>
      </c>
      <c r="M6" s="31" t="s">
        <v>2328</v>
      </c>
      <c r="N6" s="17"/>
    </row>
    <row r="7" spans="1:14" ht="45" x14ac:dyDescent="0.25">
      <c r="A7" s="31" t="s">
        <v>2729</v>
      </c>
      <c r="B7" s="32" t="s">
        <v>695</v>
      </c>
      <c r="C7" s="31" t="b">
        <v>0</v>
      </c>
      <c r="D7" s="31">
        <v>2</v>
      </c>
      <c r="E7" s="34" t="s">
        <v>697</v>
      </c>
      <c r="F7" s="31" t="s">
        <v>131</v>
      </c>
      <c r="G7" s="31" t="s">
        <v>3665</v>
      </c>
      <c r="H7" s="31" t="s">
        <v>3666</v>
      </c>
      <c r="I7" s="37" t="s">
        <v>3667</v>
      </c>
      <c r="J7" s="31" t="s">
        <v>2328</v>
      </c>
      <c r="K7" s="31" t="s">
        <v>216</v>
      </c>
      <c r="L7" s="30" t="s">
        <v>2232</v>
      </c>
      <c r="M7" s="31" t="s">
        <v>2328</v>
      </c>
      <c r="N7" s="17"/>
    </row>
    <row r="8" spans="1:14" ht="45" x14ac:dyDescent="0.25">
      <c r="A8" s="31" t="s">
        <v>2730</v>
      </c>
      <c r="B8" s="32" t="s">
        <v>698</v>
      </c>
      <c r="C8" s="31" t="b">
        <v>0</v>
      </c>
      <c r="D8" s="31">
        <v>2</v>
      </c>
      <c r="E8" s="34" t="s">
        <v>700</v>
      </c>
      <c r="F8" s="31" t="s">
        <v>131</v>
      </c>
      <c r="G8" s="31" t="s">
        <v>3665</v>
      </c>
      <c r="H8" s="31" t="s">
        <v>3666</v>
      </c>
      <c r="I8" s="37" t="s">
        <v>3667</v>
      </c>
      <c r="J8" s="31" t="s">
        <v>2328</v>
      </c>
      <c r="K8" s="31" t="s">
        <v>216</v>
      </c>
      <c r="L8" s="30" t="s">
        <v>2232</v>
      </c>
      <c r="M8" s="31" t="s">
        <v>2328</v>
      </c>
      <c r="N8" s="17"/>
    </row>
    <row r="9" spans="1:14" s="30" customFormat="1" ht="45" x14ac:dyDescent="0.25">
      <c r="A9" s="31" t="s">
        <v>2733</v>
      </c>
      <c r="B9" s="32" t="s">
        <v>725</v>
      </c>
      <c r="C9" s="31" t="b">
        <v>1</v>
      </c>
      <c r="D9" s="31">
        <v>6</v>
      </c>
      <c r="E9" s="38" t="s">
        <v>3538</v>
      </c>
      <c r="F9" s="31" t="s">
        <v>3443</v>
      </c>
      <c r="G9" s="31" t="s">
        <v>3665</v>
      </c>
      <c r="H9" s="31" t="s">
        <v>3666</v>
      </c>
      <c r="I9" s="37" t="s">
        <v>3667</v>
      </c>
      <c r="J9" s="31" t="s">
        <v>2328</v>
      </c>
      <c r="K9" s="31" t="s">
        <v>252</v>
      </c>
      <c r="L9" s="30" t="s">
        <v>2232</v>
      </c>
      <c r="M9" s="31" t="s">
        <v>2328</v>
      </c>
    </row>
    <row r="10" spans="1:14" s="30" customFormat="1" ht="45" x14ac:dyDescent="0.25">
      <c r="A10" s="31" t="s">
        <v>2732</v>
      </c>
      <c r="B10" s="32" t="s">
        <v>710</v>
      </c>
      <c r="C10" s="31" t="b">
        <v>0</v>
      </c>
      <c r="D10" s="31">
        <v>6</v>
      </c>
      <c r="E10" s="38" t="s">
        <v>712</v>
      </c>
      <c r="F10" s="31" t="s">
        <v>131</v>
      </c>
      <c r="G10" s="31" t="s">
        <v>3665</v>
      </c>
      <c r="H10" s="31" t="s">
        <v>3666</v>
      </c>
      <c r="I10" s="37" t="s">
        <v>3667</v>
      </c>
      <c r="J10" s="31" t="s">
        <v>2328</v>
      </c>
      <c r="K10" s="31" t="s">
        <v>243</v>
      </c>
      <c r="L10" s="30" t="s">
        <v>2232</v>
      </c>
      <c r="M10" s="31" t="s">
        <v>2328</v>
      </c>
    </row>
    <row r="11" spans="1:14" s="30" customFormat="1" ht="45" x14ac:dyDescent="0.25">
      <c r="A11" s="31" t="s">
        <v>2734</v>
      </c>
      <c r="B11" s="32" t="s">
        <v>727</v>
      </c>
      <c r="C11" s="31" t="b">
        <v>0</v>
      </c>
      <c r="D11" s="31">
        <v>8</v>
      </c>
      <c r="E11" s="36" t="s">
        <v>729</v>
      </c>
      <c r="F11" s="31" t="s">
        <v>131</v>
      </c>
      <c r="G11" s="31" t="s">
        <v>3665</v>
      </c>
      <c r="H11" s="31" t="s">
        <v>3666</v>
      </c>
      <c r="I11" s="37" t="s">
        <v>3667</v>
      </c>
      <c r="J11" s="31" t="s">
        <v>2328</v>
      </c>
      <c r="K11" s="31" t="s">
        <v>252</v>
      </c>
      <c r="L11" s="30" t="s">
        <v>2232</v>
      </c>
      <c r="M11" s="31" t="s">
        <v>2328</v>
      </c>
    </row>
    <row r="12" spans="1:14" s="30" customFormat="1" ht="45" x14ac:dyDescent="0.25">
      <c r="A12" s="31" t="s">
        <v>3304</v>
      </c>
      <c r="B12" s="32" t="s">
        <v>2211</v>
      </c>
      <c r="C12" s="31" t="b">
        <v>1</v>
      </c>
      <c r="D12" s="31">
        <v>2</v>
      </c>
      <c r="E12" s="34" t="s">
        <v>3384</v>
      </c>
      <c r="F12" s="31" t="s">
        <v>3443</v>
      </c>
      <c r="G12" s="31" t="s">
        <v>3665</v>
      </c>
      <c r="H12" s="31" t="s">
        <v>3666</v>
      </c>
      <c r="I12" s="37" t="s">
        <v>3667</v>
      </c>
      <c r="J12" s="31" t="s">
        <v>2328</v>
      </c>
      <c r="K12" s="31" t="s">
        <v>495</v>
      </c>
      <c r="L12" s="30" t="s">
        <v>2232</v>
      </c>
      <c r="M12" s="31" t="s">
        <v>2328</v>
      </c>
    </row>
    <row r="13" spans="1:14" s="30" customFormat="1" ht="45" x14ac:dyDescent="0.25">
      <c r="A13" s="31" t="s">
        <v>3305</v>
      </c>
      <c r="B13" s="32" t="s">
        <v>2213</v>
      </c>
      <c r="C13" s="31" t="b">
        <v>0</v>
      </c>
      <c r="D13" s="31">
        <v>4</v>
      </c>
      <c r="E13" s="35" t="s">
        <v>2214</v>
      </c>
      <c r="F13" s="31" t="s">
        <v>131</v>
      </c>
      <c r="G13" s="31" t="s">
        <v>3665</v>
      </c>
      <c r="H13" s="31" t="s">
        <v>3666</v>
      </c>
      <c r="I13" s="37" t="s">
        <v>3667</v>
      </c>
      <c r="J13" s="31" t="s">
        <v>2328</v>
      </c>
      <c r="K13" s="31" t="s">
        <v>495</v>
      </c>
      <c r="L13" s="30" t="s">
        <v>2232</v>
      </c>
      <c r="M13" s="31" t="s">
        <v>2328</v>
      </c>
    </row>
    <row r="14" spans="1:14" s="30" customFormat="1" ht="45" x14ac:dyDescent="0.25">
      <c r="A14" s="31" t="s">
        <v>3306</v>
      </c>
      <c r="B14" s="32" t="s">
        <v>2215</v>
      </c>
      <c r="C14" s="31" t="b">
        <v>0</v>
      </c>
      <c r="D14" s="31">
        <v>4</v>
      </c>
      <c r="E14" s="35" t="s">
        <v>2216</v>
      </c>
      <c r="F14" s="31" t="s">
        <v>131</v>
      </c>
      <c r="G14" s="31" t="s">
        <v>3665</v>
      </c>
      <c r="H14" s="31" t="s">
        <v>3666</v>
      </c>
      <c r="I14" s="37" t="s">
        <v>3667</v>
      </c>
      <c r="J14" s="31" t="s">
        <v>2328</v>
      </c>
      <c r="K14" s="31" t="s">
        <v>495</v>
      </c>
      <c r="L14" s="30" t="s">
        <v>2232</v>
      </c>
      <c r="M14" s="31" t="s">
        <v>2328</v>
      </c>
    </row>
    <row r="15" spans="1:14" s="30" customFormat="1" ht="45" x14ac:dyDescent="0.25">
      <c r="A15" s="31" t="s">
        <v>3307</v>
      </c>
      <c r="B15" s="32" t="s">
        <v>2217</v>
      </c>
      <c r="C15" s="31" t="b">
        <v>0</v>
      </c>
      <c r="D15" s="31">
        <v>4</v>
      </c>
      <c r="E15" s="35" t="s">
        <v>2218</v>
      </c>
      <c r="F15" s="31" t="s">
        <v>131</v>
      </c>
      <c r="G15" s="31" t="s">
        <v>3665</v>
      </c>
      <c r="H15" s="31" t="s">
        <v>3666</v>
      </c>
      <c r="I15" s="37" t="s">
        <v>3667</v>
      </c>
      <c r="J15" s="31" t="s">
        <v>2328</v>
      </c>
      <c r="K15" s="31" t="s">
        <v>495</v>
      </c>
      <c r="L15" s="30" t="s">
        <v>2232</v>
      </c>
      <c r="M15" s="31" t="s">
        <v>2328</v>
      </c>
    </row>
    <row r="16" spans="1:14" s="30" customFormat="1" ht="45" x14ac:dyDescent="0.25">
      <c r="A16" s="31" t="s">
        <v>2735</v>
      </c>
      <c r="B16" s="32" t="s">
        <v>730</v>
      </c>
      <c r="C16" s="31" t="b">
        <v>1</v>
      </c>
      <c r="D16" s="31">
        <v>4</v>
      </c>
      <c r="E16" s="35" t="s">
        <v>3539</v>
      </c>
      <c r="F16" s="31" t="s">
        <v>3443</v>
      </c>
      <c r="G16" s="31" t="s">
        <v>3665</v>
      </c>
      <c r="H16" s="31" t="s">
        <v>3666</v>
      </c>
      <c r="I16" s="37" t="s">
        <v>3667</v>
      </c>
      <c r="J16" s="31" t="s">
        <v>2328</v>
      </c>
      <c r="K16" s="31" t="s">
        <v>256</v>
      </c>
      <c r="L16" s="30" t="s">
        <v>2232</v>
      </c>
      <c r="M16" s="31" t="s">
        <v>2328</v>
      </c>
    </row>
    <row r="17" spans="1:13" s="30" customFormat="1" ht="45" x14ac:dyDescent="0.25">
      <c r="A17" s="31" t="s">
        <v>2736</v>
      </c>
      <c r="B17" s="32" t="s">
        <v>732</v>
      </c>
      <c r="C17" s="31" t="b">
        <v>0</v>
      </c>
      <c r="D17" s="31">
        <v>6</v>
      </c>
      <c r="E17" s="38" t="s">
        <v>734</v>
      </c>
      <c r="F17" s="31" t="s">
        <v>131</v>
      </c>
      <c r="G17" s="31" t="s">
        <v>3665</v>
      </c>
      <c r="H17" s="31" t="s">
        <v>3666</v>
      </c>
      <c r="I17" s="37" t="s">
        <v>3667</v>
      </c>
      <c r="J17" s="31" t="s">
        <v>2328</v>
      </c>
      <c r="K17" s="31" t="s">
        <v>256</v>
      </c>
      <c r="L17" s="30" t="s">
        <v>2232</v>
      </c>
      <c r="M17" s="31" t="s">
        <v>2328</v>
      </c>
    </row>
    <row r="18" spans="1:13" s="30" customFormat="1" ht="45" x14ac:dyDescent="0.25">
      <c r="A18" s="31" t="s">
        <v>2760</v>
      </c>
      <c r="B18" s="32" t="s">
        <v>803</v>
      </c>
      <c r="C18" s="31" t="b">
        <v>1</v>
      </c>
      <c r="D18" s="31">
        <v>0</v>
      </c>
      <c r="E18" s="33" t="s">
        <v>2389</v>
      </c>
      <c r="F18" s="31" t="s">
        <v>3443</v>
      </c>
      <c r="G18" s="31" t="s">
        <v>3665</v>
      </c>
      <c r="H18" s="31" t="s">
        <v>3666</v>
      </c>
      <c r="I18" s="37" t="s">
        <v>3667</v>
      </c>
      <c r="J18" s="31" t="s">
        <v>2328</v>
      </c>
      <c r="K18" s="31" t="s">
        <v>267</v>
      </c>
      <c r="L18" s="30" t="s">
        <v>2232</v>
      </c>
      <c r="M18" s="31" t="s">
        <v>2328</v>
      </c>
    </row>
    <row r="19" spans="1:13" s="30" customFormat="1" ht="75" x14ac:dyDescent="0.25">
      <c r="A19" s="31" t="s">
        <v>2761</v>
      </c>
      <c r="B19" s="32" t="s">
        <v>807</v>
      </c>
      <c r="C19" s="31" t="b">
        <v>0</v>
      </c>
      <c r="D19" s="31">
        <v>4</v>
      </c>
      <c r="E19" s="35" t="s">
        <v>809</v>
      </c>
      <c r="F19" s="31" t="s">
        <v>131</v>
      </c>
      <c r="G19" s="31" t="s">
        <v>3665</v>
      </c>
      <c r="H19" s="31" t="s">
        <v>3666</v>
      </c>
      <c r="I19" s="37" t="s">
        <v>3667</v>
      </c>
      <c r="J19" s="31" t="s">
        <v>3587</v>
      </c>
      <c r="K19" s="31" t="s">
        <v>270</v>
      </c>
      <c r="L19" s="30" t="s">
        <v>2232</v>
      </c>
      <c r="M19" s="31" t="s">
        <v>2328</v>
      </c>
    </row>
    <row r="20" spans="1:13" s="30" customFormat="1" ht="45" x14ac:dyDescent="0.25">
      <c r="A20" s="31" t="s">
        <v>2762</v>
      </c>
      <c r="B20" s="32" t="s">
        <v>812</v>
      </c>
      <c r="C20" s="31" t="b">
        <v>0</v>
      </c>
      <c r="D20" s="31">
        <v>4</v>
      </c>
      <c r="E20" s="35" t="s">
        <v>30</v>
      </c>
      <c r="F20" s="31" t="s">
        <v>131</v>
      </c>
      <c r="G20" s="31" t="s">
        <v>3665</v>
      </c>
      <c r="H20" s="31" t="s">
        <v>3666</v>
      </c>
      <c r="I20" s="37" t="s">
        <v>3667</v>
      </c>
      <c r="J20" s="31" t="s">
        <v>2328</v>
      </c>
      <c r="K20" s="31" t="s">
        <v>270</v>
      </c>
      <c r="L20" s="30" t="s">
        <v>2232</v>
      </c>
      <c r="M20" s="31" t="s">
        <v>2328</v>
      </c>
    </row>
    <row r="21" spans="1:13" s="30" customFormat="1" ht="45" x14ac:dyDescent="0.25">
      <c r="A21" s="31" t="s">
        <v>2763</v>
      </c>
      <c r="B21" s="32" t="s">
        <v>817</v>
      </c>
      <c r="C21" s="31" t="b">
        <v>0</v>
      </c>
      <c r="D21" s="31">
        <v>4</v>
      </c>
      <c r="E21" s="35" t="s">
        <v>819</v>
      </c>
      <c r="F21" s="31" t="s">
        <v>131</v>
      </c>
      <c r="G21" s="31" t="s">
        <v>3665</v>
      </c>
      <c r="H21" s="31" t="s">
        <v>3666</v>
      </c>
      <c r="I21" s="37" t="s">
        <v>3667</v>
      </c>
      <c r="J21" s="31" t="s">
        <v>2328</v>
      </c>
      <c r="K21" s="31" t="s">
        <v>270</v>
      </c>
      <c r="L21" s="30" t="s">
        <v>2232</v>
      </c>
      <c r="M21" s="31" t="s">
        <v>2328</v>
      </c>
    </row>
    <row r="22" spans="1:13" s="30" customFormat="1" ht="45" x14ac:dyDescent="0.25">
      <c r="A22" s="31" t="s">
        <v>2764</v>
      </c>
      <c r="B22" s="32" t="s">
        <v>820</v>
      </c>
      <c r="C22" s="31" t="b">
        <v>0</v>
      </c>
      <c r="D22" s="31">
        <v>4</v>
      </c>
      <c r="E22" s="35" t="s">
        <v>822</v>
      </c>
      <c r="F22" s="31" t="s">
        <v>131</v>
      </c>
      <c r="G22" s="31" t="s">
        <v>3665</v>
      </c>
      <c r="H22" s="31" t="s">
        <v>3666</v>
      </c>
      <c r="I22" s="37" t="s">
        <v>3667</v>
      </c>
      <c r="J22" s="31" t="s">
        <v>2328</v>
      </c>
      <c r="K22" s="31" t="s">
        <v>270</v>
      </c>
      <c r="L22" s="30" t="s">
        <v>2232</v>
      </c>
      <c r="M22" s="31" t="s">
        <v>2328</v>
      </c>
    </row>
    <row r="23" spans="1:13" s="30" customFormat="1" ht="45" x14ac:dyDescent="0.25">
      <c r="A23" s="31" t="s">
        <v>2765</v>
      </c>
      <c r="B23" s="32" t="s">
        <v>823</v>
      </c>
      <c r="C23" s="31" t="b">
        <v>0</v>
      </c>
      <c r="D23" s="31">
        <v>4</v>
      </c>
      <c r="E23" s="35" t="s">
        <v>3308</v>
      </c>
      <c r="F23" s="31" t="s">
        <v>131</v>
      </c>
      <c r="G23" s="31" t="s">
        <v>3665</v>
      </c>
      <c r="H23" s="31" t="s">
        <v>3666</v>
      </c>
      <c r="I23" s="37" t="s">
        <v>3667</v>
      </c>
      <c r="J23" s="31" t="s">
        <v>2328</v>
      </c>
      <c r="K23" s="31" t="s">
        <v>270</v>
      </c>
      <c r="L23" s="30" t="s">
        <v>3437</v>
      </c>
      <c r="M23" s="31" t="s">
        <v>3308</v>
      </c>
    </row>
    <row r="24" spans="1:13" s="30" customFormat="1" ht="45" x14ac:dyDescent="0.25">
      <c r="A24" s="31" t="s">
        <v>2771</v>
      </c>
      <c r="B24" s="32" t="s">
        <v>842</v>
      </c>
      <c r="C24" s="31" t="b">
        <v>0</v>
      </c>
      <c r="D24" s="31">
        <v>4</v>
      </c>
      <c r="E24" s="35" t="s">
        <v>844</v>
      </c>
      <c r="F24" s="31" t="s">
        <v>131</v>
      </c>
      <c r="G24" s="31" t="s">
        <v>3665</v>
      </c>
      <c r="H24" s="31" t="s">
        <v>3666</v>
      </c>
      <c r="I24" s="37" t="s">
        <v>3667</v>
      </c>
      <c r="J24" s="31" t="s">
        <v>2328</v>
      </c>
      <c r="K24" s="31" t="s">
        <v>270</v>
      </c>
      <c r="L24" s="30" t="s">
        <v>2232</v>
      </c>
      <c r="M24" s="31" t="s">
        <v>2328</v>
      </c>
    </row>
    <row r="25" spans="1:13" s="30" customFormat="1" ht="45" x14ac:dyDescent="0.25">
      <c r="A25" s="31" t="s">
        <v>2772</v>
      </c>
      <c r="B25" s="32" t="s">
        <v>845</v>
      </c>
      <c r="C25" s="31" t="b">
        <v>0</v>
      </c>
      <c r="D25" s="31">
        <v>4</v>
      </c>
      <c r="E25" s="35" t="s">
        <v>847</v>
      </c>
      <c r="F25" s="31" t="s">
        <v>131</v>
      </c>
      <c r="G25" s="31" t="s">
        <v>3665</v>
      </c>
      <c r="H25" s="31" t="s">
        <v>3666</v>
      </c>
      <c r="I25" s="37" t="s">
        <v>3667</v>
      </c>
      <c r="J25" s="31" t="s">
        <v>2328</v>
      </c>
      <c r="K25" s="31" t="s">
        <v>270</v>
      </c>
      <c r="L25" s="30" t="s">
        <v>2232</v>
      </c>
      <c r="M25" s="31" t="s">
        <v>2328</v>
      </c>
    </row>
    <row r="26" spans="1:13" s="30" customFormat="1" ht="45" x14ac:dyDescent="0.25">
      <c r="A26" s="31" t="s">
        <v>2768</v>
      </c>
      <c r="B26" s="32" t="s">
        <v>833</v>
      </c>
      <c r="C26" s="31" t="b">
        <v>0</v>
      </c>
      <c r="D26" s="31">
        <v>4</v>
      </c>
      <c r="E26" s="35" t="s">
        <v>835</v>
      </c>
      <c r="F26" s="31" t="s">
        <v>131</v>
      </c>
      <c r="G26" s="31" t="s">
        <v>3665</v>
      </c>
      <c r="H26" s="31" t="s">
        <v>3666</v>
      </c>
      <c r="I26" s="37" t="s">
        <v>3667</v>
      </c>
      <c r="J26" s="31" t="s">
        <v>2328</v>
      </c>
      <c r="K26" s="31" t="s">
        <v>270</v>
      </c>
      <c r="L26" s="30" t="s">
        <v>2232</v>
      </c>
      <c r="M26" s="31" t="s">
        <v>2328</v>
      </c>
    </row>
    <row r="27" spans="1:13" s="30" customFormat="1" ht="45" x14ac:dyDescent="0.25">
      <c r="A27" s="31" t="s">
        <v>2769</v>
      </c>
      <c r="B27" s="32" t="s">
        <v>836</v>
      </c>
      <c r="C27" s="31" t="b">
        <v>0</v>
      </c>
      <c r="D27" s="31">
        <v>4</v>
      </c>
      <c r="E27" s="35" t="s">
        <v>838</v>
      </c>
      <c r="F27" s="31" t="s">
        <v>131</v>
      </c>
      <c r="G27" s="31" t="s">
        <v>3665</v>
      </c>
      <c r="H27" s="31" t="s">
        <v>3666</v>
      </c>
      <c r="I27" s="37" t="s">
        <v>3667</v>
      </c>
      <c r="J27" s="31" t="s">
        <v>2328</v>
      </c>
      <c r="K27" s="31" t="s">
        <v>270</v>
      </c>
      <c r="L27" s="30" t="s">
        <v>2232</v>
      </c>
      <c r="M27" s="31" t="s">
        <v>2328</v>
      </c>
    </row>
    <row r="28" spans="1:13" s="30" customFormat="1" ht="45" x14ac:dyDescent="0.25">
      <c r="A28" s="31" t="s">
        <v>2770</v>
      </c>
      <c r="B28" s="32" t="s">
        <v>839</v>
      </c>
      <c r="C28" s="31" t="b">
        <v>0</v>
      </c>
      <c r="D28" s="31">
        <v>4</v>
      </c>
      <c r="E28" s="35" t="s">
        <v>841</v>
      </c>
      <c r="F28" s="31" t="s">
        <v>131</v>
      </c>
      <c r="G28" s="31" t="s">
        <v>3665</v>
      </c>
      <c r="H28" s="31" t="s">
        <v>3666</v>
      </c>
      <c r="I28" s="37" t="s">
        <v>3667</v>
      </c>
      <c r="J28" s="31" t="s">
        <v>2328</v>
      </c>
      <c r="K28" s="31" t="s">
        <v>270</v>
      </c>
      <c r="L28" s="30" t="s">
        <v>2232</v>
      </c>
      <c r="M28" s="31" t="s">
        <v>2328</v>
      </c>
    </row>
    <row r="29" spans="1:13" s="30" customFormat="1" ht="45" x14ac:dyDescent="0.25">
      <c r="A29" s="31" t="s">
        <v>2766</v>
      </c>
      <c r="B29" s="32" t="s">
        <v>827</v>
      </c>
      <c r="C29" s="31" t="b">
        <v>0</v>
      </c>
      <c r="D29" s="31">
        <v>4</v>
      </c>
      <c r="E29" s="35" t="s">
        <v>829</v>
      </c>
      <c r="F29" s="31" t="s">
        <v>131</v>
      </c>
      <c r="G29" s="31" t="s">
        <v>3665</v>
      </c>
      <c r="H29" s="31" t="s">
        <v>3666</v>
      </c>
      <c r="I29" s="37" t="s">
        <v>3667</v>
      </c>
      <c r="J29" s="31" t="s">
        <v>2328</v>
      </c>
      <c r="K29" s="31" t="s">
        <v>270</v>
      </c>
      <c r="L29" s="30" t="s">
        <v>2232</v>
      </c>
      <c r="M29" s="31" t="s">
        <v>2328</v>
      </c>
    </row>
    <row r="30" spans="1:13" s="30" customFormat="1" ht="45" x14ac:dyDescent="0.25">
      <c r="A30" s="31" t="s">
        <v>2773</v>
      </c>
      <c r="B30" s="32" t="s">
        <v>848</v>
      </c>
      <c r="C30" s="31" t="b">
        <v>0</v>
      </c>
      <c r="D30" s="31">
        <v>4</v>
      </c>
      <c r="E30" s="35" t="s">
        <v>850</v>
      </c>
      <c r="F30" s="31" t="s">
        <v>131</v>
      </c>
      <c r="G30" s="31" t="s">
        <v>3665</v>
      </c>
      <c r="H30" s="31" t="s">
        <v>3666</v>
      </c>
      <c r="I30" s="37" t="s">
        <v>3667</v>
      </c>
      <c r="J30" s="31" t="s">
        <v>2328</v>
      </c>
      <c r="K30" s="31" t="s">
        <v>270</v>
      </c>
      <c r="L30" s="30" t="s">
        <v>2232</v>
      </c>
      <c r="M30" s="31" t="s">
        <v>2328</v>
      </c>
    </row>
    <row r="31" spans="1:13" s="30" customFormat="1" ht="45" x14ac:dyDescent="0.25">
      <c r="A31" s="31" t="s">
        <v>2774</v>
      </c>
      <c r="B31" s="32" t="s">
        <v>851</v>
      </c>
      <c r="C31" s="31" t="b">
        <v>0</v>
      </c>
      <c r="D31" s="31">
        <v>4</v>
      </c>
      <c r="E31" s="35" t="s">
        <v>853</v>
      </c>
      <c r="F31" s="31" t="s">
        <v>131</v>
      </c>
      <c r="G31" s="31" t="s">
        <v>3665</v>
      </c>
      <c r="H31" s="31" t="s">
        <v>3666</v>
      </c>
      <c r="I31" s="37" t="s">
        <v>3667</v>
      </c>
      <c r="J31" s="31" t="s">
        <v>2328</v>
      </c>
      <c r="K31" s="31" t="s">
        <v>270</v>
      </c>
      <c r="L31" s="30" t="s">
        <v>2232</v>
      </c>
      <c r="M31" s="31" t="s">
        <v>2328</v>
      </c>
    </row>
    <row r="32" spans="1:13" s="30" customFormat="1" ht="45" x14ac:dyDescent="0.25">
      <c r="A32" s="31" t="s">
        <v>2775</v>
      </c>
      <c r="B32" s="32" t="s">
        <v>854</v>
      </c>
      <c r="C32" s="31" t="b">
        <v>0</v>
      </c>
      <c r="D32" s="31">
        <v>4</v>
      </c>
      <c r="E32" s="35" t="s">
        <v>856</v>
      </c>
      <c r="F32" s="31" t="s">
        <v>131</v>
      </c>
      <c r="G32" s="31" t="s">
        <v>3665</v>
      </c>
      <c r="H32" s="31" t="s">
        <v>3666</v>
      </c>
      <c r="I32" s="37" t="s">
        <v>3667</v>
      </c>
      <c r="J32" s="31" t="s">
        <v>2328</v>
      </c>
      <c r="K32" s="31" t="s">
        <v>270</v>
      </c>
      <c r="L32" s="30" t="s">
        <v>2232</v>
      </c>
      <c r="M32" s="31" t="s">
        <v>2328</v>
      </c>
    </row>
    <row r="33" spans="1:13" s="30" customFormat="1" ht="45" x14ac:dyDescent="0.25">
      <c r="A33" s="31" t="s">
        <v>2767</v>
      </c>
      <c r="B33" s="32" t="s">
        <v>830</v>
      </c>
      <c r="C33" s="31" t="b">
        <v>0</v>
      </c>
      <c r="D33" s="31">
        <v>4</v>
      </c>
      <c r="E33" s="35" t="s">
        <v>832</v>
      </c>
      <c r="F33" s="31" t="s">
        <v>131</v>
      </c>
      <c r="G33" s="31" t="s">
        <v>3665</v>
      </c>
      <c r="H33" s="31" t="s">
        <v>3666</v>
      </c>
      <c r="I33" s="37" t="s">
        <v>3667</v>
      </c>
      <c r="J33" s="31" t="s">
        <v>2328</v>
      </c>
      <c r="K33" s="31" t="s">
        <v>270</v>
      </c>
      <c r="L33" s="30" t="s">
        <v>2232</v>
      </c>
      <c r="M33" s="31" t="s">
        <v>2328</v>
      </c>
    </row>
    <row r="34" spans="1:13" s="30" customFormat="1" ht="45" x14ac:dyDescent="0.25">
      <c r="A34" s="31" t="s">
        <v>2776</v>
      </c>
      <c r="B34" s="32" t="s">
        <v>857</v>
      </c>
      <c r="C34" s="31" t="b">
        <v>0</v>
      </c>
      <c r="D34" s="31">
        <v>4</v>
      </c>
      <c r="E34" s="35" t="s">
        <v>859</v>
      </c>
      <c r="F34" s="31" t="s">
        <v>131</v>
      </c>
      <c r="G34" s="31" t="s">
        <v>3665</v>
      </c>
      <c r="H34" s="31" t="s">
        <v>3666</v>
      </c>
      <c r="I34" s="37" t="s">
        <v>3667</v>
      </c>
      <c r="J34" s="31" t="s">
        <v>2328</v>
      </c>
      <c r="K34" s="31" t="s">
        <v>270</v>
      </c>
      <c r="L34" s="30" t="s">
        <v>2232</v>
      </c>
      <c r="M34" s="31" t="s">
        <v>2328</v>
      </c>
    </row>
    <row r="35" spans="1:13" s="30" customFormat="1" ht="45" x14ac:dyDescent="0.25">
      <c r="A35" s="31" t="s">
        <v>2777</v>
      </c>
      <c r="B35" s="32" t="s">
        <v>860</v>
      </c>
      <c r="C35" s="31" t="b">
        <v>0</v>
      </c>
      <c r="D35" s="31">
        <v>4</v>
      </c>
      <c r="E35" s="35" t="s">
        <v>862</v>
      </c>
      <c r="F35" s="31" t="s">
        <v>131</v>
      </c>
      <c r="G35" s="31" t="s">
        <v>3665</v>
      </c>
      <c r="H35" s="31" t="s">
        <v>3666</v>
      </c>
      <c r="I35" s="37" t="s">
        <v>3667</v>
      </c>
      <c r="J35" s="31" t="s">
        <v>2328</v>
      </c>
      <c r="K35" s="31" t="s">
        <v>270</v>
      </c>
      <c r="L35" s="30" t="s">
        <v>2232</v>
      </c>
      <c r="M35" s="31" t="s">
        <v>2328</v>
      </c>
    </row>
    <row r="36" spans="1:13" s="30" customFormat="1" ht="45" x14ac:dyDescent="0.25">
      <c r="A36" s="31" t="s">
        <v>2328</v>
      </c>
      <c r="B36" s="32" t="s">
        <v>885</v>
      </c>
      <c r="C36" s="31" t="b">
        <v>1</v>
      </c>
      <c r="D36" s="31">
        <v>2</v>
      </c>
      <c r="E36" s="34" t="s">
        <v>2390</v>
      </c>
      <c r="F36" s="31" t="s">
        <v>3443</v>
      </c>
      <c r="G36" s="31" t="s">
        <v>3665</v>
      </c>
      <c r="H36" s="31" t="s">
        <v>3666</v>
      </c>
      <c r="I36" s="37" t="s">
        <v>3667</v>
      </c>
      <c r="J36" s="31" t="s">
        <v>2328</v>
      </c>
      <c r="K36" s="31" t="s">
        <v>270</v>
      </c>
      <c r="L36" s="30" t="s">
        <v>2232</v>
      </c>
      <c r="M36" s="31" t="s">
        <v>2328</v>
      </c>
    </row>
    <row r="37" spans="1:13" s="30" customFormat="1" ht="45" x14ac:dyDescent="0.25">
      <c r="A37" s="31" t="s">
        <v>2794</v>
      </c>
      <c r="B37" s="32" t="s">
        <v>890</v>
      </c>
      <c r="C37" s="31" t="b">
        <v>0</v>
      </c>
      <c r="D37" s="31">
        <v>4</v>
      </c>
      <c r="E37" s="35" t="s">
        <v>892</v>
      </c>
      <c r="F37" s="31" t="s">
        <v>131</v>
      </c>
      <c r="G37" s="31" t="s">
        <v>3665</v>
      </c>
      <c r="H37" s="31" t="s">
        <v>3666</v>
      </c>
      <c r="I37" s="37" t="s">
        <v>3667</v>
      </c>
      <c r="J37" s="31" t="s">
        <v>2328</v>
      </c>
      <c r="K37" s="31" t="s">
        <v>270</v>
      </c>
      <c r="L37" s="30" t="s">
        <v>2232</v>
      </c>
      <c r="M37" s="31" t="s">
        <v>2328</v>
      </c>
    </row>
    <row r="38" spans="1:13" s="30" customFormat="1" ht="45" x14ac:dyDescent="0.25">
      <c r="A38" s="31" t="s">
        <v>2795</v>
      </c>
      <c r="B38" s="32" t="s">
        <v>893</v>
      </c>
      <c r="C38" s="31" t="b">
        <v>0</v>
      </c>
      <c r="D38" s="31">
        <v>4</v>
      </c>
      <c r="E38" s="35" t="s">
        <v>895</v>
      </c>
      <c r="F38" s="31" t="s">
        <v>131</v>
      </c>
      <c r="G38" s="31" t="s">
        <v>3665</v>
      </c>
      <c r="H38" s="31" t="s">
        <v>3666</v>
      </c>
      <c r="I38" s="37" t="s">
        <v>3667</v>
      </c>
      <c r="J38" s="31" t="s">
        <v>2328</v>
      </c>
      <c r="K38" s="31" t="s">
        <v>270</v>
      </c>
      <c r="L38" s="30" t="s">
        <v>2232</v>
      </c>
      <c r="M38" s="31" t="s">
        <v>2328</v>
      </c>
    </row>
    <row r="39" spans="1:13" s="30" customFormat="1" ht="45" x14ac:dyDescent="0.25">
      <c r="A39" s="31" t="s">
        <v>2796</v>
      </c>
      <c r="B39" s="32" t="s">
        <v>896</v>
      </c>
      <c r="C39" s="31" t="b">
        <v>0</v>
      </c>
      <c r="D39" s="31">
        <v>4</v>
      </c>
      <c r="E39" s="35" t="s">
        <v>898</v>
      </c>
      <c r="F39" s="31" t="s">
        <v>131</v>
      </c>
      <c r="G39" s="31" t="s">
        <v>3665</v>
      </c>
      <c r="H39" s="31" t="s">
        <v>3666</v>
      </c>
      <c r="I39" s="37" t="s">
        <v>3667</v>
      </c>
      <c r="J39" s="31" t="s">
        <v>2328</v>
      </c>
      <c r="K39" s="31" t="s">
        <v>270</v>
      </c>
      <c r="L39" s="30" t="s">
        <v>2232</v>
      </c>
      <c r="M39" s="31" t="s">
        <v>2328</v>
      </c>
    </row>
    <row r="40" spans="1:13" s="30" customFormat="1" ht="45" x14ac:dyDescent="0.25">
      <c r="A40" s="31" t="s">
        <v>2798</v>
      </c>
      <c r="B40" s="32" t="s">
        <v>902</v>
      </c>
      <c r="C40" s="31" t="b">
        <v>0</v>
      </c>
      <c r="D40" s="31">
        <v>4</v>
      </c>
      <c r="E40" s="35" t="s">
        <v>904</v>
      </c>
      <c r="F40" s="31" t="s">
        <v>131</v>
      </c>
      <c r="G40" s="31" t="s">
        <v>3665</v>
      </c>
      <c r="H40" s="31" t="s">
        <v>3666</v>
      </c>
      <c r="I40" s="37" t="s">
        <v>3667</v>
      </c>
      <c r="J40" s="31" t="s">
        <v>2328</v>
      </c>
      <c r="K40" s="31" t="s">
        <v>270</v>
      </c>
      <c r="L40" s="30" t="s">
        <v>2232</v>
      </c>
      <c r="M40" s="31" t="s">
        <v>2328</v>
      </c>
    </row>
    <row r="41" spans="1:13" s="30" customFormat="1" ht="45" x14ac:dyDescent="0.25">
      <c r="A41" s="31" t="s">
        <v>2799</v>
      </c>
      <c r="B41" s="32" t="s">
        <v>905</v>
      </c>
      <c r="C41" s="31" t="b">
        <v>0</v>
      </c>
      <c r="D41" s="31">
        <v>4</v>
      </c>
      <c r="E41" s="35" t="s">
        <v>907</v>
      </c>
      <c r="F41" s="31" t="s">
        <v>131</v>
      </c>
      <c r="G41" s="31" t="s">
        <v>3665</v>
      </c>
      <c r="H41" s="31" t="s">
        <v>3666</v>
      </c>
      <c r="I41" s="37" t="s">
        <v>3667</v>
      </c>
      <c r="J41" s="31" t="s">
        <v>2328</v>
      </c>
      <c r="K41" s="31" t="s">
        <v>270</v>
      </c>
      <c r="L41" s="30" t="s">
        <v>2232</v>
      </c>
      <c r="M41" s="31" t="s">
        <v>2328</v>
      </c>
    </row>
    <row r="42" spans="1:13" s="30" customFormat="1" ht="45" x14ac:dyDescent="0.25">
      <c r="A42" s="31" t="s">
        <v>2797</v>
      </c>
      <c r="B42" s="32" t="s">
        <v>899</v>
      </c>
      <c r="C42" s="31" t="b">
        <v>0</v>
      </c>
      <c r="D42" s="31">
        <v>4</v>
      </c>
      <c r="E42" s="35" t="s">
        <v>901</v>
      </c>
      <c r="F42" s="31" t="s">
        <v>131</v>
      </c>
      <c r="G42" s="31" t="s">
        <v>3665</v>
      </c>
      <c r="H42" s="31" t="s">
        <v>3666</v>
      </c>
      <c r="I42" s="37" t="s">
        <v>3667</v>
      </c>
      <c r="J42" s="31" t="s">
        <v>2328</v>
      </c>
      <c r="K42" s="31" t="s">
        <v>270</v>
      </c>
      <c r="L42" s="30" t="s">
        <v>2232</v>
      </c>
      <c r="M42" s="31" t="s">
        <v>2328</v>
      </c>
    </row>
    <row r="43" spans="1:13" s="30" customFormat="1" ht="45" x14ac:dyDescent="0.25">
      <c r="A43" s="31" t="s">
        <v>2800</v>
      </c>
      <c r="B43" s="32" t="s">
        <v>911</v>
      </c>
      <c r="C43" s="31" t="b">
        <v>0</v>
      </c>
      <c r="D43" s="31">
        <v>4</v>
      </c>
      <c r="E43" s="35" t="s">
        <v>913</v>
      </c>
      <c r="F43" s="31" t="s">
        <v>131</v>
      </c>
      <c r="G43" s="31" t="s">
        <v>3665</v>
      </c>
      <c r="H43" s="31" t="s">
        <v>3666</v>
      </c>
      <c r="I43" s="37" t="s">
        <v>3667</v>
      </c>
      <c r="J43" s="31" t="s">
        <v>2328</v>
      </c>
      <c r="K43" s="31" t="s">
        <v>270</v>
      </c>
      <c r="L43" s="30" t="s">
        <v>2232</v>
      </c>
      <c r="M43" s="31" t="s">
        <v>2328</v>
      </c>
    </row>
    <row r="44" spans="1:13" s="30" customFormat="1" ht="45" x14ac:dyDescent="0.25">
      <c r="A44" s="31" t="s">
        <v>2801</v>
      </c>
      <c r="B44" s="32" t="s">
        <v>914</v>
      </c>
      <c r="C44" s="31" t="b">
        <v>0</v>
      </c>
      <c r="D44" s="31">
        <v>4</v>
      </c>
      <c r="E44" s="35" t="s">
        <v>916</v>
      </c>
      <c r="F44" s="31" t="s">
        <v>131</v>
      </c>
      <c r="G44" s="31" t="s">
        <v>3665</v>
      </c>
      <c r="H44" s="31" t="s">
        <v>3666</v>
      </c>
      <c r="I44" s="37" t="s">
        <v>3667</v>
      </c>
      <c r="J44" s="31" t="s">
        <v>2328</v>
      </c>
      <c r="K44" s="31" t="s">
        <v>270</v>
      </c>
      <c r="L44" s="30" t="s">
        <v>2232</v>
      </c>
      <c r="M44" s="31" t="s">
        <v>2328</v>
      </c>
    </row>
    <row r="45" spans="1:13" s="30" customFormat="1" ht="45" x14ac:dyDescent="0.25">
      <c r="A45" s="31" t="s">
        <v>2802</v>
      </c>
      <c r="B45" s="32" t="s">
        <v>917</v>
      </c>
      <c r="C45" s="31" t="b">
        <v>0</v>
      </c>
      <c r="D45" s="31">
        <v>4</v>
      </c>
      <c r="E45" s="35" t="s">
        <v>919</v>
      </c>
      <c r="F45" s="31" t="s">
        <v>131</v>
      </c>
      <c r="G45" s="31" t="s">
        <v>3665</v>
      </c>
      <c r="H45" s="31" t="s">
        <v>3666</v>
      </c>
      <c r="I45" s="37" t="s">
        <v>3667</v>
      </c>
      <c r="J45" s="31" t="s">
        <v>2328</v>
      </c>
      <c r="K45" s="31" t="s">
        <v>270</v>
      </c>
      <c r="L45" s="30" t="s">
        <v>2232</v>
      </c>
      <c r="M45" s="31" t="s">
        <v>2328</v>
      </c>
    </row>
    <row r="46" spans="1:13" s="30" customFormat="1" ht="45" x14ac:dyDescent="0.25">
      <c r="A46" s="31" t="s">
        <v>2803</v>
      </c>
      <c r="B46" s="32" t="s">
        <v>920</v>
      </c>
      <c r="C46" s="31" t="b">
        <v>0</v>
      </c>
      <c r="D46" s="31">
        <v>4</v>
      </c>
      <c r="E46" s="35" t="s">
        <v>922</v>
      </c>
      <c r="F46" s="31" t="s">
        <v>131</v>
      </c>
      <c r="G46" s="31" t="s">
        <v>3665</v>
      </c>
      <c r="H46" s="31" t="s">
        <v>3666</v>
      </c>
      <c r="I46" s="37" t="s">
        <v>3667</v>
      </c>
      <c r="J46" s="31" t="s">
        <v>2328</v>
      </c>
      <c r="K46" s="31" t="s">
        <v>270</v>
      </c>
      <c r="L46" s="30" t="s">
        <v>2232</v>
      </c>
      <c r="M46" s="31" t="s">
        <v>2328</v>
      </c>
    </row>
    <row r="47" spans="1:13" s="30" customFormat="1" ht="45" x14ac:dyDescent="0.25">
      <c r="A47" s="31" t="s">
        <v>2804</v>
      </c>
      <c r="B47" s="32" t="s">
        <v>923</v>
      </c>
      <c r="C47" s="31" t="b">
        <v>0</v>
      </c>
      <c r="D47" s="31">
        <v>4</v>
      </c>
      <c r="E47" s="35" t="s">
        <v>925</v>
      </c>
      <c r="F47" s="31" t="s">
        <v>131</v>
      </c>
      <c r="G47" s="31" t="s">
        <v>3665</v>
      </c>
      <c r="H47" s="31" t="s">
        <v>3666</v>
      </c>
      <c r="I47" s="37" t="s">
        <v>3667</v>
      </c>
      <c r="J47" s="31" t="s">
        <v>2328</v>
      </c>
      <c r="K47" s="31" t="s">
        <v>270</v>
      </c>
      <c r="L47" s="30" t="s">
        <v>2232</v>
      </c>
      <c r="M47" s="31" t="s">
        <v>2328</v>
      </c>
    </row>
    <row r="48" spans="1:13" s="30" customFormat="1" ht="45" x14ac:dyDescent="0.25">
      <c r="A48" s="31" t="s">
        <v>2805</v>
      </c>
      <c r="B48" s="32" t="s">
        <v>926</v>
      </c>
      <c r="C48" s="31" t="b">
        <v>0</v>
      </c>
      <c r="D48" s="31">
        <v>4</v>
      </c>
      <c r="E48" s="35" t="s">
        <v>928</v>
      </c>
      <c r="F48" s="31" t="s">
        <v>131</v>
      </c>
      <c r="G48" s="31" t="s">
        <v>3665</v>
      </c>
      <c r="H48" s="31" t="s">
        <v>3666</v>
      </c>
      <c r="I48" s="37" t="s">
        <v>3667</v>
      </c>
      <c r="J48" s="31" t="s">
        <v>2328</v>
      </c>
      <c r="K48" s="31" t="s">
        <v>270</v>
      </c>
      <c r="L48" s="30" t="s">
        <v>2232</v>
      </c>
      <c r="M48" s="31" t="s">
        <v>2328</v>
      </c>
    </row>
    <row r="49" spans="1:13" s="30" customFormat="1" ht="45" x14ac:dyDescent="0.25">
      <c r="A49" s="31" t="s">
        <v>2806</v>
      </c>
      <c r="B49" s="32" t="s">
        <v>929</v>
      </c>
      <c r="C49" s="31" t="b">
        <v>0</v>
      </c>
      <c r="D49" s="31">
        <v>4</v>
      </c>
      <c r="E49" s="35" t="s">
        <v>931</v>
      </c>
      <c r="F49" s="31" t="s">
        <v>131</v>
      </c>
      <c r="G49" s="31" t="s">
        <v>3665</v>
      </c>
      <c r="H49" s="31" t="s">
        <v>3666</v>
      </c>
      <c r="I49" s="37" t="s">
        <v>3667</v>
      </c>
      <c r="J49" s="31" t="s">
        <v>2328</v>
      </c>
      <c r="K49" s="31" t="s">
        <v>270</v>
      </c>
      <c r="L49" s="30" t="s">
        <v>2232</v>
      </c>
      <c r="M49" s="31" t="s">
        <v>2328</v>
      </c>
    </row>
    <row r="50" spans="1:13" s="30" customFormat="1" ht="45" x14ac:dyDescent="0.25">
      <c r="A50" s="31" t="s">
        <v>2807</v>
      </c>
      <c r="B50" s="32" t="s">
        <v>932</v>
      </c>
      <c r="C50" s="31" t="b">
        <v>0</v>
      </c>
      <c r="D50" s="31">
        <v>4</v>
      </c>
      <c r="E50" s="35" t="s">
        <v>934</v>
      </c>
      <c r="F50" s="31" t="s">
        <v>131</v>
      </c>
      <c r="G50" s="31" t="s">
        <v>3665</v>
      </c>
      <c r="H50" s="31" t="s">
        <v>3666</v>
      </c>
      <c r="I50" s="37" t="s">
        <v>3667</v>
      </c>
      <c r="J50" s="31" t="s">
        <v>2328</v>
      </c>
      <c r="K50" s="31" t="s">
        <v>270</v>
      </c>
      <c r="L50" s="30" t="s">
        <v>2232</v>
      </c>
      <c r="M50" s="31" t="s">
        <v>2328</v>
      </c>
    </row>
    <row r="51" spans="1:13" s="30" customFormat="1" ht="45" x14ac:dyDescent="0.25">
      <c r="A51" s="31" t="s">
        <v>2808</v>
      </c>
      <c r="B51" s="32" t="s">
        <v>935</v>
      </c>
      <c r="C51" s="31" t="b">
        <v>0</v>
      </c>
      <c r="D51" s="31">
        <v>4</v>
      </c>
      <c r="E51" s="35" t="s">
        <v>937</v>
      </c>
      <c r="F51" s="31" t="s">
        <v>131</v>
      </c>
      <c r="G51" s="31" t="s">
        <v>3665</v>
      </c>
      <c r="H51" s="31" t="s">
        <v>3666</v>
      </c>
      <c r="I51" s="37" t="s">
        <v>3667</v>
      </c>
      <c r="J51" s="31" t="s">
        <v>2328</v>
      </c>
      <c r="K51" s="31" t="s">
        <v>270</v>
      </c>
      <c r="L51" s="30" t="s">
        <v>2232</v>
      </c>
      <c r="M51" s="31" t="s">
        <v>2328</v>
      </c>
    </row>
    <row r="52" spans="1:13" s="30" customFormat="1" ht="45" x14ac:dyDescent="0.25">
      <c r="A52" s="31" t="s">
        <v>2809</v>
      </c>
      <c r="B52" s="32" t="s">
        <v>938</v>
      </c>
      <c r="C52" s="31" t="b">
        <v>0</v>
      </c>
      <c r="D52" s="31">
        <v>4</v>
      </c>
      <c r="E52" s="35" t="s">
        <v>940</v>
      </c>
      <c r="F52" s="31" t="s">
        <v>131</v>
      </c>
      <c r="G52" s="31" t="s">
        <v>3665</v>
      </c>
      <c r="H52" s="31" t="s">
        <v>3666</v>
      </c>
      <c r="I52" s="37" t="s">
        <v>3667</v>
      </c>
      <c r="J52" s="31" t="s">
        <v>2328</v>
      </c>
      <c r="K52" s="31" t="s">
        <v>270</v>
      </c>
      <c r="L52" s="30" t="s">
        <v>2232</v>
      </c>
      <c r="M52" s="31" t="s">
        <v>2328</v>
      </c>
    </row>
    <row r="53" spans="1:13" s="30" customFormat="1" ht="45" x14ac:dyDescent="0.25">
      <c r="A53" s="31" t="s">
        <v>2810</v>
      </c>
      <c r="B53" s="32" t="s">
        <v>941</v>
      </c>
      <c r="C53" s="31" t="b">
        <v>0</v>
      </c>
      <c r="D53" s="31">
        <v>4</v>
      </c>
      <c r="E53" s="35" t="s">
        <v>943</v>
      </c>
      <c r="F53" s="31" t="s">
        <v>131</v>
      </c>
      <c r="G53" s="31" t="s">
        <v>3665</v>
      </c>
      <c r="H53" s="31" t="s">
        <v>3666</v>
      </c>
      <c r="I53" s="37" t="s">
        <v>3667</v>
      </c>
      <c r="J53" s="31" t="s">
        <v>2328</v>
      </c>
      <c r="K53" s="31" t="s">
        <v>270</v>
      </c>
      <c r="L53" s="30" t="s">
        <v>2232</v>
      </c>
      <c r="M53" s="31" t="s">
        <v>2328</v>
      </c>
    </row>
    <row r="54" spans="1:13" s="30" customFormat="1" ht="45" x14ac:dyDescent="0.25">
      <c r="A54" s="31" t="s">
        <v>2811</v>
      </c>
      <c r="B54" s="32" t="s">
        <v>944</v>
      </c>
      <c r="C54" s="31" t="b">
        <v>0</v>
      </c>
      <c r="D54" s="31">
        <v>4</v>
      </c>
      <c r="E54" s="35" t="s">
        <v>946</v>
      </c>
      <c r="F54" s="31" t="s">
        <v>131</v>
      </c>
      <c r="G54" s="31" t="s">
        <v>3665</v>
      </c>
      <c r="H54" s="31" t="s">
        <v>3666</v>
      </c>
      <c r="I54" s="37" t="s">
        <v>3667</v>
      </c>
      <c r="J54" s="31" t="s">
        <v>2328</v>
      </c>
      <c r="K54" s="31" t="s">
        <v>270</v>
      </c>
      <c r="L54" s="30" t="s">
        <v>2232</v>
      </c>
      <c r="M54" s="31" t="s">
        <v>2328</v>
      </c>
    </row>
    <row r="55" spans="1:13" s="30" customFormat="1" ht="45" x14ac:dyDescent="0.25">
      <c r="A55" s="31" t="s">
        <v>2812</v>
      </c>
      <c r="B55" s="32" t="s">
        <v>947</v>
      </c>
      <c r="C55" s="31" t="b">
        <v>0</v>
      </c>
      <c r="D55" s="31">
        <v>4</v>
      </c>
      <c r="E55" s="35" t="s">
        <v>949</v>
      </c>
      <c r="F55" s="31" t="s">
        <v>131</v>
      </c>
      <c r="G55" s="31" t="s">
        <v>3665</v>
      </c>
      <c r="H55" s="31" t="s">
        <v>3666</v>
      </c>
      <c r="I55" s="37" t="s">
        <v>3667</v>
      </c>
      <c r="J55" s="31" t="s">
        <v>2328</v>
      </c>
      <c r="K55" s="31" t="s">
        <v>270</v>
      </c>
      <c r="L55" s="30" t="s">
        <v>2232</v>
      </c>
      <c r="M55" s="31" t="s">
        <v>2328</v>
      </c>
    </row>
    <row r="56" spans="1:13" s="30" customFormat="1" ht="45" x14ac:dyDescent="0.25">
      <c r="A56" s="31" t="s">
        <v>2813</v>
      </c>
      <c r="B56" s="32" t="s">
        <v>950</v>
      </c>
      <c r="C56" s="31" t="b">
        <v>0</v>
      </c>
      <c r="D56" s="31">
        <v>4</v>
      </c>
      <c r="E56" s="35" t="s">
        <v>952</v>
      </c>
      <c r="F56" s="31" t="s">
        <v>131</v>
      </c>
      <c r="G56" s="31" t="s">
        <v>3665</v>
      </c>
      <c r="H56" s="31" t="s">
        <v>3666</v>
      </c>
      <c r="I56" s="37" t="s">
        <v>3667</v>
      </c>
      <c r="J56" s="31" t="s">
        <v>2328</v>
      </c>
      <c r="K56" s="31" t="s">
        <v>270</v>
      </c>
      <c r="L56" s="30" t="s">
        <v>2232</v>
      </c>
      <c r="M56" s="31" t="s">
        <v>2328</v>
      </c>
    </row>
    <row r="57" spans="1:13" s="30" customFormat="1" ht="45" x14ac:dyDescent="0.25">
      <c r="A57" s="31" t="s">
        <v>2814</v>
      </c>
      <c r="B57" s="32" t="s">
        <v>953</v>
      </c>
      <c r="C57" s="31" t="b">
        <v>0</v>
      </c>
      <c r="D57" s="31">
        <v>4</v>
      </c>
      <c r="E57" s="35" t="s">
        <v>955</v>
      </c>
      <c r="F57" s="31" t="s">
        <v>131</v>
      </c>
      <c r="G57" s="31" t="s">
        <v>3665</v>
      </c>
      <c r="H57" s="31" t="s">
        <v>3666</v>
      </c>
      <c r="I57" s="37" t="s">
        <v>3667</v>
      </c>
      <c r="J57" s="31" t="s">
        <v>2328</v>
      </c>
      <c r="K57" s="31" t="s">
        <v>270</v>
      </c>
      <c r="L57" s="30" t="s">
        <v>2232</v>
      </c>
      <c r="M57" s="31" t="s">
        <v>2328</v>
      </c>
    </row>
    <row r="58" spans="1:13" s="30" customFormat="1" ht="45" x14ac:dyDescent="0.25">
      <c r="A58" s="31" t="s">
        <v>2815</v>
      </c>
      <c r="B58" s="32" t="s">
        <v>956</v>
      </c>
      <c r="C58" s="31" t="b">
        <v>0</v>
      </c>
      <c r="D58" s="31">
        <v>4</v>
      </c>
      <c r="E58" s="35" t="s">
        <v>958</v>
      </c>
      <c r="F58" s="31" t="s">
        <v>131</v>
      </c>
      <c r="G58" s="31" t="s">
        <v>3665</v>
      </c>
      <c r="H58" s="31" t="s">
        <v>3666</v>
      </c>
      <c r="I58" s="37" t="s">
        <v>3667</v>
      </c>
      <c r="J58" s="31" t="s">
        <v>2328</v>
      </c>
      <c r="K58" s="31" t="s">
        <v>270</v>
      </c>
      <c r="L58" s="30" t="s">
        <v>2232</v>
      </c>
      <c r="M58" s="31" t="s">
        <v>2328</v>
      </c>
    </row>
    <row r="59" spans="1:13" s="30" customFormat="1" ht="45" x14ac:dyDescent="0.25">
      <c r="A59" s="31" t="s">
        <v>2816</v>
      </c>
      <c r="B59" s="32" t="s">
        <v>959</v>
      </c>
      <c r="C59" s="31" t="b">
        <v>0</v>
      </c>
      <c r="D59" s="31">
        <v>4</v>
      </c>
      <c r="E59" s="35" t="s">
        <v>961</v>
      </c>
      <c r="F59" s="31" t="s">
        <v>131</v>
      </c>
      <c r="G59" s="31" t="s">
        <v>3665</v>
      </c>
      <c r="H59" s="31" t="s">
        <v>3666</v>
      </c>
      <c r="I59" s="37" t="s">
        <v>3667</v>
      </c>
      <c r="J59" s="31" t="s">
        <v>2328</v>
      </c>
      <c r="K59" s="31" t="s">
        <v>270</v>
      </c>
      <c r="L59" s="30" t="s">
        <v>2232</v>
      </c>
      <c r="M59" s="31" t="s">
        <v>2328</v>
      </c>
    </row>
    <row r="60" spans="1:13" s="30" customFormat="1" ht="45" x14ac:dyDescent="0.25">
      <c r="A60" s="31" t="s">
        <v>2817</v>
      </c>
      <c r="B60" s="32" t="s">
        <v>962</v>
      </c>
      <c r="C60" s="31" t="b">
        <v>0</v>
      </c>
      <c r="D60" s="31">
        <v>4</v>
      </c>
      <c r="E60" s="35" t="s">
        <v>964</v>
      </c>
      <c r="F60" s="31" t="s">
        <v>131</v>
      </c>
      <c r="G60" s="31" t="s">
        <v>3665</v>
      </c>
      <c r="H60" s="31" t="s">
        <v>3666</v>
      </c>
      <c r="I60" s="37" t="s">
        <v>3667</v>
      </c>
      <c r="J60" s="31" t="s">
        <v>2328</v>
      </c>
      <c r="K60" s="31" t="s">
        <v>270</v>
      </c>
      <c r="L60" s="30" t="s">
        <v>2232</v>
      </c>
      <c r="M60" s="31" t="s">
        <v>2328</v>
      </c>
    </row>
    <row r="61" spans="1:13" s="30" customFormat="1" ht="45" x14ac:dyDescent="0.25">
      <c r="A61" s="31" t="s">
        <v>2818</v>
      </c>
      <c r="B61" s="32" t="s">
        <v>965</v>
      </c>
      <c r="C61" s="31" t="b">
        <v>0</v>
      </c>
      <c r="D61" s="31">
        <v>4</v>
      </c>
      <c r="E61" s="35" t="s">
        <v>967</v>
      </c>
      <c r="F61" s="31" t="s">
        <v>131</v>
      </c>
      <c r="G61" s="31" t="s">
        <v>3665</v>
      </c>
      <c r="H61" s="31" t="s">
        <v>3666</v>
      </c>
      <c r="I61" s="37" t="s">
        <v>3667</v>
      </c>
      <c r="J61" s="31" t="s">
        <v>2328</v>
      </c>
      <c r="K61" s="31" t="s">
        <v>270</v>
      </c>
      <c r="L61" s="30" t="s">
        <v>2232</v>
      </c>
      <c r="M61" s="31" t="s">
        <v>2328</v>
      </c>
    </row>
    <row r="62" spans="1:13" s="30" customFormat="1" ht="45" x14ac:dyDescent="0.25">
      <c r="A62" s="31" t="s">
        <v>2819</v>
      </c>
      <c r="B62" s="32" t="s">
        <v>968</v>
      </c>
      <c r="C62" s="31" t="b">
        <v>0</v>
      </c>
      <c r="D62" s="31">
        <v>4</v>
      </c>
      <c r="E62" s="35" t="s">
        <v>970</v>
      </c>
      <c r="F62" s="31" t="s">
        <v>131</v>
      </c>
      <c r="G62" s="31" t="s">
        <v>3665</v>
      </c>
      <c r="H62" s="31" t="s">
        <v>3666</v>
      </c>
      <c r="I62" s="37" t="s">
        <v>3667</v>
      </c>
      <c r="J62" s="31" t="s">
        <v>2328</v>
      </c>
      <c r="K62" s="31" t="s">
        <v>270</v>
      </c>
      <c r="L62" s="30" t="s">
        <v>2232</v>
      </c>
      <c r="M62" s="31" t="s">
        <v>2328</v>
      </c>
    </row>
    <row r="63" spans="1:13" s="30" customFormat="1" ht="45" x14ac:dyDescent="0.25">
      <c r="A63" s="31" t="s">
        <v>2328</v>
      </c>
      <c r="B63" s="32" t="s">
        <v>971</v>
      </c>
      <c r="C63" s="31" t="b">
        <v>1</v>
      </c>
      <c r="D63" s="31">
        <v>0</v>
      </c>
      <c r="E63" s="33" t="s">
        <v>2342</v>
      </c>
      <c r="F63" s="31" t="s">
        <v>3443</v>
      </c>
      <c r="G63" s="31" t="s">
        <v>3665</v>
      </c>
      <c r="H63" s="31" t="s">
        <v>3666</v>
      </c>
      <c r="I63" s="37" t="s">
        <v>3667</v>
      </c>
      <c r="J63" s="31" t="s">
        <v>2328</v>
      </c>
      <c r="K63" s="31" t="s">
        <v>278</v>
      </c>
      <c r="L63" s="30" t="s">
        <v>2232</v>
      </c>
      <c r="M63" s="31" t="s">
        <v>2328</v>
      </c>
    </row>
    <row r="64" spans="1:13" s="30" customFormat="1" ht="45" x14ac:dyDescent="0.25">
      <c r="A64" s="31" t="s">
        <v>2328</v>
      </c>
      <c r="B64" s="32" t="s">
        <v>972</v>
      </c>
      <c r="C64" s="31" t="b">
        <v>1</v>
      </c>
      <c r="D64" s="31">
        <v>2</v>
      </c>
      <c r="E64" s="34" t="s">
        <v>2343</v>
      </c>
      <c r="F64" s="31" t="s">
        <v>3443</v>
      </c>
      <c r="G64" s="31" t="s">
        <v>3665</v>
      </c>
      <c r="H64" s="31" t="s">
        <v>3666</v>
      </c>
      <c r="I64" s="37" t="s">
        <v>3667</v>
      </c>
      <c r="J64" s="31" t="s">
        <v>2328</v>
      </c>
      <c r="K64" s="31" t="s">
        <v>278</v>
      </c>
      <c r="L64" s="30" t="s">
        <v>2232</v>
      </c>
      <c r="M64" s="31" t="s">
        <v>2328</v>
      </c>
    </row>
    <row r="65" spans="1:13" s="30" customFormat="1" ht="45" x14ac:dyDescent="0.25">
      <c r="A65" s="31" t="s">
        <v>2820</v>
      </c>
      <c r="B65" s="32" t="s">
        <v>973</v>
      </c>
      <c r="C65" s="31" t="b">
        <v>0</v>
      </c>
      <c r="D65" s="31">
        <v>4</v>
      </c>
      <c r="E65" s="35" t="s">
        <v>279</v>
      </c>
      <c r="F65" s="31" t="s">
        <v>131</v>
      </c>
      <c r="G65" s="31" t="s">
        <v>3665</v>
      </c>
      <c r="H65" s="31" t="s">
        <v>3666</v>
      </c>
      <c r="I65" s="37" t="s">
        <v>3667</v>
      </c>
      <c r="J65" s="31" t="s">
        <v>2328</v>
      </c>
      <c r="K65" s="31" t="s">
        <v>278</v>
      </c>
      <c r="L65" s="30" t="s">
        <v>2232</v>
      </c>
      <c r="M65" s="31" t="s">
        <v>2328</v>
      </c>
    </row>
    <row r="66" spans="1:13" s="30" customFormat="1" ht="45" x14ac:dyDescent="0.25">
      <c r="A66" s="31" t="s">
        <v>2821</v>
      </c>
      <c r="B66" s="32" t="s">
        <v>974</v>
      </c>
      <c r="C66" s="31" t="b">
        <v>0</v>
      </c>
      <c r="D66" s="31">
        <v>4</v>
      </c>
      <c r="E66" s="35" t="s">
        <v>976</v>
      </c>
      <c r="F66" s="31" t="s">
        <v>131</v>
      </c>
      <c r="G66" s="31" t="s">
        <v>3665</v>
      </c>
      <c r="H66" s="31" t="s">
        <v>3666</v>
      </c>
      <c r="I66" s="37" t="s">
        <v>3667</v>
      </c>
      <c r="J66" s="31" t="s">
        <v>2328</v>
      </c>
      <c r="K66" s="31" t="s">
        <v>278</v>
      </c>
      <c r="L66" s="30" t="s">
        <v>2232</v>
      </c>
      <c r="M66" s="31" t="s">
        <v>2328</v>
      </c>
    </row>
    <row r="67" spans="1:13" s="30" customFormat="1" ht="45" x14ac:dyDescent="0.25">
      <c r="A67" s="31" t="s">
        <v>2328</v>
      </c>
      <c r="B67" s="32" t="s">
        <v>977</v>
      </c>
      <c r="C67" s="31" t="b">
        <v>0</v>
      </c>
      <c r="D67" s="31">
        <v>4</v>
      </c>
      <c r="E67" s="35" t="s">
        <v>979</v>
      </c>
      <c r="F67" s="31" t="s">
        <v>139</v>
      </c>
      <c r="G67" s="31" t="s">
        <v>3665</v>
      </c>
      <c r="H67" s="31" t="s">
        <v>3666</v>
      </c>
      <c r="I67" s="37" t="s">
        <v>3667</v>
      </c>
      <c r="J67" s="31" t="s">
        <v>2328</v>
      </c>
      <c r="K67" s="31" t="s">
        <v>278</v>
      </c>
      <c r="L67" s="30" t="s">
        <v>2232</v>
      </c>
      <c r="M67" s="31" t="s">
        <v>2328</v>
      </c>
    </row>
    <row r="68" spans="1:13" s="30" customFormat="1" ht="45" x14ac:dyDescent="0.25">
      <c r="A68" s="31" t="s">
        <v>2328</v>
      </c>
      <c r="B68" s="32" t="s">
        <v>980</v>
      </c>
      <c r="C68" s="31" t="b">
        <v>1</v>
      </c>
      <c r="D68" s="31">
        <v>2</v>
      </c>
      <c r="E68" s="34" t="s">
        <v>2344</v>
      </c>
      <c r="F68" s="31" t="s">
        <v>3443</v>
      </c>
      <c r="G68" s="31" t="s">
        <v>3665</v>
      </c>
      <c r="H68" s="31" t="s">
        <v>3666</v>
      </c>
      <c r="I68" s="37" t="s">
        <v>3667</v>
      </c>
      <c r="J68" s="31" t="s">
        <v>2328</v>
      </c>
      <c r="K68" s="31" t="s">
        <v>278</v>
      </c>
      <c r="L68" s="30" t="s">
        <v>2232</v>
      </c>
      <c r="M68" s="31" t="s">
        <v>2328</v>
      </c>
    </row>
    <row r="69" spans="1:13" s="30" customFormat="1" ht="45" x14ac:dyDescent="0.25">
      <c r="A69" s="31" t="s">
        <v>2822</v>
      </c>
      <c r="B69" s="32" t="s">
        <v>981</v>
      </c>
      <c r="C69" s="31" t="b">
        <v>0</v>
      </c>
      <c r="D69" s="31">
        <v>4</v>
      </c>
      <c r="E69" s="35" t="s">
        <v>982</v>
      </c>
      <c r="F69" s="31" t="s">
        <v>131</v>
      </c>
      <c r="G69" s="31" t="s">
        <v>3665</v>
      </c>
      <c r="H69" s="31" t="s">
        <v>3666</v>
      </c>
      <c r="I69" s="37" t="s">
        <v>3667</v>
      </c>
      <c r="J69" s="31" t="s">
        <v>2328</v>
      </c>
      <c r="K69" s="31" t="s">
        <v>282</v>
      </c>
      <c r="L69" s="30" t="s">
        <v>2232</v>
      </c>
      <c r="M69" s="31" t="s">
        <v>2328</v>
      </c>
    </row>
    <row r="70" spans="1:13" s="30" customFormat="1" ht="45" x14ac:dyDescent="0.25">
      <c r="A70" s="31" t="s">
        <v>2823</v>
      </c>
      <c r="B70" s="32" t="s">
        <v>983</v>
      </c>
      <c r="C70" s="31" t="b">
        <v>1</v>
      </c>
      <c r="D70" s="31">
        <v>2</v>
      </c>
      <c r="E70" s="34" t="s">
        <v>3541</v>
      </c>
      <c r="F70" s="31" t="s">
        <v>3443</v>
      </c>
      <c r="G70" s="31" t="s">
        <v>3665</v>
      </c>
      <c r="H70" s="31" t="s">
        <v>3666</v>
      </c>
      <c r="I70" s="37" t="s">
        <v>3667</v>
      </c>
      <c r="J70" s="31" t="s">
        <v>2328</v>
      </c>
      <c r="K70" s="31" t="s">
        <v>278</v>
      </c>
      <c r="L70" s="30" t="s">
        <v>2232</v>
      </c>
      <c r="M70" s="31" t="s">
        <v>2328</v>
      </c>
    </row>
    <row r="71" spans="1:13" s="30" customFormat="1" ht="60" x14ac:dyDescent="0.25">
      <c r="A71" s="31" t="s">
        <v>2824</v>
      </c>
      <c r="B71" s="32" t="s">
        <v>984</v>
      </c>
      <c r="C71" s="31" t="b">
        <v>0</v>
      </c>
      <c r="D71" s="31">
        <v>4</v>
      </c>
      <c r="E71" s="35" t="s">
        <v>2242</v>
      </c>
      <c r="F71" s="31" t="s">
        <v>131</v>
      </c>
      <c r="G71" s="31" t="s">
        <v>3665</v>
      </c>
      <c r="H71" s="31" t="s">
        <v>3666</v>
      </c>
      <c r="I71" s="37" t="s">
        <v>3667</v>
      </c>
      <c r="J71" s="31" t="s">
        <v>2328</v>
      </c>
      <c r="K71" s="31" t="s">
        <v>290</v>
      </c>
      <c r="L71" s="30" t="s">
        <v>2232</v>
      </c>
      <c r="M71" s="31" t="s">
        <v>2328</v>
      </c>
    </row>
    <row r="72" spans="1:13" s="30" customFormat="1" ht="45" x14ac:dyDescent="0.25">
      <c r="A72" s="31" t="s">
        <v>2825</v>
      </c>
      <c r="B72" s="32" t="s">
        <v>985</v>
      </c>
      <c r="C72" s="31" t="b">
        <v>1</v>
      </c>
      <c r="D72" s="31">
        <v>2</v>
      </c>
      <c r="E72" s="34" t="s">
        <v>3542</v>
      </c>
      <c r="F72" s="31" t="s">
        <v>3443</v>
      </c>
      <c r="G72" s="31" t="s">
        <v>3665</v>
      </c>
      <c r="H72" s="31" t="s">
        <v>3666</v>
      </c>
      <c r="I72" s="37" t="s">
        <v>3667</v>
      </c>
      <c r="J72" s="31" t="s">
        <v>2328</v>
      </c>
      <c r="K72" s="31" t="s">
        <v>278</v>
      </c>
      <c r="L72" s="30" t="s">
        <v>2232</v>
      </c>
      <c r="M72" s="31" t="s">
        <v>2328</v>
      </c>
    </row>
    <row r="73" spans="1:13" s="30" customFormat="1" ht="60" x14ac:dyDescent="0.25">
      <c r="A73" s="31" t="s">
        <v>2826</v>
      </c>
      <c r="B73" s="32" t="s">
        <v>986</v>
      </c>
      <c r="C73" s="31" t="b">
        <v>0</v>
      </c>
      <c r="D73" s="31">
        <v>4</v>
      </c>
      <c r="E73" s="35" t="s">
        <v>2243</v>
      </c>
      <c r="F73" s="31" t="s">
        <v>131</v>
      </c>
      <c r="G73" s="31" t="s">
        <v>3665</v>
      </c>
      <c r="H73" s="31" t="s">
        <v>3666</v>
      </c>
      <c r="I73" s="37" t="s">
        <v>3667</v>
      </c>
      <c r="J73" s="31" t="s">
        <v>2328</v>
      </c>
      <c r="K73" s="31" t="s">
        <v>286</v>
      </c>
      <c r="L73" s="30" t="s">
        <v>2232</v>
      </c>
      <c r="M73" s="31" t="s">
        <v>2328</v>
      </c>
    </row>
    <row r="74" spans="1:13" s="30" customFormat="1" ht="45" x14ac:dyDescent="0.25">
      <c r="A74" s="31" t="s">
        <v>2328</v>
      </c>
      <c r="B74" s="32" t="s">
        <v>706</v>
      </c>
      <c r="C74" s="31" t="b">
        <v>1</v>
      </c>
      <c r="D74" s="31">
        <v>2</v>
      </c>
      <c r="E74" s="34" t="s">
        <v>2335</v>
      </c>
      <c r="F74" s="31" t="s">
        <v>3443</v>
      </c>
      <c r="G74" s="31" t="s">
        <v>3665</v>
      </c>
      <c r="H74" s="31" t="s">
        <v>3666</v>
      </c>
      <c r="I74" s="37" t="s">
        <v>3667</v>
      </c>
      <c r="J74" s="31" t="s">
        <v>2328</v>
      </c>
      <c r="K74" s="31" t="s">
        <v>227</v>
      </c>
      <c r="L74" s="30" t="s">
        <v>2232</v>
      </c>
      <c r="M74" s="31" t="s">
        <v>2328</v>
      </c>
    </row>
    <row r="75" spans="1:13" s="30" customFormat="1" ht="45" x14ac:dyDescent="0.25">
      <c r="A75" s="31" t="s">
        <v>2731</v>
      </c>
      <c r="B75" s="32" t="s">
        <v>707</v>
      </c>
      <c r="C75" s="31" t="b">
        <v>0</v>
      </c>
      <c r="D75" s="31">
        <v>4</v>
      </c>
      <c r="E75" s="35" t="s">
        <v>3582</v>
      </c>
      <c r="F75" s="31" t="s">
        <v>131</v>
      </c>
      <c r="G75" s="31" t="s">
        <v>3665</v>
      </c>
      <c r="H75" s="31" t="s">
        <v>3666</v>
      </c>
      <c r="I75" s="37" t="s">
        <v>3667</v>
      </c>
      <c r="J75" s="31" t="s">
        <v>2328</v>
      </c>
      <c r="K75" s="31" t="s">
        <v>230</v>
      </c>
      <c r="L75" s="30" t="s">
        <v>3437</v>
      </c>
      <c r="M75" s="31" t="s">
        <v>2237</v>
      </c>
    </row>
    <row r="76" spans="1:13" s="30" customFormat="1" ht="45" x14ac:dyDescent="0.25">
      <c r="A76" s="31" t="s">
        <v>2328</v>
      </c>
      <c r="B76" s="32" t="s">
        <v>1010</v>
      </c>
      <c r="C76" s="31" t="b">
        <v>1</v>
      </c>
      <c r="D76" s="31">
        <v>0</v>
      </c>
      <c r="E76" s="33" t="s">
        <v>2347</v>
      </c>
      <c r="F76" s="31" t="s">
        <v>3443</v>
      </c>
      <c r="G76" s="31" t="s">
        <v>3665</v>
      </c>
      <c r="H76" s="31" t="s">
        <v>3666</v>
      </c>
      <c r="I76" s="37" t="s">
        <v>3667</v>
      </c>
      <c r="J76" s="31" t="s">
        <v>2328</v>
      </c>
      <c r="K76" s="31" t="s">
        <v>298</v>
      </c>
      <c r="L76" s="30" t="s">
        <v>2232</v>
      </c>
      <c r="M76" s="31" t="s">
        <v>2328</v>
      </c>
    </row>
    <row r="77" spans="1:13" s="30" customFormat="1" ht="45" x14ac:dyDescent="0.25">
      <c r="A77" s="31" t="s">
        <v>2862</v>
      </c>
      <c r="B77" s="32" t="s">
        <v>1062</v>
      </c>
      <c r="C77" s="31" t="b">
        <v>0</v>
      </c>
      <c r="D77" s="31">
        <v>6</v>
      </c>
      <c r="E77" s="38" t="s">
        <v>1064</v>
      </c>
      <c r="F77" s="31" t="s">
        <v>131</v>
      </c>
      <c r="G77" s="31" t="s">
        <v>3665</v>
      </c>
      <c r="H77" s="31" t="s">
        <v>3666</v>
      </c>
      <c r="I77" s="37" t="s">
        <v>3667</v>
      </c>
      <c r="J77" s="31" t="s">
        <v>2328</v>
      </c>
      <c r="K77" s="31" t="s">
        <v>307</v>
      </c>
      <c r="L77" s="30" t="s">
        <v>2232</v>
      </c>
      <c r="M77" s="31" t="s">
        <v>2328</v>
      </c>
    </row>
    <row r="78" spans="1:13" s="30" customFormat="1" ht="45" x14ac:dyDescent="0.25">
      <c r="A78" s="31" t="s">
        <v>2863</v>
      </c>
      <c r="B78" s="32" t="s">
        <v>1065</v>
      </c>
      <c r="C78" s="31" t="b">
        <v>0</v>
      </c>
      <c r="D78" s="31">
        <v>6</v>
      </c>
      <c r="E78" s="38" t="s">
        <v>1067</v>
      </c>
      <c r="F78" s="31" t="s">
        <v>131</v>
      </c>
      <c r="G78" s="31" t="s">
        <v>3665</v>
      </c>
      <c r="H78" s="31" t="s">
        <v>3666</v>
      </c>
      <c r="I78" s="37" t="s">
        <v>3667</v>
      </c>
      <c r="J78" s="31" t="s">
        <v>2328</v>
      </c>
      <c r="K78" s="31" t="s">
        <v>307</v>
      </c>
      <c r="L78" s="30" t="s">
        <v>2232</v>
      </c>
      <c r="M78" s="31" t="s">
        <v>2328</v>
      </c>
    </row>
    <row r="79" spans="1:13" s="30" customFormat="1" ht="45" x14ac:dyDescent="0.25">
      <c r="A79" s="31" t="s">
        <v>2864</v>
      </c>
      <c r="B79" s="32" t="s">
        <v>1068</v>
      </c>
      <c r="C79" s="31" t="b">
        <v>0</v>
      </c>
      <c r="D79" s="31">
        <v>6</v>
      </c>
      <c r="E79" s="38" t="s">
        <v>1070</v>
      </c>
      <c r="F79" s="31" t="s">
        <v>131</v>
      </c>
      <c r="G79" s="31" t="s">
        <v>3665</v>
      </c>
      <c r="H79" s="31" t="s">
        <v>3666</v>
      </c>
      <c r="I79" s="37" t="s">
        <v>3667</v>
      </c>
      <c r="J79" s="31" t="s">
        <v>2328</v>
      </c>
      <c r="K79" s="31" t="s">
        <v>307</v>
      </c>
      <c r="L79" s="30" t="s">
        <v>2232</v>
      </c>
      <c r="M79" s="31" t="s">
        <v>2328</v>
      </c>
    </row>
    <row r="80" spans="1:13" s="30" customFormat="1" ht="45" x14ac:dyDescent="0.25">
      <c r="A80" s="31" t="s">
        <v>2880</v>
      </c>
      <c r="B80" s="32" t="s">
        <v>1116</v>
      </c>
      <c r="C80" s="31" t="b">
        <v>0</v>
      </c>
      <c r="D80" s="31">
        <v>6</v>
      </c>
      <c r="E80" s="38" t="s">
        <v>1118</v>
      </c>
      <c r="F80" s="31" t="s">
        <v>131</v>
      </c>
      <c r="G80" s="31" t="s">
        <v>3665</v>
      </c>
      <c r="H80" s="31" t="s">
        <v>3666</v>
      </c>
      <c r="I80" s="37" t="s">
        <v>3667</v>
      </c>
      <c r="J80" s="31" t="s">
        <v>2328</v>
      </c>
      <c r="K80" s="31" t="s">
        <v>307</v>
      </c>
      <c r="L80" s="30" t="s">
        <v>2232</v>
      </c>
      <c r="M80" s="31" t="s">
        <v>2328</v>
      </c>
    </row>
    <row r="81" spans="1:13" s="30" customFormat="1" ht="45" x14ac:dyDescent="0.25">
      <c r="A81" s="31" t="s">
        <v>2881</v>
      </c>
      <c r="B81" s="32" t="s">
        <v>1119</v>
      </c>
      <c r="C81" s="31" t="b">
        <v>0</v>
      </c>
      <c r="D81" s="31">
        <v>6</v>
      </c>
      <c r="E81" s="38" t="s">
        <v>1121</v>
      </c>
      <c r="F81" s="31" t="s">
        <v>131</v>
      </c>
      <c r="G81" s="31" t="s">
        <v>3665</v>
      </c>
      <c r="H81" s="31" t="s">
        <v>3666</v>
      </c>
      <c r="I81" s="37" t="s">
        <v>3667</v>
      </c>
      <c r="J81" s="31" t="s">
        <v>2328</v>
      </c>
      <c r="K81" s="31" t="s">
        <v>307</v>
      </c>
      <c r="L81" s="30" t="s">
        <v>2232</v>
      </c>
      <c r="M81" s="31" t="s">
        <v>2328</v>
      </c>
    </row>
    <row r="82" spans="1:13" s="30" customFormat="1" ht="105" x14ac:dyDescent="0.25">
      <c r="A82" s="31" t="s">
        <v>2882</v>
      </c>
      <c r="B82" s="32" t="s">
        <v>1124</v>
      </c>
      <c r="C82" s="31" t="b">
        <v>0</v>
      </c>
      <c r="D82" s="31">
        <v>4</v>
      </c>
      <c r="E82" s="35" t="s">
        <v>2251</v>
      </c>
      <c r="F82" s="31" t="s">
        <v>131</v>
      </c>
      <c r="G82" s="31" t="s">
        <v>3665</v>
      </c>
      <c r="H82" s="31" t="s">
        <v>3666</v>
      </c>
      <c r="I82" s="37" t="s">
        <v>3667</v>
      </c>
      <c r="J82" s="31" t="s">
        <v>2328</v>
      </c>
      <c r="K82" s="31" t="s">
        <v>309</v>
      </c>
      <c r="L82" s="30" t="s">
        <v>2232</v>
      </c>
      <c r="M82" s="31" t="s">
        <v>2328</v>
      </c>
    </row>
    <row r="83" spans="1:13" s="30" customFormat="1" ht="45" x14ac:dyDescent="0.25">
      <c r="A83" s="31" t="s">
        <v>2328</v>
      </c>
      <c r="B83" s="32" t="s">
        <v>1126</v>
      </c>
      <c r="C83" s="31" t="b">
        <v>0</v>
      </c>
      <c r="D83" s="31">
        <v>4</v>
      </c>
      <c r="E83" s="35" t="s">
        <v>1128</v>
      </c>
      <c r="F83" s="31" t="s">
        <v>139</v>
      </c>
      <c r="G83" s="31" t="s">
        <v>3665</v>
      </c>
      <c r="H83" s="31" t="s">
        <v>3666</v>
      </c>
      <c r="I83" s="37" t="s">
        <v>3667</v>
      </c>
      <c r="J83" s="31" t="s">
        <v>2328</v>
      </c>
      <c r="K83" s="31" t="s">
        <v>309</v>
      </c>
      <c r="L83" s="30" t="s">
        <v>2232</v>
      </c>
      <c r="M83" s="31" t="s">
        <v>2328</v>
      </c>
    </row>
    <row r="84" spans="1:13" s="30" customFormat="1" ht="45" x14ac:dyDescent="0.25">
      <c r="A84" s="31" t="s">
        <v>2328</v>
      </c>
      <c r="B84" s="32" t="s">
        <v>1129</v>
      </c>
      <c r="C84" s="31" t="b">
        <v>1</v>
      </c>
      <c r="D84" s="31">
        <v>4</v>
      </c>
      <c r="E84" s="35" t="s">
        <v>2391</v>
      </c>
      <c r="F84" s="31" t="s">
        <v>3443</v>
      </c>
      <c r="G84" s="31" t="s">
        <v>3665</v>
      </c>
      <c r="H84" s="31" t="s">
        <v>3666</v>
      </c>
      <c r="I84" s="37" t="s">
        <v>3667</v>
      </c>
      <c r="J84" s="31" t="s">
        <v>2328</v>
      </c>
      <c r="K84" s="31" t="s">
        <v>309</v>
      </c>
      <c r="L84" s="30" t="s">
        <v>2232</v>
      </c>
      <c r="M84" s="31" t="s">
        <v>2328</v>
      </c>
    </row>
    <row r="85" spans="1:13" s="30" customFormat="1" ht="45" x14ac:dyDescent="0.25">
      <c r="A85" s="31" t="s">
        <v>2883</v>
      </c>
      <c r="B85" s="32" t="s">
        <v>1132</v>
      </c>
      <c r="C85" s="31" t="b">
        <v>0</v>
      </c>
      <c r="D85" s="31">
        <v>6</v>
      </c>
      <c r="E85" s="38" t="s">
        <v>1134</v>
      </c>
      <c r="F85" s="31" t="s">
        <v>131</v>
      </c>
      <c r="G85" s="31" t="s">
        <v>3665</v>
      </c>
      <c r="H85" s="31" t="s">
        <v>3666</v>
      </c>
      <c r="I85" s="37" t="s">
        <v>3667</v>
      </c>
      <c r="J85" s="31" t="s">
        <v>2328</v>
      </c>
      <c r="K85" s="31" t="s">
        <v>309</v>
      </c>
      <c r="L85" s="30" t="s">
        <v>2232</v>
      </c>
      <c r="M85" s="31" t="s">
        <v>2328</v>
      </c>
    </row>
    <row r="86" spans="1:13" s="30" customFormat="1" ht="45" x14ac:dyDescent="0.25">
      <c r="A86" s="31" t="s">
        <v>2884</v>
      </c>
      <c r="B86" s="32" t="s">
        <v>1135</v>
      </c>
      <c r="C86" s="31" t="b">
        <v>0</v>
      </c>
      <c r="D86" s="31">
        <v>6</v>
      </c>
      <c r="E86" s="38" t="s">
        <v>1137</v>
      </c>
      <c r="F86" s="31" t="s">
        <v>131</v>
      </c>
      <c r="G86" s="31" t="s">
        <v>3665</v>
      </c>
      <c r="H86" s="31" t="s">
        <v>3666</v>
      </c>
      <c r="I86" s="37" t="s">
        <v>3667</v>
      </c>
      <c r="J86" s="31" t="s">
        <v>2328</v>
      </c>
      <c r="K86" s="31" t="s">
        <v>309</v>
      </c>
      <c r="L86" s="30" t="s">
        <v>2232</v>
      </c>
      <c r="M86" s="31" t="s">
        <v>2328</v>
      </c>
    </row>
    <row r="87" spans="1:13" s="30" customFormat="1" ht="45" x14ac:dyDescent="0.25">
      <c r="A87" s="31" t="s">
        <v>2885</v>
      </c>
      <c r="B87" s="32" t="s">
        <v>1138</v>
      </c>
      <c r="C87" s="31" t="b">
        <v>0</v>
      </c>
      <c r="D87" s="31">
        <v>6</v>
      </c>
      <c r="E87" s="38" t="s">
        <v>1140</v>
      </c>
      <c r="F87" s="31" t="s">
        <v>131</v>
      </c>
      <c r="G87" s="31" t="s">
        <v>3665</v>
      </c>
      <c r="H87" s="31" t="s">
        <v>3666</v>
      </c>
      <c r="I87" s="37" t="s">
        <v>3667</v>
      </c>
      <c r="J87" s="31" t="s">
        <v>2328</v>
      </c>
      <c r="K87" s="31" t="s">
        <v>309</v>
      </c>
      <c r="L87" s="30" t="s">
        <v>2232</v>
      </c>
      <c r="M87" s="31" t="s">
        <v>2328</v>
      </c>
    </row>
    <row r="88" spans="1:13" s="30" customFormat="1" ht="45" x14ac:dyDescent="0.25">
      <c r="A88" s="31" t="s">
        <v>2328</v>
      </c>
      <c r="B88" s="32" t="s">
        <v>1141</v>
      </c>
      <c r="C88" s="31" t="b">
        <v>1</v>
      </c>
      <c r="D88" s="31">
        <v>4</v>
      </c>
      <c r="E88" s="35" t="s">
        <v>2392</v>
      </c>
      <c r="F88" s="31" t="s">
        <v>3443</v>
      </c>
      <c r="G88" s="31" t="s">
        <v>3665</v>
      </c>
      <c r="H88" s="31" t="s">
        <v>3666</v>
      </c>
      <c r="I88" s="37" t="s">
        <v>3667</v>
      </c>
      <c r="J88" s="31" t="s">
        <v>2328</v>
      </c>
      <c r="K88" s="31" t="s">
        <v>309</v>
      </c>
      <c r="L88" s="30" t="s">
        <v>2232</v>
      </c>
      <c r="M88" s="31" t="s">
        <v>2328</v>
      </c>
    </row>
    <row r="89" spans="1:13" s="30" customFormat="1" ht="45" x14ac:dyDescent="0.25">
      <c r="A89" s="31" t="s">
        <v>2886</v>
      </c>
      <c r="B89" s="32" t="s">
        <v>1144</v>
      </c>
      <c r="C89" s="31" t="b">
        <v>0</v>
      </c>
      <c r="D89" s="31">
        <v>6</v>
      </c>
      <c r="E89" s="38" t="s">
        <v>1146</v>
      </c>
      <c r="F89" s="31" t="s">
        <v>131</v>
      </c>
      <c r="G89" s="31" t="s">
        <v>3665</v>
      </c>
      <c r="H89" s="31" t="s">
        <v>3666</v>
      </c>
      <c r="I89" s="37" t="s">
        <v>3667</v>
      </c>
      <c r="J89" s="31" t="s">
        <v>2328</v>
      </c>
      <c r="K89" s="31" t="s">
        <v>309</v>
      </c>
      <c r="L89" s="30" t="s">
        <v>2232</v>
      </c>
      <c r="M89" s="31" t="s">
        <v>2328</v>
      </c>
    </row>
    <row r="90" spans="1:13" s="30" customFormat="1" ht="45" x14ac:dyDescent="0.25">
      <c r="A90" s="31" t="s">
        <v>2887</v>
      </c>
      <c r="B90" s="32" t="s">
        <v>1147</v>
      </c>
      <c r="C90" s="31" t="b">
        <v>0</v>
      </c>
      <c r="D90" s="31">
        <v>6</v>
      </c>
      <c r="E90" s="38" t="s">
        <v>1149</v>
      </c>
      <c r="F90" s="31" t="s">
        <v>131</v>
      </c>
      <c r="G90" s="31" t="s">
        <v>3665</v>
      </c>
      <c r="H90" s="31" t="s">
        <v>3666</v>
      </c>
      <c r="I90" s="37" t="s">
        <v>3667</v>
      </c>
      <c r="J90" s="31" t="s">
        <v>2328</v>
      </c>
      <c r="K90" s="31" t="s">
        <v>309</v>
      </c>
      <c r="L90" s="30" t="s">
        <v>2232</v>
      </c>
      <c r="M90" s="31" t="s">
        <v>2328</v>
      </c>
    </row>
    <row r="91" spans="1:13" s="30" customFormat="1" ht="45" x14ac:dyDescent="0.25">
      <c r="A91" s="31" t="s">
        <v>2888</v>
      </c>
      <c r="B91" s="32" t="s">
        <v>1150</v>
      </c>
      <c r="C91" s="31" t="b">
        <v>0</v>
      </c>
      <c r="D91" s="31">
        <v>6</v>
      </c>
      <c r="E91" s="38" t="s">
        <v>1152</v>
      </c>
      <c r="F91" s="31" t="s">
        <v>131</v>
      </c>
      <c r="G91" s="31" t="s">
        <v>3665</v>
      </c>
      <c r="H91" s="31" t="s">
        <v>3666</v>
      </c>
      <c r="I91" s="37" t="s">
        <v>3667</v>
      </c>
      <c r="J91" s="31" t="s">
        <v>2328</v>
      </c>
      <c r="K91" s="31" t="s">
        <v>309</v>
      </c>
      <c r="L91" s="30" t="s">
        <v>2232</v>
      </c>
      <c r="M91" s="31" t="s">
        <v>2328</v>
      </c>
    </row>
    <row r="92" spans="1:13" s="30" customFormat="1" ht="45" x14ac:dyDescent="0.25">
      <c r="A92" s="31" t="s">
        <v>2889</v>
      </c>
      <c r="B92" s="32" t="s">
        <v>1153</v>
      </c>
      <c r="C92" s="31" t="b">
        <v>0</v>
      </c>
      <c r="D92" s="31">
        <v>6</v>
      </c>
      <c r="E92" s="38" t="s">
        <v>1155</v>
      </c>
      <c r="F92" s="31" t="s">
        <v>131</v>
      </c>
      <c r="G92" s="31" t="s">
        <v>3665</v>
      </c>
      <c r="H92" s="31" t="s">
        <v>3666</v>
      </c>
      <c r="I92" s="37" t="s">
        <v>3667</v>
      </c>
      <c r="J92" s="31" t="s">
        <v>2328</v>
      </c>
      <c r="K92" s="31" t="s">
        <v>309</v>
      </c>
      <c r="L92" s="30" t="s">
        <v>2232</v>
      </c>
      <c r="M92" s="31" t="s">
        <v>2328</v>
      </c>
    </row>
    <row r="93" spans="1:13" s="30" customFormat="1" ht="45" x14ac:dyDescent="0.25">
      <c r="A93" s="31" t="s">
        <v>2890</v>
      </c>
      <c r="B93" s="32" t="s">
        <v>1156</v>
      </c>
      <c r="C93" s="31" t="b">
        <v>0</v>
      </c>
      <c r="D93" s="31">
        <v>6</v>
      </c>
      <c r="E93" s="38" t="s">
        <v>1158</v>
      </c>
      <c r="F93" s="31" t="s">
        <v>131</v>
      </c>
      <c r="G93" s="31" t="s">
        <v>3665</v>
      </c>
      <c r="H93" s="31" t="s">
        <v>3666</v>
      </c>
      <c r="I93" s="37" t="s">
        <v>3667</v>
      </c>
      <c r="J93" s="31" t="s">
        <v>2328</v>
      </c>
      <c r="K93" s="31" t="s">
        <v>309</v>
      </c>
      <c r="L93" s="30" t="s">
        <v>2232</v>
      </c>
      <c r="M93" s="31" t="s">
        <v>2328</v>
      </c>
    </row>
    <row r="94" spans="1:13" s="30" customFormat="1" ht="45" x14ac:dyDescent="0.25">
      <c r="A94" s="31" t="s">
        <v>2328</v>
      </c>
      <c r="B94" s="32" t="s">
        <v>1159</v>
      </c>
      <c r="C94" s="31" t="b">
        <v>1</v>
      </c>
      <c r="D94" s="31">
        <v>4</v>
      </c>
      <c r="E94" s="35" t="s">
        <v>2393</v>
      </c>
      <c r="F94" s="31" t="s">
        <v>3443</v>
      </c>
      <c r="G94" s="31" t="s">
        <v>3665</v>
      </c>
      <c r="H94" s="31" t="s">
        <v>3666</v>
      </c>
      <c r="I94" s="37" t="s">
        <v>3667</v>
      </c>
      <c r="J94" s="31" t="s">
        <v>2328</v>
      </c>
      <c r="K94" s="31" t="s">
        <v>309</v>
      </c>
      <c r="L94" s="30" t="s">
        <v>2232</v>
      </c>
      <c r="M94" s="31" t="s">
        <v>2328</v>
      </c>
    </row>
    <row r="95" spans="1:13" s="30" customFormat="1" ht="60" x14ac:dyDescent="0.25">
      <c r="A95" s="31" t="s">
        <v>2891</v>
      </c>
      <c r="B95" s="32" t="s">
        <v>1162</v>
      </c>
      <c r="C95" s="31" t="b">
        <v>0</v>
      </c>
      <c r="D95" s="31">
        <v>6</v>
      </c>
      <c r="E95" s="38" t="s">
        <v>1164</v>
      </c>
      <c r="F95" s="31" t="s">
        <v>131</v>
      </c>
      <c r="G95" s="31" t="s">
        <v>3665</v>
      </c>
      <c r="H95" s="31" t="s">
        <v>3666</v>
      </c>
      <c r="I95" s="37" t="s">
        <v>3667</v>
      </c>
      <c r="J95" s="31" t="s">
        <v>2328</v>
      </c>
      <c r="K95" s="31" t="s">
        <v>309</v>
      </c>
      <c r="L95" s="30" t="s">
        <v>2232</v>
      </c>
      <c r="M95" s="31" t="s">
        <v>2328</v>
      </c>
    </row>
    <row r="96" spans="1:13" s="30" customFormat="1" ht="45" x14ac:dyDescent="0.25">
      <c r="A96" s="31" t="s">
        <v>2892</v>
      </c>
      <c r="B96" s="32" t="s">
        <v>1165</v>
      </c>
      <c r="C96" s="31" t="b">
        <v>0</v>
      </c>
      <c r="D96" s="31">
        <v>6</v>
      </c>
      <c r="E96" s="38" t="s">
        <v>1167</v>
      </c>
      <c r="F96" s="31" t="s">
        <v>131</v>
      </c>
      <c r="G96" s="31" t="s">
        <v>3665</v>
      </c>
      <c r="H96" s="31" t="s">
        <v>3666</v>
      </c>
      <c r="I96" s="37" t="s">
        <v>3667</v>
      </c>
      <c r="J96" s="31" t="s">
        <v>2328</v>
      </c>
      <c r="K96" s="31" t="s">
        <v>309</v>
      </c>
      <c r="L96" s="30" t="s">
        <v>2232</v>
      </c>
      <c r="M96" s="31" t="s">
        <v>2328</v>
      </c>
    </row>
    <row r="97" spans="1:13" s="30" customFormat="1" ht="45" x14ac:dyDescent="0.25">
      <c r="A97" s="31" t="s">
        <v>2893</v>
      </c>
      <c r="B97" s="32" t="s">
        <v>1168</v>
      </c>
      <c r="C97" s="31" t="b">
        <v>0</v>
      </c>
      <c r="D97" s="31">
        <v>6</v>
      </c>
      <c r="E97" s="38" t="s">
        <v>1170</v>
      </c>
      <c r="F97" s="31" t="s">
        <v>131</v>
      </c>
      <c r="G97" s="31" t="s">
        <v>3665</v>
      </c>
      <c r="H97" s="31" t="s">
        <v>3666</v>
      </c>
      <c r="I97" s="37" t="s">
        <v>3667</v>
      </c>
      <c r="J97" s="31" t="s">
        <v>2328</v>
      </c>
      <c r="K97" s="31" t="s">
        <v>309</v>
      </c>
      <c r="L97" s="30" t="s">
        <v>2232</v>
      </c>
      <c r="M97" s="31" t="s">
        <v>2328</v>
      </c>
    </row>
    <row r="98" spans="1:13" s="30" customFormat="1" ht="45" x14ac:dyDescent="0.25">
      <c r="A98" s="31" t="s">
        <v>2894</v>
      </c>
      <c r="B98" s="32" t="s">
        <v>1171</v>
      </c>
      <c r="C98" s="31" t="b">
        <v>0</v>
      </c>
      <c r="D98" s="31">
        <v>6</v>
      </c>
      <c r="E98" s="38" t="s">
        <v>1173</v>
      </c>
      <c r="F98" s="31" t="s">
        <v>131</v>
      </c>
      <c r="G98" s="31" t="s">
        <v>3665</v>
      </c>
      <c r="H98" s="31" t="s">
        <v>3666</v>
      </c>
      <c r="I98" s="37" t="s">
        <v>3667</v>
      </c>
      <c r="J98" s="31" t="s">
        <v>2328</v>
      </c>
      <c r="K98" s="31" t="s">
        <v>309</v>
      </c>
      <c r="L98" s="30" t="s">
        <v>2232</v>
      </c>
      <c r="M98" s="31" t="s">
        <v>2328</v>
      </c>
    </row>
    <row r="99" spans="1:13" s="30" customFormat="1" ht="45" x14ac:dyDescent="0.25">
      <c r="A99" s="31" t="s">
        <v>2895</v>
      </c>
      <c r="B99" s="32" t="s">
        <v>1174</v>
      </c>
      <c r="C99" s="31" t="b">
        <v>0</v>
      </c>
      <c r="D99" s="31">
        <v>6</v>
      </c>
      <c r="E99" s="38" t="s">
        <v>1176</v>
      </c>
      <c r="F99" s="31" t="s">
        <v>131</v>
      </c>
      <c r="G99" s="31" t="s">
        <v>3665</v>
      </c>
      <c r="H99" s="31" t="s">
        <v>3666</v>
      </c>
      <c r="I99" s="37" t="s">
        <v>3667</v>
      </c>
      <c r="J99" s="31" t="s">
        <v>2328</v>
      </c>
      <c r="K99" s="31" t="s">
        <v>309</v>
      </c>
      <c r="L99" s="30" t="s">
        <v>2232</v>
      </c>
      <c r="M99" s="31" t="s">
        <v>2328</v>
      </c>
    </row>
    <row r="100" spans="1:13" s="30" customFormat="1" ht="60" x14ac:dyDescent="0.25">
      <c r="A100" s="31" t="s">
        <v>2328</v>
      </c>
      <c r="B100" s="32" t="s">
        <v>1177</v>
      </c>
      <c r="C100" s="31" t="b">
        <v>0</v>
      </c>
      <c r="D100" s="31">
        <v>6</v>
      </c>
      <c r="E100" s="38" t="s">
        <v>1179</v>
      </c>
      <c r="F100" s="31" t="s">
        <v>139</v>
      </c>
      <c r="G100" s="31" t="s">
        <v>3665</v>
      </c>
      <c r="H100" s="31" t="s">
        <v>3666</v>
      </c>
      <c r="I100" s="37" t="s">
        <v>3667</v>
      </c>
      <c r="J100" s="31" t="s">
        <v>2328</v>
      </c>
      <c r="K100" s="31" t="s">
        <v>309</v>
      </c>
      <c r="L100" s="30" t="s">
        <v>2232</v>
      </c>
      <c r="M100" s="31" t="s">
        <v>2328</v>
      </c>
    </row>
    <row r="101" spans="1:13" s="30" customFormat="1" ht="45" x14ac:dyDescent="0.25">
      <c r="A101" s="31" t="s">
        <v>2328</v>
      </c>
      <c r="B101" s="32" t="s">
        <v>1180</v>
      </c>
      <c r="C101" s="31" t="b">
        <v>1</v>
      </c>
      <c r="D101" s="31">
        <v>4</v>
      </c>
      <c r="E101" s="35" t="s">
        <v>2394</v>
      </c>
      <c r="F101" s="31" t="s">
        <v>3443</v>
      </c>
      <c r="G101" s="31" t="s">
        <v>3665</v>
      </c>
      <c r="H101" s="31" t="s">
        <v>3666</v>
      </c>
      <c r="I101" s="37" t="s">
        <v>3667</v>
      </c>
      <c r="J101" s="31" t="s">
        <v>2328</v>
      </c>
      <c r="K101" s="31" t="s">
        <v>309</v>
      </c>
      <c r="L101" s="30" t="s">
        <v>2232</v>
      </c>
      <c r="M101" s="31" t="s">
        <v>2328</v>
      </c>
    </row>
    <row r="102" spans="1:13" s="30" customFormat="1" ht="45" x14ac:dyDescent="0.25">
      <c r="A102" s="31" t="s">
        <v>2896</v>
      </c>
      <c r="B102" s="32" t="s">
        <v>1183</v>
      </c>
      <c r="C102" s="31" t="b">
        <v>0</v>
      </c>
      <c r="D102" s="31">
        <v>6</v>
      </c>
      <c r="E102" s="38" t="s">
        <v>1185</v>
      </c>
      <c r="F102" s="31" t="s">
        <v>131</v>
      </c>
      <c r="G102" s="31" t="s">
        <v>3665</v>
      </c>
      <c r="H102" s="31" t="s">
        <v>3666</v>
      </c>
      <c r="I102" s="37" t="s">
        <v>3667</v>
      </c>
      <c r="J102" s="31" t="s">
        <v>2328</v>
      </c>
      <c r="K102" s="31" t="s">
        <v>309</v>
      </c>
      <c r="L102" s="30" t="s">
        <v>2232</v>
      </c>
      <c r="M102" s="31" t="s">
        <v>2328</v>
      </c>
    </row>
    <row r="103" spans="1:13" s="30" customFormat="1" ht="405" x14ac:dyDescent="0.25">
      <c r="A103" s="31" t="s">
        <v>2328</v>
      </c>
      <c r="B103" s="32" t="s">
        <v>1186</v>
      </c>
      <c r="C103" s="31" t="b">
        <v>0</v>
      </c>
      <c r="D103" s="31">
        <v>6</v>
      </c>
      <c r="E103" s="38" t="s">
        <v>2252</v>
      </c>
      <c r="F103" s="31" t="s">
        <v>139</v>
      </c>
      <c r="G103" s="31" t="s">
        <v>3665</v>
      </c>
      <c r="H103" s="31" t="s">
        <v>3666</v>
      </c>
      <c r="I103" s="37" t="s">
        <v>3667</v>
      </c>
      <c r="J103" s="31" t="s">
        <v>2328</v>
      </c>
      <c r="K103" s="31" t="s">
        <v>309</v>
      </c>
      <c r="L103" s="30" t="s">
        <v>2232</v>
      </c>
      <c r="M103" s="31" t="s">
        <v>2328</v>
      </c>
    </row>
    <row r="104" spans="1:13" s="30" customFormat="1" ht="45" x14ac:dyDescent="0.25">
      <c r="A104" s="31" t="s">
        <v>2897</v>
      </c>
      <c r="B104" s="32" t="s">
        <v>1188</v>
      </c>
      <c r="C104" s="31" t="b">
        <v>0</v>
      </c>
      <c r="D104" s="31">
        <v>6</v>
      </c>
      <c r="E104" s="38" t="s">
        <v>1190</v>
      </c>
      <c r="F104" s="31" t="s">
        <v>131</v>
      </c>
      <c r="G104" s="31" t="s">
        <v>3665</v>
      </c>
      <c r="H104" s="31" t="s">
        <v>3666</v>
      </c>
      <c r="I104" s="37" t="s">
        <v>3667</v>
      </c>
      <c r="J104" s="31" t="s">
        <v>2328</v>
      </c>
      <c r="K104" s="31" t="s">
        <v>309</v>
      </c>
      <c r="L104" s="30" t="s">
        <v>2232</v>
      </c>
      <c r="M104" s="31" t="s">
        <v>2328</v>
      </c>
    </row>
    <row r="105" spans="1:13" s="30" customFormat="1" ht="120" x14ac:dyDescent="0.25">
      <c r="A105" s="31" t="s">
        <v>2328</v>
      </c>
      <c r="B105" s="32" t="s">
        <v>1191</v>
      </c>
      <c r="C105" s="31" t="b">
        <v>0</v>
      </c>
      <c r="D105" s="31">
        <v>6</v>
      </c>
      <c r="E105" s="38" t="s">
        <v>2253</v>
      </c>
      <c r="F105" s="31" t="s">
        <v>139</v>
      </c>
      <c r="G105" s="31" t="s">
        <v>3665</v>
      </c>
      <c r="H105" s="31" t="s">
        <v>3666</v>
      </c>
      <c r="I105" s="37" t="s">
        <v>3667</v>
      </c>
      <c r="J105" s="31" t="s">
        <v>2328</v>
      </c>
      <c r="K105" s="31" t="s">
        <v>309</v>
      </c>
      <c r="L105" s="30" t="s">
        <v>2232</v>
      </c>
      <c r="M105" s="31" t="s">
        <v>2328</v>
      </c>
    </row>
    <row r="106" spans="1:13" s="30" customFormat="1" ht="120" x14ac:dyDescent="0.25">
      <c r="A106" s="31" t="s">
        <v>2328</v>
      </c>
      <c r="B106" s="32" t="s">
        <v>1193</v>
      </c>
      <c r="C106" s="31" t="b">
        <v>0</v>
      </c>
      <c r="D106" s="31">
        <v>6</v>
      </c>
      <c r="E106" s="38" t="s">
        <v>2253</v>
      </c>
      <c r="F106" s="31" t="s">
        <v>139</v>
      </c>
      <c r="G106" s="31" t="s">
        <v>3665</v>
      </c>
      <c r="H106" s="31" t="s">
        <v>3666</v>
      </c>
      <c r="I106" s="37" t="s">
        <v>3667</v>
      </c>
      <c r="J106" s="31" t="s">
        <v>2328</v>
      </c>
      <c r="K106" s="31" t="s">
        <v>309</v>
      </c>
      <c r="L106" s="30" t="s">
        <v>2232</v>
      </c>
      <c r="M106" s="31" t="s">
        <v>2328</v>
      </c>
    </row>
    <row r="107" spans="1:13" s="30" customFormat="1" ht="45" x14ac:dyDescent="0.25">
      <c r="A107" s="31" t="s">
        <v>2898</v>
      </c>
      <c r="B107" s="32" t="s">
        <v>1195</v>
      </c>
      <c r="C107" s="31" t="b">
        <v>0</v>
      </c>
      <c r="D107" s="31">
        <v>6</v>
      </c>
      <c r="E107" s="38" t="s">
        <v>1197</v>
      </c>
      <c r="F107" s="31" t="s">
        <v>131</v>
      </c>
      <c r="G107" s="31" t="s">
        <v>3665</v>
      </c>
      <c r="H107" s="31" t="s">
        <v>3666</v>
      </c>
      <c r="I107" s="37" t="s">
        <v>3667</v>
      </c>
      <c r="J107" s="31" t="s">
        <v>2328</v>
      </c>
      <c r="K107" s="31" t="s">
        <v>309</v>
      </c>
      <c r="L107" s="30" t="s">
        <v>2232</v>
      </c>
      <c r="M107" s="31" t="s">
        <v>2328</v>
      </c>
    </row>
    <row r="108" spans="1:13" s="30" customFormat="1" ht="45" x14ac:dyDescent="0.25">
      <c r="A108" s="31" t="s">
        <v>2899</v>
      </c>
      <c r="B108" s="32" t="s">
        <v>1198</v>
      </c>
      <c r="C108" s="31" t="b">
        <v>0</v>
      </c>
      <c r="D108" s="31">
        <v>6</v>
      </c>
      <c r="E108" s="38" t="s">
        <v>1200</v>
      </c>
      <c r="F108" s="31" t="s">
        <v>131</v>
      </c>
      <c r="G108" s="31" t="s">
        <v>3665</v>
      </c>
      <c r="H108" s="31" t="s">
        <v>3666</v>
      </c>
      <c r="I108" s="37" t="s">
        <v>3667</v>
      </c>
      <c r="J108" s="31" t="s">
        <v>2328</v>
      </c>
      <c r="K108" s="31" t="s">
        <v>309</v>
      </c>
      <c r="L108" s="30" t="s">
        <v>2232</v>
      </c>
      <c r="M108" s="31" t="s">
        <v>2328</v>
      </c>
    </row>
    <row r="109" spans="1:13" s="30" customFormat="1" ht="45" x14ac:dyDescent="0.25">
      <c r="A109" s="31" t="s">
        <v>2900</v>
      </c>
      <c r="B109" s="32" t="s">
        <v>1201</v>
      </c>
      <c r="C109" s="31" t="b">
        <v>0</v>
      </c>
      <c r="D109" s="31">
        <v>6</v>
      </c>
      <c r="E109" s="38" t="s">
        <v>1203</v>
      </c>
      <c r="F109" s="31" t="s">
        <v>131</v>
      </c>
      <c r="G109" s="31" t="s">
        <v>3665</v>
      </c>
      <c r="H109" s="31" t="s">
        <v>3666</v>
      </c>
      <c r="I109" s="37" t="s">
        <v>3667</v>
      </c>
      <c r="J109" s="31" t="s">
        <v>2328</v>
      </c>
      <c r="K109" s="31" t="s">
        <v>309</v>
      </c>
      <c r="L109" s="30" t="s">
        <v>2232</v>
      </c>
      <c r="M109" s="31" t="s">
        <v>2328</v>
      </c>
    </row>
    <row r="110" spans="1:13" s="30" customFormat="1" ht="45" x14ac:dyDescent="0.25">
      <c r="A110" s="31" t="s">
        <v>2901</v>
      </c>
      <c r="B110" s="32" t="s">
        <v>1204</v>
      </c>
      <c r="C110" s="31" t="b">
        <v>0</v>
      </c>
      <c r="D110" s="31">
        <v>6</v>
      </c>
      <c r="E110" s="38" t="s">
        <v>1206</v>
      </c>
      <c r="F110" s="31" t="s">
        <v>131</v>
      </c>
      <c r="G110" s="31" t="s">
        <v>3665</v>
      </c>
      <c r="H110" s="31" t="s">
        <v>3666</v>
      </c>
      <c r="I110" s="37" t="s">
        <v>3667</v>
      </c>
      <c r="J110" s="31" t="s">
        <v>2328</v>
      </c>
      <c r="K110" s="31" t="s">
        <v>309</v>
      </c>
      <c r="L110" s="30" t="s">
        <v>2232</v>
      </c>
      <c r="M110" s="31" t="s">
        <v>2328</v>
      </c>
    </row>
    <row r="111" spans="1:13" s="30" customFormat="1" ht="45" x14ac:dyDescent="0.25">
      <c r="A111" s="31" t="s">
        <v>2902</v>
      </c>
      <c r="B111" s="32" t="s">
        <v>1207</v>
      </c>
      <c r="C111" s="31" t="b">
        <v>0</v>
      </c>
      <c r="D111" s="31">
        <v>6</v>
      </c>
      <c r="E111" s="38" t="s">
        <v>1209</v>
      </c>
      <c r="F111" s="31" t="s">
        <v>131</v>
      </c>
      <c r="G111" s="31" t="s">
        <v>3665</v>
      </c>
      <c r="H111" s="31" t="s">
        <v>3666</v>
      </c>
      <c r="I111" s="37" t="s">
        <v>3667</v>
      </c>
      <c r="J111" s="31" t="s">
        <v>2328</v>
      </c>
      <c r="K111" s="31" t="s">
        <v>309</v>
      </c>
      <c r="L111" s="30" t="s">
        <v>2232</v>
      </c>
      <c r="M111" s="31" t="s">
        <v>2328</v>
      </c>
    </row>
    <row r="112" spans="1:13" s="30" customFormat="1" ht="45" x14ac:dyDescent="0.25">
      <c r="A112" s="31" t="s">
        <v>2903</v>
      </c>
      <c r="B112" s="32" t="s">
        <v>1210</v>
      </c>
      <c r="C112" s="31" t="b">
        <v>0</v>
      </c>
      <c r="D112" s="31">
        <v>6</v>
      </c>
      <c r="E112" s="38" t="s">
        <v>1212</v>
      </c>
      <c r="F112" s="31" t="s">
        <v>131</v>
      </c>
      <c r="G112" s="31" t="s">
        <v>3665</v>
      </c>
      <c r="H112" s="31" t="s">
        <v>3666</v>
      </c>
      <c r="I112" s="37" t="s">
        <v>3667</v>
      </c>
      <c r="J112" s="31" t="s">
        <v>2328</v>
      </c>
      <c r="K112" s="31" t="s">
        <v>309</v>
      </c>
      <c r="L112" s="30" t="s">
        <v>2232</v>
      </c>
      <c r="M112" s="31" t="s">
        <v>2328</v>
      </c>
    </row>
    <row r="113" spans="1:13" s="30" customFormat="1" ht="45" x14ac:dyDescent="0.25">
      <c r="A113" s="31" t="s">
        <v>2904</v>
      </c>
      <c r="B113" s="32" t="s">
        <v>1213</v>
      </c>
      <c r="C113" s="31" t="b">
        <v>0</v>
      </c>
      <c r="D113" s="31">
        <v>6</v>
      </c>
      <c r="E113" s="38" t="s">
        <v>1215</v>
      </c>
      <c r="F113" s="31" t="s">
        <v>131</v>
      </c>
      <c r="G113" s="31" t="s">
        <v>3665</v>
      </c>
      <c r="H113" s="31" t="s">
        <v>3666</v>
      </c>
      <c r="I113" s="37" t="s">
        <v>3667</v>
      </c>
      <c r="J113" s="31" t="s">
        <v>2328</v>
      </c>
      <c r="K113" s="31" t="s">
        <v>309</v>
      </c>
      <c r="L113" s="30" t="s">
        <v>2232</v>
      </c>
      <c r="M113" s="31" t="s">
        <v>2328</v>
      </c>
    </row>
    <row r="114" spans="1:13" s="30" customFormat="1" ht="45" x14ac:dyDescent="0.25">
      <c r="A114" s="31" t="s">
        <v>2905</v>
      </c>
      <c r="B114" s="32" t="s">
        <v>1216</v>
      </c>
      <c r="C114" s="31" t="b">
        <v>0</v>
      </c>
      <c r="D114" s="31">
        <v>6</v>
      </c>
      <c r="E114" s="38" t="s">
        <v>1218</v>
      </c>
      <c r="F114" s="31" t="s">
        <v>131</v>
      </c>
      <c r="G114" s="31" t="s">
        <v>3665</v>
      </c>
      <c r="H114" s="31" t="s">
        <v>3666</v>
      </c>
      <c r="I114" s="37" t="s">
        <v>3667</v>
      </c>
      <c r="J114" s="31" t="s">
        <v>2328</v>
      </c>
      <c r="K114" s="31" t="s">
        <v>309</v>
      </c>
      <c r="L114" s="30" t="s">
        <v>2232</v>
      </c>
      <c r="M114" s="31" t="s">
        <v>2328</v>
      </c>
    </row>
    <row r="115" spans="1:13" s="30" customFormat="1" ht="45" x14ac:dyDescent="0.25">
      <c r="A115" s="31" t="s">
        <v>2906</v>
      </c>
      <c r="B115" s="32" t="s">
        <v>1219</v>
      </c>
      <c r="C115" s="31" t="b">
        <v>0</v>
      </c>
      <c r="D115" s="31">
        <v>6</v>
      </c>
      <c r="E115" s="38" t="s">
        <v>1221</v>
      </c>
      <c r="F115" s="31" t="s">
        <v>131</v>
      </c>
      <c r="G115" s="31" t="s">
        <v>3665</v>
      </c>
      <c r="H115" s="31" t="s">
        <v>3666</v>
      </c>
      <c r="I115" s="37" t="s">
        <v>3667</v>
      </c>
      <c r="J115" s="31" t="s">
        <v>2328</v>
      </c>
      <c r="K115" s="31" t="s">
        <v>309</v>
      </c>
      <c r="L115" s="30" t="s">
        <v>2232</v>
      </c>
      <c r="M115" s="31" t="s">
        <v>2328</v>
      </c>
    </row>
    <row r="116" spans="1:13" s="30" customFormat="1" ht="45" x14ac:dyDescent="0.25">
      <c r="A116" s="31" t="s">
        <v>2907</v>
      </c>
      <c r="B116" s="32" t="s">
        <v>1222</v>
      </c>
      <c r="C116" s="31" t="b">
        <v>0</v>
      </c>
      <c r="D116" s="31">
        <v>6</v>
      </c>
      <c r="E116" s="38" t="s">
        <v>1224</v>
      </c>
      <c r="F116" s="31" t="s">
        <v>131</v>
      </c>
      <c r="G116" s="31" t="s">
        <v>3665</v>
      </c>
      <c r="H116" s="31" t="s">
        <v>3666</v>
      </c>
      <c r="I116" s="37" t="s">
        <v>3667</v>
      </c>
      <c r="J116" s="31" t="s">
        <v>2328</v>
      </c>
      <c r="K116" s="31" t="s">
        <v>309</v>
      </c>
      <c r="L116" s="30" t="s">
        <v>2232</v>
      </c>
      <c r="M116" s="31" t="s">
        <v>2328</v>
      </c>
    </row>
    <row r="117" spans="1:13" s="30" customFormat="1" ht="45" x14ac:dyDescent="0.25">
      <c r="A117" s="31" t="s">
        <v>2908</v>
      </c>
      <c r="B117" s="32" t="s">
        <v>1225</v>
      </c>
      <c r="C117" s="31" t="b">
        <v>0</v>
      </c>
      <c r="D117" s="31">
        <v>6</v>
      </c>
      <c r="E117" s="38" t="s">
        <v>1227</v>
      </c>
      <c r="F117" s="31" t="s">
        <v>131</v>
      </c>
      <c r="G117" s="31" t="s">
        <v>3665</v>
      </c>
      <c r="H117" s="31" t="s">
        <v>3666</v>
      </c>
      <c r="I117" s="37" t="s">
        <v>3667</v>
      </c>
      <c r="J117" s="31" t="s">
        <v>2328</v>
      </c>
      <c r="K117" s="31" t="s">
        <v>309</v>
      </c>
      <c r="L117" s="30" t="s">
        <v>2232</v>
      </c>
      <c r="M117" s="31" t="s">
        <v>2328</v>
      </c>
    </row>
    <row r="118" spans="1:13" s="30" customFormat="1" ht="45" x14ac:dyDescent="0.25">
      <c r="A118" s="31" t="s">
        <v>2328</v>
      </c>
      <c r="B118" s="32" t="s">
        <v>1228</v>
      </c>
      <c r="C118" s="31" t="b">
        <v>1</v>
      </c>
      <c r="D118" s="31">
        <v>2</v>
      </c>
      <c r="E118" s="34" t="s">
        <v>2349</v>
      </c>
      <c r="F118" s="31" t="s">
        <v>3443</v>
      </c>
      <c r="G118" s="31" t="s">
        <v>3665</v>
      </c>
      <c r="H118" s="31" t="s">
        <v>3666</v>
      </c>
      <c r="I118" s="37" t="s">
        <v>3667</v>
      </c>
      <c r="J118" s="31" t="s">
        <v>2328</v>
      </c>
      <c r="K118" s="31" t="s">
        <v>312</v>
      </c>
      <c r="L118" s="30" t="s">
        <v>2232</v>
      </c>
      <c r="M118" s="31" t="s">
        <v>2328</v>
      </c>
    </row>
    <row r="119" spans="1:13" s="30" customFormat="1" ht="45" x14ac:dyDescent="0.25">
      <c r="A119" s="31" t="s">
        <v>2909</v>
      </c>
      <c r="B119" s="32" t="s">
        <v>1229</v>
      </c>
      <c r="C119" s="31" t="b">
        <v>0</v>
      </c>
      <c r="D119" s="31">
        <v>4</v>
      </c>
      <c r="E119" s="35" t="s">
        <v>313</v>
      </c>
      <c r="F119" s="31" t="s">
        <v>131</v>
      </c>
      <c r="G119" s="31" t="s">
        <v>3665</v>
      </c>
      <c r="H119" s="31" t="s">
        <v>3666</v>
      </c>
      <c r="I119" s="37" t="s">
        <v>3667</v>
      </c>
      <c r="J119" s="31" t="s">
        <v>2328</v>
      </c>
      <c r="K119" s="31" t="s">
        <v>312</v>
      </c>
      <c r="L119" s="30" t="s">
        <v>2232</v>
      </c>
      <c r="M119" s="31" t="s">
        <v>2328</v>
      </c>
    </row>
    <row r="120" spans="1:13" s="30" customFormat="1" ht="120" x14ac:dyDescent="0.25">
      <c r="A120" s="31" t="s">
        <v>2328</v>
      </c>
      <c r="B120" s="32" t="s">
        <v>1230</v>
      </c>
      <c r="C120" s="31" t="b">
        <v>0</v>
      </c>
      <c r="D120" s="31">
        <v>4</v>
      </c>
      <c r="E120" s="35" t="s">
        <v>2254</v>
      </c>
      <c r="F120" s="31" t="s">
        <v>139</v>
      </c>
      <c r="G120" s="31" t="s">
        <v>3665</v>
      </c>
      <c r="H120" s="31" t="s">
        <v>3666</v>
      </c>
      <c r="I120" s="37" t="s">
        <v>3667</v>
      </c>
      <c r="J120" s="31" t="s">
        <v>2328</v>
      </c>
      <c r="K120" s="31" t="s">
        <v>312</v>
      </c>
      <c r="L120" s="30" t="s">
        <v>2232</v>
      </c>
      <c r="M120" s="31" t="s">
        <v>2328</v>
      </c>
    </row>
    <row r="121" spans="1:13" s="30" customFormat="1" ht="45" x14ac:dyDescent="0.25">
      <c r="A121" s="31" t="s">
        <v>2910</v>
      </c>
      <c r="B121" s="32" t="s">
        <v>1232</v>
      </c>
      <c r="C121" s="31" t="b">
        <v>0</v>
      </c>
      <c r="D121" s="31">
        <v>4</v>
      </c>
      <c r="E121" s="35" t="s">
        <v>1234</v>
      </c>
      <c r="F121" s="31" t="s">
        <v>131</v>
      </c>
      <c r="G121" s="31" t="s">
        <v>3665</v>
      </c>
      <c r="H121" s="31" t="s">
        <v>3666</v>
      </c>
      <c r="I121" s="37" t="s">
        <v>3667</v>
      </c>
      <c r="J121" s="31" t="s">
        <v>2328</v>
      </c>
      <c r="K121" s="31" t="s">
        <v>312</v>
      </c>
      <c r="L121" s="30" t="s">
        <v>2232</v>
      </c>
      <c r="M121" s="31" t="s">
        <v>2328</v>
      </c>
    </row>
    <row r="122" spans="1:13" s="30" customFormat="1" ht="45" x14ac:dyDescent="0.25">
      <c r="A122" s="31" t="s">
        <v>2911</v>
      </c>
      <c r="B122" s="32" t="s">
        <v>1235</v>
      </c>
      <c r="C122" s="31" t="b">
        <v>0</v>
      </c>
      <c r="D122" s="31">
        <v>4</v>
      </c>
      <c r="E122" s="35" t="s">
        <v>1237</v>
      </c>
      <c r="F122" s="31" t="s">
        <v>131</v>
      </c>
      <c r="G122" s="31" t="s">
        <v>3665</v>
      </c>
      <c r="H122" s="31" t="s">
        <v>3666</v>
      </c>
      <c r="I122" s="37" t="s">
        <v>3667</v>
      </c>
      <c r="J122" s="31" t="s">
        <v>2328</v>
      </c>
      <c r="K122" s="31" t="s">
        <v>312</v>
      </c>
      <c r="L122" s="30" t="s">
        <v>2232</v>
      </c>
      <c r="M122" s="31" t="s">
        <v>2328</v>
      </c>
    </row>
    <row r="123" spans="1:13" s="30" customFormat="1" ht="45" x14ac:dyDescent="0.25">
      <c r="A123" s="31" t="s">
        <v>2912</v>
      </c>
      <c r="B123" s="32" t="s">
        <v>1238</v>
      </c>
      <c r="C123" s="31" t="b">
        <v>0</v>
      </c>
      <c r="D123" s="31">
        <v>4</v>
      </c>
      <c r="E123" s="35" t="s">
        <v>1240</v>
      </c>
      <c r="F123" s="31" t="s">
        <v>131</v>
      </c>
      <c r="G123" s="31" t="s">
        <v>3665</v>
      </c>
      <c r="H123" s="31" t="s">
        <v>3666</v>
      </c>
      <c r="I123" s="37" t="s">
        <v>3667</v>
      </c>
      <c r="J123" s="31" t="s">
        <v>2328</v>
      </c>
      <c r="K123" s="31" t="s">
        <v>312</v>
      </c>
      <c r="L123" s="30" t="s">
        <v>2232</v>
      </c>
      <c r="M123" s="31" t="s">
        <v>2328</v>
      </c>
    </row>
    <row r="124" spans="1:13" s="30" customFormat="1" ht="45" x14ac:dyDescent="0.25">
      <c r="A124" s="31" t="s">
        <v>2913</v>
      </c>
      <c r="B124" s="32" t="s">
        <v>1241</v>
      </c>
      <c r="C124" s="31" t="b">
        <v>0</v>
      </c>
      <c r="D124" s="31">
        <v>4</v>
      </c>
      <c r="E124" s="35" t="s">
        <v>1243</v>
      </c>
      <c r="F124" s="31" t="s">
        <v>131</v>
      </c>
      <c r="G124" s="31" t="s">
        <v>3665</v>
      </c>
      <c r="H124" s="31" t="s">
        <v>3666</v>
      </c>
      <c r="I124" s="37" t="s">
        <v>3667</v>
      </c>
      <c r="J124" s="31" t="s">
        <v>2328</v>
      </c>
      <c r="K124" s="31" t="s">
        <v>312</v>
      </c>
      <c r="L124" s="30" t="s">
        <v>2232</v>
      </c>
      <c r="M124" s="31" t="s">
        <v>2328</v>
      </c>
    </row>
    <row r="125" spans="1:13" s="30" customFormat="1" ht="45" x14ac:dyDescent="0.25">
      <c r="A125" s="31" t="s">
        <v>2914</v>
      </c>
      <c r="B125" s="32" t="s">
        <v>1244</v>
      </c>
      <c r="C125" s="31" t="b">
        <v>0</v>
      </c>
      <c r="D125" s="31">
        <v>4</v>
      </c>
      <c r="E125" s="35" t="s">
        <v>1246</v>
      </c>
      <c r="F125" s="31" t="s">
        <v>131</v>
      </c>
      <c r="G125" s="31" t="s">
        <v>3665</v>
      </c>
      <c r="H125" s="31" t="s">
        <v>3666</v>
      </c>
      <c r="I125" s="37" t="s">
        <v>3667</v>
      </c>
      <c r="J125" s="31" t="s">
        <v>2328</v>
      </c>
      <c r="K125" s="31" t="s">
        <v>312</v>
      </c>
      <c r="L125" s="30" t="s">
        <v>2232</v>
      </c>
      <c r="M125" s="31" t="s">
        <v>2328</v>
      </c>
    </row>
    <row r="126" spans="1:13" s="30" customFormat="1" ht="45" x14ac:dyDescent="0.25">
      <c r="A126" s="31" t="s">
        <v>2915</v>
      </c>
      <c r="B126" s="32" t="s">
        <v>1247</v>
      </c>
      <c r="C126" s="31" t="b">
        <v>0</v>
      </c>
      <c r="D126" s="31">
        <v>4</v>
      </c>
      <c r="E126" s="35" t="s">
        <v>1249</v>
      </c>
      <c r="F126" s="31" t="s">
        <v>131</v>
      </c>
      <c r="G126" s="31" t="s">
        <v>3665</v>
      </c>
      <c r="H126" s="31" t="s">
        <v>3666</v>
      </c>
      <c r="I126" s="37" t="s">
        <v>3667</v>
      </c>
      <c r="J126" s="31" t="s">
        <v>2328</v>
      </c>
      <c r="K126" s="31" t="s">
        <v>312</v>
      </c>
      <c r="L126" s="30" t="s">
        <v>2232</v>
      </c>
      <c r="M126" s="31" t="s">
        <v>2328</v>
      </c>
    </row>
    <row r="127" spans="1:13" s="30" customFormat="1" ht="45" x14ac:dyDescent="0.25">
      <c r="A127" s="31" t="s">
        <v>2916</v>
      </c>
      <c r="B127" s="32" t="s">
        <v>1250</v>
      </c>
      <c r="C127" s="31" t="b">
        <v>0</v>
      </c>
      <c r="D127" s="31">
        <v>4</v>
      </c>
      <c r="E127" s="35" t="s">
        <v>1252</v>
      </c>
      <c r="F127" s="31" t="s">
        <v>131</v>
      </c>
      <c r="G127" s="31" t="s">
        <v>3665</v>
      </c>
      <c r="H127" s="31" t="s">
        <v>3666</v>
      </c>
      <c r="I127" s="37" t="s">
        <v>3667</v>
      </c>
      <c r="J127" s="31" t="s">
        <v>2328</v>
      </c>
      <c r="K127" s="31" t="s">
        <v>312</v>
      </c>
      <c r="L127" s="30" t="s">
        <v>2232</v>
      </c>
      <c r="M127" s="31" t="s">
        <v>2328</v>
      </c>
    </row>
    <row r="128" spans="1:13" s="30" customFormat="1" ht="45" x14ac:dyDescent="0.25">
      <c r="A128" s="31" t="s">
        <v>2917</v>
      </c>
      <c r="B128" s="32" t="s">
        <v>1253</v>
      </c>
      <c r="C128" s="31" t="b">
        <v>0</v>
      </c>
      <c r="D128" s="31">
        <v>4</v>
      </c>
      <c r="E128" s="35" t="s">
        <v>1255</v>
      </c>
      <c r="F128" s="31" t="s">
        <v>131</v>
      </c>
      <c r="G128" s="31" t="s">
        <v>3665</v>
      </c>
      <c r="H128" s="31" t="s">
        <v>3666</v>
      </c>
      <c r="I128" s="37" t="s">
        <v>3667</v>
      </c>
      <c r="J128" s="31" t="s">
        <v>2328</v>
      </c>
      <c r="K128" s="31" t="s">
        <v>312</v>
      </c>
      <c r="L128" s="30" t="s">
        <v>2232</v>
      </c>
      <c r="M128" s="31" t="s">
        <v>2328</v>
      </c>
    </row>
    <row r="129" spans="1:13" s="30" customFormat="1" ht="45" x14ac:dyDescent="0.25">
      <c r="A129" s="31" t="s">
        <v>2918</v>
      </c>
      <c r="B129" s="32" t="s">
        <v>1256</v>
      </c>
      <c r="C129" s="31" t="b">
        <v>0</v>
      </c>
      <c r="D129" s="31">
        <v>4</v>
      </c>
      <c r="E129" s="35" t="s">
        <v>1258</v>
      </c>
      <c r="F129" s="31" t="s">
        <v>131</v>
      </c>
      <c r="G129" s="31" t="s">
        <v>3665</v>
      </c>
      <c r="H129" s="31" t="s">
        <v>3666</v>
      </c>
      <c r="I129" s="37" t="s">
        <v>3667</v>
      </c>
      <c r="J129" s="31" t="s">
        <v>2328</v>
      </c>
      <c r="K129" s="31" t="s">
        <v>312</v>
      </c>
      <c r="L129" s="30" t="s">
        <v>2232</v>
      </c>
      <c r="M129" s="31" t="s">
        <v>2328</v>
      </c>
    </row>
    <row r="130" spans="1:13" s="30" customFormat="1" ht="45" x14ac:dyDescent="0.25">
      <c r="A130" s="31" t="s">
        <v>2328</v>
      </c>
      <c r="B130" s="32" t="s">
        <v>1011</v>
      </c>
      <c r="C130" s="31" t="b">
        <v>1</v>
      </c>
      <c r="D130" s="31">
        <v>2</v>
      </c>
      <c r="E130" s="34" t="s">
        <v>2395</v>
      </c>
      <c r="F130" s="31" t="s">
        <v>3443</v>
      </c>
      <c r="G130" s="31" t="s">
        <v>3665</v>
      </c>
      <c r="H130" s="31" t="s">
        <v>3666</v>
      </c>
      <c r="I130" s="37" t="s">
        <v>3667</v>
      </c>
      <c r="J130" s="31" t="s">
        <v>2328</v>
      </c>
      <c r="K130" s="31" t="s">
        <v>303</v>
      </c>
      <c r="L130" s="30" t="s">
        <v>2232</v>
      </c>
      <c r="M130" s="31" t="s">
        <v>2328</v>
      </c>
    </row>
    <row r="131" spans="1:13" s="30" customFormat="1" ht="45" x14ac:dyDescent="0.25">
      <c r="A131" s="31" t="s">
        <v>2828</v>
      </c>
      <c r="B131" s="32" t="s">
        <v>1031</v>
      </c>
      <c r="C131" s="31" t="b">
        <v>0</v>
      </c>
      <c r="D131" s="31">
        <v>6</v>
      </c>
      <c r="E131" s="38" t="s">
        <v>304</v>
      </c>
      <c r="F131" s="31" t="s">
        <v>131</v>
      </c>
      <c r="G131" s="31" t="s">
        <v>3665</v>
      </c>
      <c r="H131" s="31" t="s">
        <v>3666</v>
      </c>
      <c r="I131" s="37" t="s">
        <v>3667</v>
      </c>
      <c r="J131" s="31" t="s">
        <v>2328</v>
      </c>
      <c r="K131" s="31" t="s">
        <v>303</v>
      </c>
      <c r="L131" s="30" t="s">
        <v>2232</v>
      </c>
      <c r="M131" s="31" t="s">
        <v>2328</v>
      </c>
    </row>
    <row r="132" spans="1:13" s="30" customFormat="1" ht="45" x14ac:dyDescent="0.25">
      <c r="A132" s="31" t="s">
        <v>2829</v>
      </c>
      <c r="B132" s="32" t="s">
        <v>1033</v>
      </c>
      <c r="C132" s="31" t="b">
        <v>0</v>
      </c>
      <c r="D132" s="31">
        <v>6</v>
      </c>
      <c r="E132" s="38" t="s">
        <v>1035</v>
      </c>
      <c r="F132" s="31" t="s">
        <v>131</v>
      </c>
      <c r="G132" s="31" t="s">
        <v>3665</v>
      </c>
      <c r="H132" s="31" t="s">
        <v>3666</v>
      </c>
      <c r="I132" s="37" t="s">
        <v>3667</v>
      </c>
      <c r="J132" s="31" t="s">
        <v>2328</v>
      </c>
      <c r="K132" s="31" t="s">
        <v>303</v>
      </c>
      <c r="L132" s="30" t="s">
        <v>2232</v>
      </c>
      <c r="M132" s="31" t="s">
        <v>2328</v>
      </c>
    </row>
    <row r="133" spans="1:13" s="30" customFormat="1" ht="45" x14ac:dyDescent="0.25">
      <c r="A133" s="31" t="s">
        <v>2328</v>
      </c>
      <c r="B133" s="32" t="s">
        <v>1016</v>
      </c>
      <c r="C133" s="31" t="b">
        <v>0</v>
      </c>
      <c r="D133" s="31">
        <v>6</v>
      </c>
      <c r="E133" s="38" t="s">
        <v>1018</v>
      </c>
      <c r="F133" s="31" t="s">
        <v>139</v>
      </c>
      <c r="G133" s="31" t="s">
        <v>3665</v>
      </c>
      <c r="H133" s="31" t="s">
        <v>3666</v>
      </c>
      <c r="I133" s="37" t="s">
        <v>3667</v>
      </c>
      <c r="J133" s="31" t="s">
        <v>2328</v>
      </c>
      <c r="K133" s="31" t="s">
        <v>303</v>
      </c>
      <c r="L133" s="30" t="s">
        <v>2232</v>
      </c>
      <c r="M133" s="31" t="s">
        <v>2328</v>
      </c>
    </row>
    <row r="134" spans="1:13" s="30" customFormat="1" ht="45" x14ac:dyDescent="0.25">
      <c r="A134" s="31" t="s">
        <v>2835</v>
      </c>
      <c r="B134" s="32" t="s">
        <v>1019</v>
      </c>
      <c r="C134" s="31" t="b">
        <v>0</v>
      </c>
      <c r="D134" s="31">
        <v>6</v>
      </c>
      <c r="E134" s="38" t="s">
        <v>1020</v>
      </c>
      <c r="F134" s="31" t="s">
        <v>131</v>
      </c>
      <c r="G134" s="31" t="s">
        <v>3665</v>
      </c>
      <c r="H134" s="31" t="s">
        <v>3666</v>
      </c>
      <c r="I134" s="37" t="s">
        <v>3667</v>
      </c>
      <c r="J134" s="31" t="s">
        <v>2328</v>
      </c>
      <c r="K134" s="31" t="s">
        <v>303</v>
      </c>
      <c r="L134" s="30" t="s">
        <v>2232</v>
      </c>
      <c r="M134" s="31" t="s">
        <v>2328</v>
      </c>
    </row>
    <row r="135" spans="1:13" s="30" customFormat="1" ht="45" x14ac:dyDescent="0.25">
      <c r="A135" s="31" t="s">
        <v>2836</v>
      </c>
      <c r="B135" s="32" t="s">
        <v>1021</v>
      </c>
      <c r="C135" s="31" t="b">
        <v>0</v>
      </c>
      <c r="D135" s="31">
        <v>6</v>
      </c>
      <c r="E135" s="38" t="s">
        <v>1022</v>
      </c>
      <c r="F135" s="31" t="s">
        <v>131</v>
      </c>
      <c r="G135" s="31" t="s">
        <v>3665</v>
      </c>
      <c r="H135" s="31" t="s">
        <v>3666</v>
      </c>
      <c r="I135" s="37" t="s">
        <v>3667</v>
      </c>
      <c r="J135" s="31" t="s">
        <v>2328</v>
      </c>
      <c r="K135" s="31" t="s">
        <v>303</v>
      </c>
      <c r="L135" s="30" t="s">
        <v>2232</v>
      </c>
      <c r="M135" s="31" t="s">
        <v>2328</v>
      </c>
    </row>
    <row r="136" spans="1:13" s="30" customFormat="1" ht="45" x14ac:dyDescent="0.25">
      <c r="A136" s="31" t="s">
        <v>2838</v>
      </c>
      <c r="B136" s="32" t="s">
        <v>1023</v>
      </c>
      <c r="C136" s="31" t="b">
        <v>0</v>
      </c>
      <c r="D136" s="31">
        <v>6</v>
      </c>
      <c r="E136" s="38" t="s">
        <v>1024</v>
      </c>
      <c r="F136" s="31" t="s">
        <v>131</v>
      </c>
      <c r="G136" s="31" t="s">
        <v>3665</v>
      </c>
      <c r="H136" s="31" t="s">
        <v>3666</v>
      </c>
      <c r="I136" s="37" t="s">
        <v>3667</v>
      </c>
      <c r="J136" s="31" t="s">
        <v>2328</v>
      </c>
      <c r="K136" s="31" t="s">
        <v>303</v>
      </c>
      <c r="L136" s="30" t="s">
        <v>2232</v>
      </c>
      <c r="M136" s="31" t="s">
        <v>2328</v>
      </c>
    </row>
    <row r="137" spans="1:13" s="30" customFormat="1" ht="45" x14ac:dyDescent="0.25">
      <c r="A137" s="31" t="s">
        <v>2840</v>
      </c>
      <c r="B137" s="32" t="s">
        <v>1025</v>
      </c>
      <c r="C137" s="31" t="b">
        <v>0</v>
      </c>
      <c r="D137" s="31">
        <v>6</v>
      </c>
      <c r="E137" s="38" t="s">
        <v>1026</v>
      </c>
      <c r="F137" s="31" t="s">
        <v>131</v>
      </c>
      <c r="G137" s="31" t="s">
        <v>3665</v>
      </c>
      <c r="H137" s="31" t="s">
        <v>3666</v>
      </c>
      <c r="I137" s="37" t="s">
        <v>3667</v>
      </c>
      <c r="J137" s="31" t="s">
        <v>2328</v>
      </c>
      <c r="K137" s="31" t="s">
        <v>303</v>
      </c>
      <c r="L137" s="30" t="s">
        <v>2232</v>
      </c>
      <c r="M137" s="31" t="s">
        <v>2328</v>
      </c>
    </row>
    <row r="138" spans="1:13" s="30" customFormat="1" ht="45" x14ac:dyDescent="0.25">
      <c r="A138" s="31" t="s">
        <v>2842</v>
      </c>
      <c r="B138" s="32" t="s">
        <v>1027</v>
      </c>
      <c r="C138" s="31" t="b">
        <v>0</v>
      </c>
      <c r="D138" s="31">
        <v>6</v>
      </c>
      <c r="E138" s="38" t="s">
        <v>1028</v>
      </c>
      <c r="F138" s="31" t="s">
        <v>131</v>
      </c>
      <c r="G138" s="31" t="s">
        <v>3665</v>
      </c>
      <c r="H138" s="31" t="s">
        <v>3666</v>
      </c>
      <c r="I138" s="37" t="s">
        <v>3667</v>
      </c>
      <c r="J138" s="31" t="s">
        <v>2328</v>
      </c>
      <c r="K138" s="31" t="s">
        <v>303</v>
      </c>
      <c r="L138" s="30" t="s">
        <v>2232</v>
      </c>
      <c r="M138" s="31" t="s">
        <v>2328</v>
      </c>
    </row>
    <row r="139" spans="1:13" s="30" customFormat="1" ht="45" x14ac:dyDescent="0.25">
      <c r="A139" s="31" t="s">
        <v>2844</v>
      </c>
      <c r="B139" s="32" t="s">
        <v>1029</v>
      </c>
      <c r="C139" s="31" t="b">
        <v>0</v>
      </c>
      <c r="D139" s="31">
        <v>6</v>
      </c>
      <c r="E139" s="38" t="s">
        <v>1030</v>
      </c>
      <c r="F139" s="31" t="s">
        <v>131</v>
      </c>
      <c r="G139" s="31" t="s">
        <v>3665</v>
      </c>
      <c r="H139" s="31" t="s">
        <v>3666</v>
      </c>
      <c r="I139" s="37" t="s">
        <v>3667</v>
      </c>
      <c r="J139" s="31" t="s">
        <v>2328</v>
      </c>
      <c r="K139" s="31" t="s">
        <v>303</v>
      </c>
      <c r="L139" s="30" t="s">
        <v>2232</v>
      </c>
      <c r="M139" s="31" t="s">
        <v>2328</v>
      </c>
    </row>
    <row r="140" spans="1:13" s="30" customFormat="1" ht="45" x14ac:dyDescent="0.25">
      <c r="A140" s="31" t="s">
        <v>2328</v>
      </c>
      <c r="B140" s="32" t="s">
        <v>1036</v>
      </c>
      <c r="C140" s="31" t="b">
        <v>1</v>
      </c>
      <c r="D140" s="31">
        <v>4</v>
      </c>
      <c r="E140" s="35" t="s">
        <v>3413</v>
      </c>
      <c r="F140" s="31" t="s">
        <v>3443</v>
      </c>
      <c r="G140" s="31" t="s">
        <v>3665</v>
      </c>
      <c r="H140" s="31" t="s">
        <v>3666</v>
      </c>
      <c r="I140" s="37" t="s">
        <v>3667</v>
      </c>
      <c r="J140" s="31" t="s">
        <v>2328</v>
      </c>
      <c r="K140" s="31" t="s">
        <v>303</v>
      </c>
      <c r="L140" s="30" t="s">
        <v>2232</v>
      </c>
      <c r="M140" s="31" t="s">
        <v>2328</v>
      </c>
    </row>
    <row r="141" spans="1:13" s="30" customFormat="1" ht="45" x14ac:dyDescent="0.25">
      <c r="A141" s="31" t="s">
        <v>2847</v>
      </c>
      <c r="B141" s="32" t="s">
        <v>1038</v>
      </c>
      <c r="C141" s="31" t="b">
        <v>0</v>
      </c>
      <c r="D141" s="31">
        <v>6</v>
      </c>
      <c r="E141" s="38" t="s">
        <v>1040</v>
      </c>
      <c r="F141" s="31" t="s">
        <v>131</v>
      </c>
      <c r="G141" s="31" t="s">
        <v>3665</v>
      </c>
      <c r="H141" s="31" t="s">
        <v>3666</v>
      </c>
      <c r="I141" s="37" t="s">
        <v>3667</v>
      </c>
      <c r="J141" s="31" t="s">
        <v>2328</v>
      </c>
      <c r="K141" s="31" t="s">
        <v>303</v>
      </c>
      <c r="L141" s="30" t="s">
        <v>2232</v>
      </c>
      <c r="M141" s="31" t="s">
        <v>2328</v>
      </c>
    </row>
    <row r="142" spans="1:13" s="30" customFormat="1" ht="45" x14ac:dyDescent="0.25">
      <c r="A142" s="31" t="s">
        <v>2848</v>
      </c>
      <c r="B142" s="32" t="s">
        <v>1041</v>
      </c>
      <c r="C142" s="31" t="b">
        <v>0</v>
      </c>
      <c r="D142" s="31">
        <v>6</v>
      </c>
      <c r="E142" s="38" t="s">
        <v>1043</v>
      </c>
      <c r="F142" s="31" t="s">
        <v>131</v>
      </c>
      <c r="G142" s="31" t="s">
        <v>3665</v>
      </c>
      <c r="H142" s="31" t="s">
        <v>3666</v>
      </c>
      <c r="I142" s="37" t="s">
        <v>3667</v>
      </c>
      <c r="J142" s="31" t="s">
        <v>2328</v>
      </c>
      <c r="K142" s="31" t="s">
        <v>303</v>
      </c>
      <c r="L142" s="30" t="s">
        <v>2232</v>
      </c>
      <c r="M142" s="31" t="s">
        <v>2328</v>
      </c>
    </row>
    <row r="143" spans="1:13" s="30" customFormat="1" ht="45" x14ac:dyDescent="0.25">
      <c r="A143" s="31" t="s">
        <v>2328</v>
      </c>
      <c r="B143" s="32" t="s">
        <v>1044</v>
      </c>
      <c r="C143" s="31" t="b">
        <v>1</v>
      </c>
      <c r="D143" s="31">
        <v>4</v>
      </c>
      <c r="E143" s="35" t="s">
        <v>3414</v>
      </c>
      <c r="F143" s="31" t="s">
        <v>3443</v>
      </c>
      <c r="G143" s="31" t="s">
        <v>3665</v>
      </c>
      <c r="H143" s="31" t="s">
        <v>3666</v>
      </c>
      <c r="I143" s="37" t="s">
        <v>3667</v>
      </c>
      <c r="J143" s="31" t="s">
        <v>2328</v>
      </c>
      <c r="K143" s="31" t="s">
        <v>303</v>
      </c>
      <c r="L143" s="30" t="s">
        <v>2232</v>
      </c>
      <c r="M143" s="31" t="s">
        <v>2328</v>
      </c>
    </row>
    <row r="144" spans="1:13" s="30" customFormat="1" ht="45" x14ac:dyDescent="0.25">
      <c r="A144" s="31" t="s">
        <v>2852</v>
      </c>
      <c r="B144" s="32" t="s">
        <v>1047</v>
      </c>
      <c r="C144" s="31" t="b">
        <v>0</v>
      </c>
      <c r="D144" s="31">
        <v>6</v>
      </c>
      <c r="E144" s="38" t="s">
        <v>1049</v>
      </c>
      <c r="F144" s="31" t="s">
        <v>131</v>
      </c>
      <c r="G144" s="31" t="s">
        <v>3665</v>
      </c>
      <c r="H144" s="31" t="s">
        <v>3666</v>
      </c>
      <c r="I144" s="37" t="s">
        <v>3667</v>
      </c>
      <c r="J144" s="31" t="s">
        <v>2328</v>
      </c>
      <c r="K144" s="31" t="s">
        <v>303</v>
      </c>
      <c r="L144" s="30" t="s">
        <v>2232</v>
      </c>
      <c r="M144" s="31" t="s">
        <v>2328</v>
      </c>
    </row>
    <row r="145" spans="1:13" s="30" customFormat="1" ht="45" x14ac:dyDescent="0.25">
      <c r="A145" s="31" t="s">
        <v>2854</v>
      </c>
      <c r="B145" s="32" t="s">
        <v>1050</v>
      </c>
      <c r="C145" s="31" t="b">
        <v>0</v>
      </c>
      <c r="D145" s="31">
        <v>6</v>
      </c>
      <c r="E145" s="38" t="s">
        <v>33</v>
      </c>
      <c r="F145" s="31" t="s">
        <v>131</v>
      </c>
      <c r="G145" s="31" t="s">
        <v>3665</v>
      </c>
      <c r="H145" s="31" t="s">
        <v>3666</v>
      </c>
      <c r="I145" s="37" t="s">
        <v>3667</v>
      </c>
      <c r="J145" s="31" t="s">
        <v>2328</v>
      </c>
      <c r="K145" s="31" t="s">
        <v>303</v>
      </c>
      <c r="L145" s="30" t="s">
        <v>2232</v>
      </c>
      <c r="M145" s="31" t="s">
        <v>2328</v>
      </c>
    </row>
    <row r="146" spans="1:13" s="30" customFormat="1" ht="45" x14ac:dyDescent="0.25">
      <c r="A146" s="31" t="s">
        <v>2856</v>
      </c>
      <c r="B146" s="32" t="s">
        <v>1052</v>
      </c>
      <c r="C146" s="31" t="b">
        <v>0</v>
      </c>
      <c r="D146" s="31">
        <v>6</v>
      </c>
      <c r="E146" s="38" t="s">
        <v>1054</v>
      </c>
      <c r="F146" s="31" t="s">
        <v>131</v>
      </c>
      <c r="G146" s="31" t="s">
        <v>3665</v>
      </c>
      <c r="H146" s="31" t="s">
        <v>3666</v>
      </c>
      <c r="I146" s="37" t="s">
        <v>3667</v>
      </c>
      <c r="J146" s="31" t="s">
        <v>2328</v>
      </c>
      <c r="K146" s="31" t="s">
        <v>303</v>
      </c>
      <c r="L146" s="30" t="s">
        <v>2232</v>
      </c>
      <c r="M146" s="31" t="s">
        <v>2328</v>
      </c>
    </row>
    <row r="147" spans="1:13" s="30" customFormat="1" ht="45" x14ac:dyDescent="0.25">
      <c r="A147" s="31" t="s">
        <v>2858</v>
      </c>
      <c r="B147" s="32" t="s">
        <v>1055</v>
      </c>
      <c r="C147" s="31" t="b">
        <v>0</v>
      </c>
      <c r="D147" s="31">
        <v>6</v>
      </c>
      <c r="E147" s="38" t="s">
        <v>32</v>
      </c>
      <c r="F147" s="31" t="s">
        <v>131</v>
      </c>
      <c r="G147" s="31" t="s">
        <v>3665</v>
      </c>
      <c r="H147" s="31" t="s">
        <v>3666</v>
      </c>
      <c r="I147" s="37" t="s">
        <v>3667</v>
      </c>
      <c r="J147" s="31" t="s">
        <v>2328</v>
      </c>
      <c r="K147" s="31" t="s">
        <v>303</v>
      </c>
      <c r="L147" s="30" t="s">
        <v>2232</v>
      </c>
      <c r="M147" s="31" t="s">
        <v>2328</v>
      </c>
    </row>
    <row r="148" spans="1:13" s="30" customFormat="1" ht="45" x14ac:dyDescent="0.25">
      <c r="A148" s="31" t="s">
        <v>2860</v>
      </c>
      <c r="B148" s="32" t="s">
        <v>1056</v>
      </c>
      <c r="C148" s="31" t="b">
        <v>0</v>
      </c>
      <c r="D148" s="31">
        <v>6</v>
      </c>
      <c r="E148" s="38" t="s">
        <v>31</v>
      </c>
      <c r="F148" s="31" t="s">
        <v>131</v>
      </c>
      <c r="G148" s="31" t="s">
        <v>3665</v>
      </c>
      <c r="H148" s="31" t="s">
        <v>3666</v>
      </c>
      <c r="I148" s="37" t="s">
        <v>3667</v>
      </c>
      <c r="J148" s="31" t="s">
        <v>2328</v>
      </c>
      <c r="K148" s="31" t="s">
        <v>303</v>
      </c>
      <c r="L148" s="30" t="s">
        <v>2232</v>
      </c>
      <c r="M148" s="31" t="s">
        <v>2328</v>
      </c>
    </row>
    <row r="149" spans="1:13" s="30" customFormat="1" ht="45" x14ac:dyDescent="0.25">
      <c r="A149" s="31" t="s">
        <v>2861</v>
      </c>
      <c r="B149" s="32" t="s">
        <v>1057</v>
      </c>
      <c r="C149" s="31" t="b">
        <v>1</v>
      </c>
      <c r="D149" s="31">
        <v>2</v>
      </c>
      <c r="E149" s="34" t="s">
        <v>2396</v>
      </c>
      <c r="F149" s="31" t="s">
        <v>3443</v>
      </c>
      <c r="G149" s="31" t="s">
        <v>3665</v>
      </c>
      <c r="H149" s="31" t="s">
        <v>3666</v>
      </c>
      <c r="I149" s="37" t="s">
        <v>3667</v>
      </c>
      <c r="J149" s="31" t="s">
        <v>2328</v>
      </c>
      <c r="K149" s="31" t="s">
        <v>305</v>
      </c>
      <c r="L149" s="30" t="s">
        <v>2232</v>
      </c>
      <c r="M149" s="31" t="s">
        <v>2328</v>
      </c>
    </row>
    <row r="150" spans="1:13" s="30" customFormat="1" ht="45" x14ac:dyDescent="0.25">
      <c r="A150" s="31" t="s">
        <v>2865</v>
      </c>
      <c r="B150" s="32" t="s">
        <v>1071</v>
      </c>
      <c r="C150" s="31" t="b">
        <v>0</v>
      </c>
      <c r="D150" s="31">
        <v>6</v>
      </c>
      <c r="E150" s="38" t="s">
        <v>19</v>
      </c>
      <c r="F150" s="31" t="s">
        <v>131</v>
      </c>
      <c r="G150" s="31" t="s">
        <v>3665</v>
      </c>
      <c r="H150" s="31" t="s">
        <v>3666</v>
      </c>
      <c r="I150" s="37" t="s">
        <v>3667</v>
      </c>
      <c r="J150" s="31" t="s">
        <v>2328</v>
      </c>
      <c r="K150" s="31" t="s">
        <v>305</v>
      </c>
      <c r="L150" s="30" t="s">
        <v>2232</v>
      </c>
      <c r="M150" s="31" t="s">
        <v>2328</v>
      </c>
    </row>
    <row r="151" spans="1:13" s="30" customFormat="1" ht="45" x14ac:dyDescent="0.25">
      <c r="A151" s="31" t="s">
        <v>2866</v>
      </c>
      <c r="B151" s="32" t="s">
        <v>1076</v>
      </c>
      <c r="C151" s="31" t="b">
        <v>0</v>
      </c>
      <c r="D151" s="31">
        <v>6</v>
      </c>
      <c r="E151" s="38" t="s">
        <v>2397</v>
      </c>
      <c r="F151" s="31" t="s">
        <v>131</v>
      </c>
      <c r="G151" s="31" t="s">
        <v>3665</v>
      </c>
      <c r="H151" s="31" t="s">
        <v>3666</v>
      </c>
      <c r="I151" s="37" t="s">
        <v>3667</v>
      </c>
      <c r="J151" s="31" t="s">
        <v>2328</v>
      </c>
      <c r="K151" s="31" t="s">
        <v>305</v>
      </c>
      <c r="L151" s="30" t="s">
        <v>2232</v>
      </c>
      <c r="M151" s="31" t="s">
        <v>2328</v>
      </c>
    </row>
    <row r="152" spans="1:13" s="30" customFormat="1" ht="45" x14ac:dyDescent="0.25">
      <c r="A152" s="31" t="s">
        <v>2867</v>
      </c>
      <c r="B152" s="32" t="s">
        <v>1078</v>
      </c>
      <c r="C152" s="31" t="b">
        <v>0</v>
      </c>
      <c r="D152" s="31">
        <v>6</v>
      </c>
      <c r="E152" s="38" t="s">
        <v>2398</v>
      </c>
      <c r="F152" s="31" t="s">
        <v>131</v>
      </c>
      <c r="G152" s="31" t="s">
        <v>3665</v>
      </c>
      <c r="H152" s="31" t="s">
        <v>3666</v>
      </c>
      <c r="I152" s="37" t="s">
        <v>3667</v>
      </c>
      <c r="J152" s="31" t="s">
        <v>2328</v>
      </c>
      <c r="K152" s="31" t="s">
        <v>305</v>
      </c>
      <c r="L152" s="30" t="s">
        <v>2232</v>
      </c>
      <c r="M152" s="31" t="s">
        <v>2328</v>
      </c>
    </row>
    <row r="153" spans="1:13" s="30" customFormat="1" ht="45" x14ac:dyDescent="0.25">
      <c r="A153" s="31" t="s">
        <v>2877</v>
      </c>
      <c r="B153" s="32" t="s">
        <v>1107</v>
      </c>
      <c r="C153" s="31" t="b">
        <v>0</v>
      </c>
      <c r="D153" s="31">
        <v>6</v>
      </c>
      <c r="E153" s="38" t="s">
        <v>1109</v>
      </c>
      <c r="F153" s="31" t="s">
        <v>131</v>
      </c>
      <c r="G153" s="31" t="s">
        <v>3665</v>
      </c>
      <c r="H153" s="31" t="s">
        <v>3666</v>
      </c>
      <c r="I153" s="37" t="s">
        <v>3667</v>
      </c>
      <c r="J153" s="31" t="s">
        <v>2328</v>
      </c>
      <c r="K153" s="31" t="s">
        <v>305</v>
      </c>
      <c r="L153" s="30" t="s">
        <v>2232</v>
      </c>
      <c r="M153" s="31" t="s">
        <v>2328</v>
      </c>
    </row>
    <row r="154" spans="1:13" s="30" customFormat="1" ht="45" x14ac:dyDescent="0.25">
      <c r="A154" s="31" t="s">
        <v>2878</v>
      </c>
      <c r="B154" s="32" t="s">
        <v>1110</v>
      </c>
      <c r="C154" s="31" t="b">
        <v>0</v>
      </c>
      <c r="D154" s="31">
        <v>6</v>
      </c>
      <c r="E154" s="38" t="s">
        <v>1112</v>
      </c>
      <c r="F154" s="31" t="s">
        <v>131</v>
      </c>
      <c r="G154" s="31" t="s">
        <v>3665</v>
      </c>
      <c r="H154" s="31" t="s">
        <v>3666</v>
      </c>
      <c r="I154" s="37" t="s">
        <v>3667</v>
      </c>
      <c r="J154" s="31" t="s">
        <v>2328</v>
      </c>
      <c r="K154" s="31" t="s">
        <v>305</v>
      </c>
      <c r="L154" s="30" t="s">
        <v>2232</v>
      </c>
      <c r="M154" s="31" t="s">
        <v>2328</v>
      </c>
    </row>
    <row r="155" spans="1:13" s="30" customFormat="1" ht="45" x14ac:dyDescent="0.25">
      <c r="A155" s="31" t="s">
        <v>2875</v>
      </c>
      <c r="B155" s="32" t="s">
        <v>1103</v>
      </c>
      <c r="C155" s="31" t="b">
        <v>0</v>
      </c>
      <c r="D155" s="31">
        <v>6</v>
      </c>
      <c r="E155" s="38" t="s">
        <v>2399</v>
      </c>
      <c r="F155" s="31" t="s">
        <v>131</v>
      </c>
      <c r="G155" s="31" t="s">
        <v>3665</v>
      </c>
      <c r="H155" s="31" t="s">
        <v>3666</v>
      </c>
      <c r="I155" s="37" t="s">
        <v>3667</v>
      </c>
      <c r="J155" s="31" t="s">
        <v>2328</v>
      </c>
      <c r="K155" s="31" t="s">
        <v>305</v>
      </c>
      <c r="L155" s="30" t="s">
        <v>2232</v>
      </c>
      <c r="M155" s="31" t="s">
        <v>2328</v>
      </c>
    </row>
    <row r="156" spans="1:13" s="30" customFormat="1" ht="45" x14ac:dyDescent="0.25">
      <c r="A156" s="31" t="s">
        <v>2876</v>
      </c>
      <c r="B156" s="32" t="s">
        <v>1105</v>
      </c>
      <c r="C156" s="31" t="b">
        <v>0</v>
      </c>
      <c r="D156" s="31">
        <v>6</v>
      </c>
      <c r="E156" s="38" t="s">
        <v>2400</v>
      </c>
      <c r="F156" s="31" t="s">
        <v>131</v>
      </c>
      <c r="G156" s="31" t="s">
        <v>3665</v>
      </c>
      <c r="H156" s="31" t="s">
        <v>3666</v>
      </c>
      <c r="I156" s="37" t="s">
        <v>3667</v>
      </c>
      <c r="J156" s="31" t="s">
        <v>2328</v>
      </c>
      <c r="K156" s="31" t="s">
        <v>305</v>
      </c>
      <c r="L156" s="30" t="s">
        <v>2232</v>
      </c>
      <c r="M156" s="31" t="s">
        <v>2328</v>
      </c>
    </row>
    <row r="157" spans="1:13" s="30" customFormat="1" ht="45" x14ac:dyDescent="0.25">
      <c r="A157" s="31" t="s">
        <v>2868</v>
      </c>
      <c r="B157" s="32" t="s">
        <v>1080</v>
      </c>
      <c r="C157" s="31" t="b">
        <v>0</v>
      </c>
      <c r="D157" s="31">
        <v>6</v>
      </c>
      <c r="E157" s="38" t="s">
        <v>1082</v>
      </c>
      <c r="F157" s="31" t="s">
        <v>131</v>
      </c>
      <c r="G157" s="31" t="s">
        <v>3665</v>
      </c>
      <c r="H157" s="31" t="s">
        <v>3666</v>
      </c>
      <c r="I157" s="37" t="s">
        <v>3667</v>
      </c>
      <c r="J157" s="31" t="s">
        <v>2328</v>
      </c>
      <c r="K157" s="31" t="s">
        <v>305</v>
      </c>
      <c r="L157" s="30" t="s">
        <v>2232</v>
      </c>
      <c r="M157" s="31" t="s">
        <v>2328</v>
      </c>
    </row>
    <row r="158" spans="1:13" s="30" customFormat="1" ht="45" x14ac:dyDescent="0.25">
      <c r="A158" s="31" t="s">
        <v>2869</v>
      </c>
      <c r="B158" s="32" t="s">
        <v>1083</v>
      </c>
      <c r="C158" s="31" t="b">
        <v>0</v>
      </c>
      <c r="D158" s="31">
        <v>6</v>
      </c>
      <c r="E158" s="38" t="s">
        <v>1085</v>
      </c>
      <c r="F158" s="31" t="s">
        <v>131</v>
      </c>
      <c r="G158" s="31" t="s">
        <v>3665</v>
      </c>
      <c r="H158" s="31" t="s">
        <v>3666</v>
      </c>
      <c r="I158" s="37" t="s">
        <v>3667</v>
      </c>
      <c r="J158" s="31" t="s">
        <v>2328</v>
      </c>
      <c r="K158" s="31" t="s">
        <v>305</v>
      </c>
      <c r="L158" s="30" t="s">
        <v>2232</v>
      </c>
      <c r="M158" s="31" t="s">
        <v>2328</v>
      </c>
    </row>
    <row r="159" spans="1:13" s="30" customFormat="1" ht="45" x14ac:dyDescent="0.25">
      <c r="A159" s="31" t="s">
        <v>2870</v>
      </c>
      <c r="B159" s="32" t="s">
        <v>1086</v>
      </c>
      <c r="C159" s="31" t="b">
        <v>0</v>
      </c>
      <c r="D159" s="31">
        <v>6</v>
      </c>
      <c r="E159" s="38" t="s">
        <v>1088</v>
      </c>
      <c r="F159" s="31" t="s">
        <v>131</v>
      </c>
      <c r="G159" s="31" t="s">
        <v>3665</v>
      </c>
      <c r="H159" s="31" t="s">
        <v>3666</v>
      </c>
      <c r="I159" s="37" t="s">
        <v>3667</v>
      </c>
      <c r="J159" s="31" t="s">
        <v>2328</v>
      </c>
      <c r="K159" s="31" t="s">
        <v>305</v>
      </c>
      <c r="L159" s="30" t="s">
        <v>2232</v>
      </c>
      <c r="M159" s="31" t="s">
        <v>2328</v>
      </c>
    </row>
    <row r="160" spans="1:13" s="30" customFormat="1" ht="45" x14ac:dyDescent="0.25">
      <c r="A160" s="31" t="s">
        <v>2871</v>
      </c>
      <c r="B160" s="32" t="s">
        <v>1089</v>
      </c>
      <c r="C160" s="31" t="b">
        <v>0</v>
      </c>
      <c r="D160" s="31">
        <v>6</v>
      </c>
      <c r="E160" s="38" t="s">
        <v>1091</v>
      </c>
      <c r="F160" s="31" t="s">
        <v>131</v>
      </c>
      <c r="G160" s="31" t="s">
        <v>3665</v>
      </c>
      <c r="H160" s="31" t="s">
        <v>3666</v>
      </c>
      <c r="I160" s="37" t="s">
        <v>3667</v>
      </c>
      <c r="J160" s="31" t="s">
        <v>2328</v>
      </c>
      <c r="K160" s="31" t="s">
        <v>305</v>
      </c>
      <c r="L160" s="30" t="s">
        <v>2232</v>
      </c>
      <c r="M160" s="31" t="s">
        <v>2328</v>
      </c>
    </row>
    <row r="161" spans="1:13" s="30" customFormat="1" ht="60" x14ac:dyDescent="0.25">
      <c r="A161" s="31" t="s">
        <v>2872</v>
      </c>
      <c r="B161" s="32" t="s">
        <v>1092</v>
      </c>
      <c r="C161" s="31" t="b">
        <v>0</v>
      </c>
      <c r="D161" s="31">
        <v>6</v>
      </c>
      <c r="E161" s="38" t="s">
        <v>2244</v>
      </c>
      <c r="F161" s="31" t="s">
        <v>131</v>
      </c>
      <c r="G161" s="31" t="s">
        <v>3665</v>
      </c>
      <c r="H161" s="31" t="s">
        <v>3666</v>
      </c>
      <c r="I161" s="37" t="s">
        <v>3667</v>
      </c>
      <c r="J161" s="31" t="s">
        <v>2328</v>
      </c>
      <c r="K161" s="31" t="s">
        <v>305</v>
      </c>
      <c r="L161" s="30" t="s">
        <v>2232</v>
      </c>
      <c r="M161" s="31" t="s">
        <v>2328</v>
      </c>
    </row>
    <row r="162" spans="1:13" s="30" customFormat="1" ht="45" x14ac:dyDescent="0.25">
      <c r="A162" s="31" t="s">
        <v>2873</v>
      </c>
      <c r="B162" s="32" t="s">
        <v>1094</v>
      </c>
      <c r="C162" s="31" t="b">
        <v>0</v>
      </c>
      <c r="D162" s="31">
        <v>6</v>
      </c>
      <c r="E162" s="38" t="s">
        <v>1096</v>
      </c>
      <c r="F162" s="31" t="s">
        <v>131</v>
      </c>
      <c r="G162" s="31" t="s">
        <v>3665</v>
      </c>
      <c r="H162" s="31" t="s">
        <v>3666</v>
      </c>
      <c r="I162" s="37" t="s">
        <v>3667</v>
      </c>
      <c r="J162" s="31" t="s">
        <v>2328</v>
      </c>
      <c r="K162" s="31" t="s">
        <v>305</v>
      </c>
      <c r="L162" s="30" t="s">
        <v>2232</v>
      </c>
      <c r="M162" s="31" t="s">
        <v>2328</v>
      </c>
    </row>
    <row r="163" spans="1:13" s="30" customFormat="1" ht="45" x14ac:dyDescent="0.25">
      <c r="A163" s="31" t="s">
        <v>2874</v>
      </c>
      <c r="B163" s="32" t="s">
        <v>1097</v>
      </c>
      <c r="C163" s="31" t="b">
        <v>0</v>
      </c>
      <c r="D163" s="31">
        <v>6</v>
      </c>
      <c r="E163" s="38" t="s">
        <v>1099</v>
      </c>
      <c r="F163" s="31" t="s">
        <v>131</v>
      </c>
      <c r="G163" s="31" t="s">
        <v>3665</v>
      </c>
      <c r="H163" s="31" t="s">
        <v>3666</v>
      </c>
      <c r="I163" s="37" t="s">
        <v>3667</v>
      </c>
      <c r="J163" s="31" t="s">
        <v>2328</v>
      </c>
      <c r="K163" s="31" t="s">
        <v>305</v>
      </c>
      <c r="L163" s="30" t="s">
        <v>2232</v>
      </c>
      <c r="M163" s="31" t="s">
        <v>2328</v>
      </c>
    </row>
    <row r="164" spans="1:13" s="30" customFormat="1" ht="45" x14ac:dyDescent="0.25">
      <c r="A164" s="31" t="s">
        <v>2879</v>
      </c>
      <c r="B164" s="32" t="s">
        <v>1113</v>
      </c>
      <c r="C164" s="31" t="b">
        <v>0</v>
      </c>
      <c r="D164" s="31">
        <v>6</v>
      </c>
      <c r="E164" s="38" t="s">
        <v>1115</v>
      </c>
      <c r="F164" s="31" t="s">
        <v>131</v>
      </c>
      <c r="G164" s="31" t="s">
        <v>3665</v>
      </c>
      <c r="H164" s="31" t="s">
        <v>3666</v>
      </c>
      <c r="I164" s="37" t="s">
        <v>3667</v>
      </c>
      <c r="J164" s="31" t="s">
        <v>2328</v>
      </c>
      <c r="K164" s="31" t="s">
        <v>305</v>
      </c>
      <c r="L164" s="30" t="s">
        <v>2232</v>
      </c>
      <c r="M164" s="31" t="s">
        <v>2328</v>
      </c>
    </row>
    <row r="165" spans="1:13" s="30" customFormat="1" ht="45" x14ac:dyDescent="0.25">
      <c r="A165" s="31" t="s">
        <v>2328</v>
      </c>
      <c r="B165" s="32" t="s">
        <v>1278</v>
      </c>
      <c r="C165" s="31" t="b">
        <v>1</v>
      </c>
      <c r="D165" s="31">
        <v>0</v>
      </c>
      <c r="E165" s="33" t="s">
        <v>2352</v>
      </c>
      <c r="F165" s="31" t="s">
        <v>3443</v>
      </c>
      <c r="G165" s="31" t="s">
        <v>3665</v>
      </c>
      <c r="H165" s="31" t="s">
        <v>3666</v>
      </c>
      <c r="I165" s="37" t="s">
        <v>3667</v>
      </c>
      <c r="J165" s="31" t="s">
        <v>2328</v>
      </c>
      <c r="K165" s="31" t="s">
        <v>323</v>
      </c>
      <c r="L165" s="30" t="s">
        <v>2232</v>
      </c>
      <c r="M165" s="31" t="s">
        <v>2328</v>
      </c>
    </row>
    <row r="166" spans="1:13" s="30" customFormat="1" ht="45" x14ac:dyDescent="0.25">
      <c r="A166" s="31" t="s">
        <v>2328</v>
      </c>
      <c r="B166" s="32" t="s">
        <v>1279</v>
      </c>
      <c r="C166" s="31" t="b">
        <v>1</v>
      </c>
      <c r="D166" s="31">
        <v>2</v>
      </c>
      <c r="E166" s="34" t="s">
        <v>2401</v>
      </c>
      <c r="F166" s="31" t="s">
        <v>3443</v>
      </c>
      <c r="G166" s="31" t="s">
        <v>3665</v>
      </c>
      <c r="H166" s="31" t="s">
        <v>3666</v>
      </c>
      <c r="I166" s="37" t="s">
        <v>3667</v>
      </c>
      <c r="J166" s="31" t="s">
        <v>2328</v>
      </c>
      <c r="K166" s="31" t="s">
        <v>327</v>
      </c>
      <c r="L166" s="30" t="s">
        <v>2232</v>
      </c>
      <c r="M166" s="31" t="s">
        <v>2328</v>
      </c>
    </row>
    <row r="167" spans="1:13" s="30" customFormat="1" ht="45" x14ac:dyDescent="0.25">
      <c r="A167" s="31" t="s">
        <v>2928</v>
      </c>
      <c r="B167" s="32" t="s">
        <v>1290</v>
      </c>
      <c r="C167" s="31" t="b">
        <v>0</v>
      </c>
      <c r="D167" s="31">
        <v>4</v>
      </c>
      <c r="E167" s="35" t="s">
        <v>1292</v>
      </c>
      <c r="F167" s="31" t="s">
        <v>131</v>
      </c>
      <c r="G167" s="31" t="s">
        <v>3665</v>
      </c>
      <c r="H167" s="31" t="s">
        <v>3666</v>
      </c>
      <c r="I167" s="37" t="s">
        <v>3667</v>
      </c>
      <c r="J167" s="31" t="s">
        <v>2328</v>
      </c>
      <c r="K167" s="31" t="s">
        <v>331</v>
      </c>
      <c r="L167" s="30" t="s">
        <v>2232</v>
      </c>
      <c r="M167" s="31" t="s">
        <v>2328</v>
      </c>
    </row>
    <row r="168" spans="1:13" s="30" customFormat="1" ht="45" x14ac:dyDescent="0.25">
      <c r="A168" s="31" t="s">
        <v>2929</v>
      </c>
      <c r="B168" s="32" t="s">
        <v>1293</v>
      </c>
      <c r="C168" s="31" t="b">
        <v>0</v>
      </c>
      <c r="D168" s="31">
        <v>4</v>
      </c>
      <c r="E168" s="35" t="s">
        <v>1295</v>
      </c>
      <c r="F168" s="31" t="s">
        <v>131</v>
      </c>
      <c r="G168" s="31" t="s">
        <v>3665</v>
      </c>
      <c r="H168" s="31" t="s">
        <v>3666</v>
      </c>
      <c r="I168" s="37" t="s">
        <v>3667</v>
      </c>
      <c r="J168" s="31" t="s">
        <v>2328</v>
      </c>
      <c r="K168" s="31" t="s">
        <v>331</v>
      </c>
      <c r="L168" s="30" t="s">
        <v>2232</v>
      </c>
      <c r="M168" s="31" t="s">
        <v>2328</v>
      </c>
    </row>
    <row r="169" spans="1:13" s="30" customFormat="1" ht="45" x14ac:dyDescent="0.25">
      <c r="A169" s="31" t="s">
        <v>2930</v>
      </c>
      <c r="B169" s="32" t="s">
        <v>1296</v>
      </c>
      <c r="C169" s="31" t="b">
        <v>0</v>
      </c>
      <c r="D169" s="31">
        <v>4</v>
      </c>
      <c r="E169" s="35" t="s">
        <v>1298</v>
      </c>
      <c r="F169" s="31" t="s">
        <v>131</v>
      </c>
      <c r="G169" s="31" t="s">
        <v>3665</v>
      </c>
      <c r="H169" s="31" t="s">
        <v>3666</v>
      </c>
      <c r="I169" s="37" t="s">
        <v>3667</v>
      </c>
      <c r="J169" s="31" t="s">
        <v>2328</v>
      </c>
      <c r="K169" s="31" t="s">
        <v>331</v>
      </c>
      <c r="L169" s="30" t="s">
        <v>2232</v>
      </c>
      <c r="M169" s="31" t="s">
        <v>2328</v>
      </c>
    </row>
    <row r="170" spans="1:13" s="30" customFormat="1" ht="45" x14ac:dyDescent="0.25">
      <c r="A170" s="31" t="s">
        <v>2328</v>
      </c>
      <c r="B170" s="32" t="s">
        <v>1299</v>
      </c>
      <c r="C170" s="31" t="b">
        <v>1</v>
      </c>
      <c r="D170" s="31">
        <v>2</v>
      </c>
      <c r="E170" s="34" t="s">
        <v>2402</v>
      </c>
      <c r="F170" s="31" t="s">
        <v>3443</v>
      </c>
      <c r="G170" s="31" t="s">
        <v>3665</v>
      </c>
      <c r="H170" s="31" t="s">
        <v>3666</v>
      </c>
      <c r="I170" s="37" t="s">
        <v>3667</v>
      </c>
      <c r="J170" s="31" t="s">
        <v>2328</v>
      </c>
      <c r="K170" s="31" t="s">
        <v>333</v>
      </c>
      <c r="L170" s="30" t="s">
        <v>2232</v>
      </c>
      <c r="M170" s="31" t="s">
        <v>2328</v>
      </c>
    </row>
    <row r="171" spans="1:13" s="30" customFormat="1" ht="45" x14ac:dyDescent="0.25">
      <c r="A171" s="31" t="s">
        <v>2931</v>
      </c>
      <c r="B171" s="32" t="s">
        <v>1301</v>
      </c>
      <c r="C171" s="31" t="b">
        <v>0</v>
      </c>
      <c r="D171" s="31">
        <v>4</v>
      </c>
      <c r="E171" s="35" t="s">
        <v>3589</v>
      </c>
      <c r="F171" s="31" t="s">
        <v>139</v>
      </c>
      <c r="G171" s="31" t="s">
        <v>3665</v>
      </c>
      <c r="H171" s="31" t="s">
        <v>3666</v>
      </c>
      <c r="I171" s="37" t="s">
        <v>3667</v>
      </c>
      <c r="J171" s="31" t="s">
        <v>2328</v>
      </c>
      <c r="K171" s="31" t="s">
        <v>1304</v>
      </c>
      <c r="L171" s="30" t="s">
        <v>3437</v>
      </c>
      <c r="M171" s="31" t="s">
        <v>1303</v>
      </c>
    </row>
    <row r="172" spans="1:13" s="30" customFormat="1" ht="75" x14ac:dyDescent="0.25">
      <c r="A172" s="31" t="s">
        <v>2932</v>
      </c>
      <c r="B172" s="32" t="s">
        <v>1305</v>
      </c>
      <c r="C172" s="31" t="b">
        <v>0</v>
      </c>
      <c r="D172" s="31">
        <v>4</v>
      </c>
      <c r="E172" s="35" t="s">
        <v>1307</v>
      </c>
      <c r="F172" s="31" t="s">
        <v>131</v>
      </c>
      <c r="G172" s="31" t="s">
        <v>3665</v>
      </c>
      <c r="H172" s="31" t="s">
        <v>3666</v>
      </c>
      <c r="I172" s="37" t="s">
        <v>3667</v>
      </c>
      <c r="J172" s="31" t="s">
        <v>3590</v>
      </c>
      <c r="K172" s="31" t="s">
        <v>1304</v>
      </c>
      <c r="L172" s="30" t="s">
        <v>2232</v>
      </c>
      <c r="M172" s="31" t="s">
        <v>2328</v>
      </c>
    </row>
    <row r="173" spans="1:13" s="30" customFormat="1" ht="45" x14ac:dyDescent="0.25">
      <c r="A173" s="31" t="s">
        <v>2933</v>
      </c>
      <c r="B173" s="32" t="s">
        <v>1308</v>
      </c>
      <c r="C173" s="31" t="b">
        <v>0</v>
      </c>
      <c r="D173" s="31">
        <v>4</v>
      </c>
      <c r="E173" s="35" t="s">
        <v>1310</v>
      </c>
      <c r="F173" s="31" t="s">
        <v>131</v>
      </c>
      <c r="G173" s="31" t="s">
        <v>3665</v>
      </c>
      <c r="H173" s="31" t="s">
        <v>3666</v>
      </c>
      <c r="I173" s="37" t="s">
        <v>3667</v>
      </c>
      <c r="J173" s="31" t="s">
        <v>2328</v>
      </c>
      <c r="K173" s="31" t="s">
        <v>1304</v>
      </c>
      <c r="L173" s="30" t="s">
        <v>2232</v>
      </c>
      <c r="M173" s="31" t="s">
        <v>2328</v>
      </c>
    </row>
    <row r="174" spans="1:13" s="30" customFormat="1" ht="45" x14ac:dyDescent="0.25">
      <c r="A174" s="31" t="s">
        <v>2934</v>
      </c>
      <c r="B174" s="32" t="s">
        <v>1311</v>
      </c>
      <c r="C174" s="31" t="b">
        <v>0</v>
      </c>
      <c r="D174" s="31">
        <v>4</v>
      </c>
      <c r="E174" s="35" t="s">
        <v>1313</v>
      </c>
      <c r="F174" s="31" t="s">
        <v>131</v>
      </c>
      <c r="G174" s="31" t="s">
        <v>3665</v>
      </c>
      <c r="H174" s="31" t="s">
        <v>3666</v>
      </c>
      <c r="I174" s="37" t="s">
        <v>3667</v>
      </c>
      <c r="J174" s="31" t="s">
        <v>2328</v>
      </c>
      <c r="K174" s="31" t="s">
        <v>1304</v>
      </c>
      <c r="L174" s="30" t="s">
        <v>2232</v>
      </c>
      <c r="M174" s="31" t="s">
        <v>2328</v>
      </c>
    </row>
    <row r="175" spans="1:13" s="30" customFormat="1" ht="45" x14ac:dyDescent="0.25">
      <c r="A175" s="31" t="s">
        <v>2935</v>
      </c>
      <c r="B175" s="32" t="s">
        <v>1314</v>
      </c>
      <c r="C175" s="31" t="b">
        <v>0</v>
      </c>
      <c r="D175" s="31">
        <v>4</v>
      </c>
      <c r="E175" s="35" t="s">
        <v>1316</v>
      </c>
      <c r="F175" s="31" t="s">
        <v>131</v>
      </c>
      <c r="G175" s="31" t="s">
        <v>3665</v>
      </c>
      <c r="H175" s="31" t="s">
        <v>3666</v>
      </c>
      <c r="I175" s="37" t="s">
        <v>3667</v>
      </c>
      <c r="J175" s="31" t="s">
        <v>2328</v>
      </c>
      <c r="K175" s="31" t="s">
        <v>1304</v>
      </c>
      <c r="L175" s="30" t="s">
        <v>2232</v>
      </c>
      <c r="M175" s="31" t="s">
        <v>2328</v>
      </c>
    </row>
    <row r="176" spans="1:13" s="30" customFormat="1" ht="45" x14ac:dyDescent="0.25">
      <c r="A176" s="31" t="s">
        <v>2936</v>
      </c>
      <c r="B176" s="32" t="s">
        <v>1317</v>
      </c>
      <c r="C176" s="31" t="b">
        <v>0</v>
      </c>
      <c r="D176" s="31">
        <v>4</v>
      </c>
      <c r="E176" s="35" t="s">
        <v>1319</v>
      </c>
      <c r="F176" s="31" t="s">
        <v>131</v>
      </c>
      <c r="G176" s="31" t="s">
        <v>3665</v>
      </c>
      <c r="H176" s="31" t="s">
        <v>3666</v>
      </c>
      <c r="I176" s="37" t="s">
        <v>3667</v>
      </c>
      <c r="J176" s="31" t="s">
        <v>2328</v>
      </c>
      <c r="K176" s="31" t="s">
        <v>1304</v>
      </c>
      <c r="L176" s="30" t="s">
        <v>2232</v>
      </c>
      <c r="M176" s="31" t="s">
        <v>2328</v>
      </c>
    </row>
    <row r="177" spans="1:13" s="30" customFormat="1" ht="45" x14ac:dyDescent="0.25">
      <c r="A177" s="31" t="s">
        <v>2937</v>
      </c>
      <c r="B177" s="32" t="s">
        <v>1320</v>
      </c>
      <c r="C177" s="31" t="b">
        <v>0</v>
      </c>
      <c r="D177" s="31">
        <v>4</v>
      </c>
      <c r="E177" s="35" t="s">
        <v>1322</v>
      </c>
      <c r="F177" s="31" t="s">
        <v>131</v>
      </c>
      <c r="G177" s="31" t="s">
        <v>3665</v>
      </c>
      <c r="H177" s="31" t="s">
        <v>3666</v>
      </c>
      <c r="I177" s="37" t="s">
        <v>3667</v>
      </c>
      <c r="J177" s="31" t="s">
        <v>2328</v>
      </c>
      <c r="K177" s="31" t="s">
        <v>1304</v>
      </c>
      <c r="L177" s="30" t="s">
        <v>2232</v>
      </c>
      <c r="M177" s="31" t="s">
        <v>2328</v>
      </c>
    </row>
    <row r="178" spans="1:13" s="30" customFormat="1" ht="45" x14ac:dyDescent="0.25">
      <c r="A178" s="31" t="s">
        <v>2938</v>
      </c>
      <c r="B178" s="32" t="s">
        <v>1323</v>
      </c>
      <c r="C178" s="31" t="b">
        <v>0</v>
      </c>
      <c r="D178" s="31">
        <v>4</v>
      </c>
      <c r="E178" s="35" t="s">
        <v>1325</v>
      </c>
      <c r="F178" s="31" t="s">
        <v>131</v>
      </c>
      <c r="G178" s="31" t="s">
        <v>3665</v>
      </c>
      <c r="H178" s="31" t="s">
        <v>3666</v>
      </c>
      <c r="I178" s="37" t="s">
        <v>3667</v>
      </c>
      <c r="J178" s="31" t="s">
        <v>2328</v>
      </c>
      <c r="K178" s="31" t="s">
        <v>1304</v>
      </c>
      <c r="L178" s="30" t="s">
        <v>2232</v>
      </c>
      <c r="M178" s="31" t="s">
        <v>2328</v>
      </c>
    </row>
    <row r="179" spans="1:13" s="30" customFormat="1" ht="45" x14ac:dyDescent="0.25">
      <c r="A179" s="31" t="s">
        <v>2939</v>
      </c>
      <c r="B179" s="32" t="s">
        <v>1326</v>
      </c>
      <c r="C179" s="31" t="b">
        <v>0</v>
      </c>
      <c r="D179" s="31">
        <v>4</v>
      </c>
      <c r="E179" s="35" t="s">
        <v>1328</v>
      </c>
      <c r="F179" s="31" t="s">
        <v>131</v>
      </c>
      <c r="G179" s="31" t="s">
        <v>3665</v>
      </c>
      <c r="H179" s="31" t="s">
        <v>3666</v>
      </c>
      <c r="I179" s="37" t="s">
        <v>3667</v>
      </c>
      <c r="J179" s="31" t="s">
        <v>2328</v>
      </c>
      <c r="K179" s="31" t="s">
        <v>1304</v>
      </c>
      <c r="L179" s="30" t="s">
        <v>2232</v>
      </c>
      <c r="M179" s="31" t="s">
        <v>2328</v>
      </c>
    </row>
    <row r="180" spans="1:13" s="30" customFormat="1" ht="45" x14ac:dyDescent="0.25">
      <c r="A180" s="31" t="s">
        <v>2940</v>
      </c>
      <c r="B180" s="32" t="s">
        <v>1329</v>
      </c>
      <c r="C180" s="31" t="b">
        <v>0</v>
      </c>
      <c r="D180" s="31">
        <v>4</v>
      </c>
      <c r="E180" s="35" t="s">
        <v>1331</v>
      </c>
      <c r="F180" s="31" t="s">
        <v>131</v>
      </c>
      <c r="G180" s="31" t="s">
        <v>3665</v>
      </c>
      <c r="H180" s="31" t="s">
        <v>3666</v>
      </c>
      <c r="I180" s="37" t="s">
        <v>3667</v>
      </c>
      <c r="J180" s="31" t="s">
        <v>2328</v>
      </c>
      <c r="K180" s="31" t="s">
        <v>1304</v>
      </c>
      <c r="L180" s="30" t="s">
        <v>2232</v>
      </c>
      <c r="M180" s="31" t="s">
        <v>2328</v>
      </c>
    </row>
    <row r="181" spans="1:13" s="30" customFormat="1" ht="45" x14ac:dyDescent="0.25">
      <c r="A181" s="31" t="s">
        <v>2941</v>
      </c>
      <c r="B181" s="32" t="s">
        <v>1332</v>
      </c>
      <c r="C181" s="31" t="b">
        <v>0</v>
      </c>
      <c r="D181" s="31">
        <v>4</v>
      </c>
      <c r="E181" s="35" t="s">
        <v>1334</v>
      </c>
      <c r="F181" s="31" t="s">
        <v>131</v>
      </c>
      <c r="G181" s="31" t="s">
        <v>3665</v>
      </c>
      <c r="H181" s="31" t="s">
        <v>3666</v>
      </c>
      <c r="I181" s="37" t="s">
        <v>3667</v>
      </c>
      <c r="J181" s="31" t="s">
        <v>2328</v>
      </c>
      <c r="K181" s="31" t="s">
        <v>1304</v>
      </c>
      <c r="L181" s="30" t="s">
        <v>2232</v>
      </c>
      <c r="M181" s="31" t="s">
        <v>2328</v>
      </c>
    </row>
    <row r="182" spans="1:13" s="30" customFormat="1" ht="45" x14ac:dyDescent="0.25">
      <c r="A182" s="31" t="s">
        <v>2328</v>
      </c>
      <c r="B182" s="32" t="s">
        <v>1335</v>
      </c>
      <c r="C182" s="31" t="b">
        <v>1</v>
      </c>
      <c r="D182" s="31">
        <v>4</v>
      </c>
      <c r="E182" s="35" t="s">
        <v>2403</v>
      </c>
      <c r="F182" s="31" t="s">
        <v>3443</v>
      </c>
      <c r="G182" s="31" t="s">
        <v>3665</v>
      </c>
      <c r="H182" s="31" t="s">
        <v>3666</v>
      </c>
      <c r="I182" s="37" t="s">
        <v>3667</v>
      </c>
      <c r="J182" s="31" t="s">
        <v>2328</v>
      </c>
      <c r="K182" s="31" t="s">
        <v>1304</v>
      </c>
      <c r="L182" s="30" t="s">
        <v>2232</v>
      </c>
      <c r="M182" s="31" t="s">
        <v>2328</v>
      </c>
    </row>
    <row r="183" spans="1:13" s="30" customFormat="1" ht="90" x14ac:dyDescent="0.25">
      <c r="A183" s="31" t="s">
        <v>2942</v>
      </c>
      <c r="B183" s="32" t="s">
        <v>1338</v>
      </c>
      <c r="C183" s="31" t="b">
        <v>0</v>
      </c>
      <c r="D183" s="31">
        <v>6</v>
      </c>
      <c r="E183" s="38" t="s">
        <v>2259</v>
      </c>
      <c r="F183" s="31" t="s">
        <v>131</v>
      </c>
      <c r="G183" s="31" t="s">
        <v>3665</v>
      </c>
      <c r="H183" s="31" t="s">
        <v>3666</v>
      </c>
      <c r="I183" s="37" t="s">
        <v>3667</v>
      </c>
      <c r="J183" s="31" t="s">
        <v>2328</v>
      </c>
      <c r="K183" s="31" t="s">
        <v>1304</v>
      </c>
      <c r="L183" s="30" t="s">
        <v>2232</v>
      </c>
      <c r="M183" s="31" t="s">
        <v>2328</v>
      </c>
    </row>
    <row r="184" spans="1:13" s="30" customFormat="1" ht="45" x14ac:dyDescent="0.25">
      <c r="A184" s="31" t="s">
        <v>2943</v>
      </c>
      <c r="B184" s="32" t="s">
        <v>1340</v>
      </c>
      <c r="C184" s="31" t="b">
        <v>0</v>
      </c>
      <c r="D184" s="31">
        <v>6</v>
      </c>
      <c r="E184" s="38" t="s">
        <v>1342</v>
      </c>
      <c r="F184" s="31" t="s">
        <v>131</v>
      </c>
      <c r="G184" s="31" t="s">
        <v>3665</v>
      </c>
      <c r="H184" s="31" t="s">
        <v>3666</v>
      </c>
      <c r="I184" s="37" t="s">
        <v>3667</v>
      </c>
      <c r="J184" s="31" t="s">
        <v>2328</v>
      </c>
      <c r="K184" s="31" t="s">
        <v>1304</v>
      </c>
      <c r="L184" s="30" t="s">
        <v>2232</v>
      </c>
      <c r="M184" s="31" t="s">
        <v>2328</v>
      </c>
    </row>
    <row r="185" spans="1:13" s="30" customFormat="1" ht="45" x14ac:dyDescent="0.25">
      <c r="A185" s="31" t="s">
        <v>2944</v>
      </c>
      <c r="B185" s="32" t="s">
        <v>1343</v>
      </c>
      <c r="C185" s="31" t="b">
        <v>0</v>
      </c>
      <c r="D185" s="31">
        <v>6</v>
      </c>
      <c r="E185" s="38" t="s">
        <v>1345</v>
      </c>
      <c r="F185" s="31" t="s">
        <v>131</v>
      </c>
      <c r="G185" s="31" t="s">
        <v>3665</v>
      </c>
      <c r="H185" s="31" t="s">
        <v>3666</v>
      </c>
      <c r="I185" s="37" t="s">
        <v>3667</v>
      </c>
      <c r="J185" s="31" t="s">
        <v>2328</v>
      </c>
      <c r="K185" s="31" t="s">
        <v>1304</v>
      </c>
      <c r="L185" s="30" t="s">
        <v>2232</v>
      </c>
      <c r="M185" s="31" t="s">
        <v>2328</v>
      </c>
    </row>
    <row r="186" spans="1:13" s="30" customFormat="1" ht="45" x14ac:dyDescent="0.25">
      <c r="A186" s="31" t="s">
        <v>2945</v>
      </c>
      <c r="B186" s="32" t="s">
        <v>1346</v>
      </c>
      <c r="C186" s="31" t="b">
        <v>0</v>
      </c>
      <c r="D186" s="31">
        <v>6</v>
      </c>
      <c r="E186" s="38" t="s">
        <v>1348</v>
      </c>
      <c r="F186" s="31" t="s">
        <v>131</v>
      </c>
      <c r="G186" s="31" t="s">
        <v>3665</v>
      </c>
      <c r="H186" s="31" t="s">
        <v>3666</v>
      </c>
      <c r="I186" s="37" t="s">
        <v>3667</v>
      </c>
      <c r="J186" s="31" t="s">
        <v>2328</v>
      </c>
      <c r="K186" s="31" t="s">
        <v>1304</v>
      </c>
      <c r="L186" s="30" t="s">
        <v>2232</v>
      </c>
      <c r="M186" s="31" t="s">
        <v>2328</v>
      </c>
    </row>
    <row r="187" spans="1:13" s="30" customFormat="1" ht="45" x14ac:dyDescent="0.25">
      <c r="A187" s="31" t="s">
        <v>2328</v>
      </c>
      <c r="B187" s="32" t="s">
        <v>1349</v>
      </c>
      <c r="C187" s="31" t="b">
        <v>1</v>
      </c>
      <c r="D187" s="31">
        <v>2</v>
      </c>
      <c r="E187" s="34" t="s">
        <v>2404</v>
      </c>
      <c r="F187" s="31" t="s">
        <v>3443</v>
      </c>
      <c r="G187" s="31" t="s">
        <v>3665</v>
      </c>
      <c r="H187" s="31" t="s">
        <v>3666</v>
      </c>
      <c r="I187" s="37" t="s">
        <v>3667</v>
      </c>
      <c r="J187" s="31" t="s">
        <v>2328</v>
      </c>
      <c r="K187" s="31" t="s">
        <v>337</v>
      </c>
      <c r="L187" s="30" t="s">
        <v>2232</v>
      </c>
      <c r="M187" s="31" t="s">
        <v>2328</v>
      </c>
    </row>
    <row r="188" spans="1:13" s="30" customFormat="1" ht="45" x14ac:dyDescent="0.25">
      <c r="A188" s="31" t="s">
        <v>2328</v>
      </c>
      <c r="B188" s="32" t="s">
        <v>1351</v>
      </c>
      <c r="C188" s="31" t="b">
        <v>1</v>
      </c>
      <c r="D188" s="31">
        <v>4</v>
      </c>
      <c r="E188" s="35" t="s">
        <v>2356</v>
      </c>
      <c r="F188" s="31" t="s">
        <v>3443</v>
      </c>
      <c r="G188" s="31" t="s">
        <v>3665</v>
      </c>
      <c r="H188" s="31" t="s">
        <v>3666</v>
      </c>
      <c r="I188" s="37" t="s">
        <v>3667</v>
      </c>
      <c r="J188" s="31" t="s">
        <v>2328</v>
      </c>
      <c r="K188" s="31" t="s">
        <v>340</v>
      </c>
      <c r="L188" s="30" t="s">
        <v>2232</v>
      </c>
      <c r="M188" s="31" t="s">
        <v>2328</v>
      </c>
    </row>
    <row r="189" spans="1:13" s="30" customFormat="1" ht="45" x14ac:dyDescent="0.25">
      <c r="A189" s="31" t="s">
        <v>2946</v>
      </c>
      <c r="B189" s="32" t="s">
        <v>1352</v>
      </c>
      <c r="C189" s="31" t="b">
        <v>0</v>
      </c>
      <c r="D189" s="31">
        <v>6</v>
      </c>
      <c r="E189" s="38" t="s">
        <v>1353</v>
      </c>
      <c r="F189" s="31" t="s">
        <v>131</v>
      </c>
      <c r="G189" s="31" t="s">
        <v>3665</v>
      </c>
      <c r="H189" s="31" t="s">
        <v>3666</v>
      </c>
      <c r="I189" s="37" t="s">
        <v>3667</v>
      </c>
      <c r="J189" s="31" t="s">
        <v>2328</v>
      </c>
      <c r="K189" s="31" t="s">
        <v>343</v>
      </c>
      <c r="L189" s="30" t="s">
        <v>2232</v>
      </c>
      <c r="M189" s="31" t="s">
        <v>2328</v>
      </c>
    </row>
    <row r="190" spans="1:13" s="30" customFormat="1" ht="45" x14ac:dyDescent="0.25">
      <c r="A190" s="31" t="s">
        <v>2947</v>
      </c>
      <c r="B190" s="32" t="s">
        <v>1354</v>
      </c>
      <c r="C190" s="31" t="b">
        <v>0</v>
      </c>
      <c r="D190" s="31">
        <v>6</v>
      </c>
      <c r="E190" s="38" t="s">
        <v>1355</v>
      </c>
      <c r="F190" s="31" t="s">
        <v>131</v>
      </c>
      <c r="G190" s="31" t="s">
        <v>3665</v>
      </c>
      <c r="H190" s="31" t="s">
        <v>3666</v>
      </c>
      <c r="I190" s="37" t="s">
        <v>3667</v>
      </c>
      <c r="J190" s="31" t="s">
        <v>2328</v>
      </c>
      <c r="K190" s="31" t="s">
        <v>343</v>
      </c>
      <c r="L190" s="30" t="s">
        <v>2232</v>
      </c>
      <c r="M190" s="31" t="s">
        <v>2328</v>
      </c>
    </row>
    <row r="191" spans="1:13" s="30" customFormat="1" ht="45" x14ac:dyDescent="0.25">
      <c r="A191" s="31" t="s">
        <v>2948</v>
      </c>
      <c r="B191" s="32" t="s">
        <v>1356</v>
      </c>
      <c r="C191" s="31" t="b">
        <v>0</v>
      </c>
      <c r="D191" s="31">
        <v>6</v>
      </c>
      <c r="E191" s="38" t="s">
        <v>1358</v>
      </c>
      <c r="F191" s="31" t="s">
        <v>131</v>
      </c>
      <c r="G191" s="31" t="s">
        <v>3665</v>
      </c>
      <c r="H191" s="31" t="s">
        <v>3666</v>
      </c>
      <c r="I191" s="37" t="s">
        <v>3667</v>
      </c>
      <c r="J191" s="31" t="s">
        <v>2328</v>
      </c>
      <c r="K191" s="31" t="s">
        <v>343</v>
      </c>
      <c r="L191" s="30" t="s">
        <v>2232</v>
      </c>
      <c r="M191" s="31" t="s">
        <v>2328</v>
      </c>
    </row>
    <row r="192" spans="1:13" s="30" customFormat="1" ht="45" x14ac:dyDescent="0.25">
      <c r="A192" s="31" t="s">
        <v>2328</v>
      </c>
      <c r="B192" s="32" t="s">
        <v>1359</v>
      </c>
      <c r="C192" s="31" t="b">
        <v>1</v>
      </c>
      <c r="D192" s="31">
        <v>4</v>
      </c>
      <c r="E192" s="35" t="s">
        <v>2405</v>
      </c>
      <c r="F192" s="31" t="s">
        <v>3443</v>
      </c>
      <c r="G192" s="31" t="s">
        <v>3665</v>
      </c>
      <c r="H192" s="31" t="s">
        <v>3666</v>
      </c>
      <c r="I192" s="37" t="s">
        <v>3667</v>
      </c>
      <c r="J192" s="31" t="s">
        <v>2328</v>
      </c>
      <c r="K192" s="31" t="s">
        <v>347</v>
      </c>
      <c r="L192" s="30" t="s">
        <v>2232</v>
      </c>
      <c r="M192" s="31" t="s">
        <v>2328</v>
      </c>
    </row>
    <row r="193" spans="1:13" s="30" customFormat="1" ht="45" x14ac:dyDescent="0.25">
      <c r="A193" s="31" t="s">
        <v>2949</v>
      </c>
      <c r="B193" s="32" t="s">
        <v>1361</v>
      </c>
      <c r="C193" s="31" t="b">
        <v>0</v>
      </c>
      <c r="D193" s="31">
        <v>6</v>
      </c>
      <c r="E193" s="38" t="s">
        <v>1362</v>
      </c>
      <c r="F193" s="31" t="s">
        <v>131</v>
      </c>
      <c r="G193" s="31" t="s">
        <v>3665</v>
      </c>
      <c r="H193" s="31" t="s">
        <v>3666</v>
      </c>
      <c r="I193" s="37" t="s">
        <v>3667</v>
      </c>
      <c r="J193" s="31" t="s">
        <v>2328</v>
      </c>
      <c r="K193" s="31" t="s">
        <v>350</v>
      </c>
      <c r="L193" s="30" t="s">
        <v>2232</v>
      </c>
      <c r="M193" s="31" t="s">
        <v>2328</v>
      </c>
    </row>
    <row r="194" spans="1:13" s="30" customFormat="1" ht="45" x14ac:dyDescent="0.25">
      <c r="A194" s="31" t="s">
        <v>2328</v>
      </c>
      <c r="B194" s="32" t="s">
        <v>1363</v>
      </c>
      <c r="C194" s="31" t="b">
        <v>1</v>
      </c>
      <c r="D194" s="31">
        <v>4</v>
      </c>
      <c r="E194" s="35" t="s">
        <v>2358</v>
      </c>
      <c r="F194" s="31" t="s">
        <v>3443</v>
      </c>
      <c r="G194" s="31" t="s">
        <v>3665</v>
      </c>
      <c r="H194" s="31" t="s">
        <v>3666</v>
      </c>
      <c r="I194" s="37" t="s">
        <v>3667</v>
      </c>
      <c r="J194" s="31" t="s">
        <v>2328</v>
      </c>
      <c r="K194" s="31" t="s">
        <v>355</v>
      </c>
      <c r="L194" s="30" t="s">
        <v>2232</v>
      </c>
      <c r="M194" s="31" t="s">
        <v>2328</v>
      </c>
    </row>
    <row r="195" spans="1:13" s="30" customFormat="1" ht="45" x14ac:dyDescent="0.25">
      <c r="A195" s="31" t="s">
        <v>2950</v>
      </c>
      <c r="B195" s="32" t="s">
        <v>1364</v>
      </c>
      <c r="C195" s="31" t="b">
        <v>0</v>
      </c>
      <c r="D195" s="31">
        <v>6</v>
      </c>
      <c r="E195" s="38" t="s">
        <v>1365</v>
      </c>
      <c r="F195" s="31" t="s">
        <v>131</v>
      </c>
      <c r="G195" s="31" t="s">
        <v>3665</v>
      </c>
      <c r="H195" s="31" t="s">
        <v>3666</v>
      </c>
      <c r="I195" s="37" t="s">
        <v>3667</v>
      </c>
      <c r="J195" s="31" t="s">
        <v>2328</v>
      </c>
      <c r="K195" s="31" t="s">
        <v>355</v>
      </c>
      <c r="L195" s="30" t="s">
        <v>2232</v>
      </c>
      <c r="M195" s="31" t="s">
        <v>2328</v>
      </c>
    </row>
    <row r="196" spans="1:13" s="30" customFormat="1" ht="45" x14ac:dyDescent="0.25">
      <c r="A196" s="31" t="s">
        <v>2951</v>
      </c>
      <c r="B196" s="32" t="s">
        <v>1366</v>
      </c>
      <c r="C196" s="31" t="b">
        <v>0</v>
      </c>
      <c r="D196" s="31">
        <v>6</v>
      </c>
      <c r="E196" s="38" t="s">
        <v>61</v>
      </c>
      <c r="F196" s="31" t="s">
        <v>131</v>
      </c>
      <c r="G196" s="31" t="s">
        <v>3665</v>
      </c>
      <c r="H196" s="31" t="s">
        <v>3666</v>
      </c>
      <c r="I196" s="37" t="s">
        <v>3667</v>
      </c>
      <c r="J196" s="31" t="s">
        <v>2328</v>
      </c>
      <c r="K196" s="31" t="s">
        <v>355</v>
      </c>
      <c r="L196" s="30" t="s">
        <v>2232</v>
      </c>
      <c r="M196" s="31" t="s">
        <v>2328</v>
      </c>
    </row>
    <row r="197" spans="1:13" s="30" customFormat="1" ht="45" x14ac:dyDescent="0.25">
      <c r="A197" s="31" t="s">
        <v>2952</v>
      </c>
      <c r="B197" s="32" t="s">
        <v>1368</v>
      </c>
      <c r="C197" s="31" t="b">
        <v>0</v>
      </c>
      <c r="D197" s="31">
        <v>6</v>
      </c>
      <c r="E197" s="38" t="s">
        <v>60</v>
      </c>
      <c r="F197" s="31" t="s">
        <v>131</v>
      </c>
      <c r="G197" s="31" t="s">
        <v>3665</v>
      </c>
      <c r="H197" s="31" t="s">
        <v>3666</v>
      </c>
      <c r="I197" s="37" t="s">
        <v>3667</v>
      </c>
      <c r="J197" s="31" t="s">
        <v>2328</v>
      </c>
      <c r="K197" s="31" t="s">
        <v>355</v>
      </c>
      <c r="L197" s="30" t="s">
        <v>2232</v>
      </c>
      <c r="M197" s="31" t="s">
        <v>2328</v>
      </c>
    </row>
    <row r="198" spans="1:13" s="30" customFormat="1" ht="45" x14ac:dyDescent="0.25">
      <c r="A198" s="31" t="s">
        <v>2953</v>
      </c>
      <c r="B198" s="32" t="s">
        <v>1372</v>
      </c>
      <c r="C198" s="31" t="b">
        <v>0</v>
      </c>
      <c r="D198" s="31">
        <v>6</v>
      </c>
      <c r="E198" s="38" t="s">
        <v>58</v>
      </c>
      <c r="F198" s="31" t="s">
        <v>131</v>
      </c>
      <c r="G198" s="31" t="s">
        <v>3665</v>
      </c>
      <c r="H198" s="31" t="s">
        <v>3666</v>
      </c>
      <c r="I198" s="37" t="s">
        <v>3667</v>
      </c>
      <c r="J198" s="31" t="s">
        <v>2328</v>
      </c>
      <c r="K198" s="31" t="s">
        <v>355</v>
      </c>
      <c r="L198" s="30" t="s">
        <v>2232</v>
      </c>
      <c r="M198" s="31" t="s">
        <v>2328</v>
      </c>
    </row>
    <row r="199" spans="1:13" s="30" customFormat="1" ht="45" x14ac:dyDescent="0.25">
      <c r="A199" s="31" t="s">
        <v>2328</v>
      </c>
      <c r="B199" s="32" t="s">
        <v>1374</v>
      </c>
      <c r="C199" s="31" t="b">
        <v>1</v>
      </c>
      <c r="D199" s="31">
        <v>4</v>
      </c>
      <c r="E199" s="35" t="s">
        <v>2359</v>
      </c>
      <c r="F199" s="31" t="s">
        <v>3443</v>
      </c>
      <c r="G199" s="31" t="s">
        <v>3665</v>
      </c>
      <c r="H199" s="31" t="s">
        <v>3666</v>
      </c>
      <c r="I199" s="37" t="s">
        <v>3667</v>
      </c>
      <c r="J199" s="31" t="s">
        <v>2328</v>
      </c>
      <c r="K199" s="31" t="s">
        <v>356</v>
      </c>
      <c r="L199" s="30" t="s">
        <v>2232</v>
      </c>
      <c r="M199" s="31" t="s">
        <v>2328</v>
      </c>
    </row>
    <row r="200" spans="1:13" s="30" customFormat="1" ht="45" x14ac:dyDescent="0.25">
      <c r="A200" s="31" t="s">
        <v>2954</v>
      </c>
      <c r="B200" s="32" t="s">
        <v>1375</v>
      </c>
      <c r="C200" s="31" t="b">
        <v>0</v>
      </c>
      <c r="D200" s="31">
        <v>6</v>
      </c>
      <c r="E200" s="38" t="s">
        <v>1376</v>
      </c>
      <c r="F200" s="31" t="s">
        <v>131</v>
      </c>
      <c r="G200" s="31" t="s">
        <v>3665</v>
      </c>
      <c r="H200" s="31" t="s">
        <v>3666</v>
      </c>
      <c r="I200" s="37" t="s">
        <v>3667</v>
      </c>
      <c r="J200" s="31" t="s">
        <v>2328</v>
      </c>
      <c r="K200" s="31" t="s">
        <v>359</v>
      </c>
      <c r="L200" s="30" t="s">
        <v>2232</v>
      </c>
      <c r="M200" s="31" t="s">
        <v>2328</v>
      </c>
    </row>
    <row r="201" spans="1:13" s="30" customFormat="1" ht="45" x14ac:dyDescent="0.25">
      <c r="A201" s="31" t="s">
        <v>2955</v>
      </c>
      <c r="B201" s="32" t="s">
        <v>1377</v>
      </c>
      <c r="C201" s="31" t="b">
        <v>0</v>
      </c>
      <c r="D201" s="31">
        <v>6</v>
      </c>
      <c r="E201" s="38" t="s">
        <v>1379</v>
      </c>
      <c r="F201" s="31" t="s">
        <v>131</v>
      </c>
      <c r="G201" s="31" t="s">
        <v>3665</v>
      </c>
      <c r="H201" s="31" t="s">
        <v>3666</v>
      </c>
      <c r="I201" s="37" t="s">
        <v>3667</v>
      </c>
      <c r="J201" s="31" t="s">
        <v>2328</v>
      </c>
      <c r="K201" s="31" t="s">
        <v>359</v>
      </c>
      <c r="L201" s="30" t="s">
        <v>2232</v>
      </c>
      <c r="M201" s="31" t="s">
        <v>2328</v>
      </c>
    </row>
    <row r="202" spans="1:13" s="30" customFormat="1" ht="60" x14ac:dyDescent="0.25">
      <c r="A202" s="31" t="s">
        <v>2956</v>
      </c>
      <c r="B202" s="32" t="s">
        <v>1380</v>
      </c>
      <c r="C202" s="31" t="b">
        <v>0</v>
      </c>
      <c r="D202" s="31">
        <v>6</v>
      </c>
      <c r="E202" s="38" t="s">
        <v>1382</v>
      </c>
      <c r="F202" s="31" t="s">
        <v>131</v>
      </c>
      <c r="G202" s="31" t="s">
        <v>3665</v>
      </c>
      <c r="H202" s="31" t="s">
        <v>3666</v>
      </c>
      <c r="I202" s="37" t="s">
        <v>3667</v>
      </c>
      <c r="J202" s="31" t="s">
        <v>2328</v>
      </c>
      <c r="K202" s="31" t="s">
        <v>359</v>
      </c>
      <c r="L202" s="30" t="s">
        <v>2232</v>
      </c>
      <c r="M202" s="31" t="s">
        <v>2328</v>
      </c>
    </row>
    <row r="203" spans="1:13" s="30" customFormat="1" ht="60" x14ac:dyDescent="0.25">
      <c r="A203" s="31" t="s">
        <v>2957</v>
      </c>
      <c r="B203" s="32" t="s">
        <v>1383</v>
      </c>
      <c r="C203" s="31" t="b">
        <v>0</v>
      </c>
      <c r="D203" s="31">
        <v>6</v>
      </c>
      <c r="E203" s="38" t="s">
        <v>1385</v>
      </c>
      <c r="F203" s="31" t="s">
        <v>131</v>
      </c>
      <c r="G203" s="31" t="s">
        <v>3665</v>
      </c>
      <c r="H203" s="31" t="s">
        <v>3666</v>
      </c>
      <c r="I203" s="37" t="s">
        <v>3667</v>
      </c>
      <c r="J203" s="31" t="s">
        <v>2328</v>
      </c>
      <c r="K203" s="31" t="s">
        <v>359</v>
      </c>
      <c r="L203" s="30" t="s">
        <v>2232</v>
      </c>
      <c r="M203" s="31" t="s">
        <v>2328</v>
      </c>
    </row>
    <row r="204" spans="1:13" s="30" customFormat="1" ht="45" x14ac:dyDescent="0.25">
      <c r="A204" s="31" t="s">
        <v>3423</v>
      </c>
      <c r="B204" s="32" t="s">
        <v>3420</v>
      </c>
      <c r="C204" s="31" t="b">
        <v>0</v>
      </c>
      <c r="D204" s="31">
        <v>6</v>
      </c>
      <c r="E204" s="38" t="s">
        <v>3422</v>
      </c>
      <c r="F204" s="31" t="s">
        <v>131</v>
      </c>
      <c r="G204" s="31" t="s">
        <v>3665</v>
      </c>
      <c r="H204" s="31" t="s">
        <v>3666</v>
      </c>
      <c r="I204" s="37" t="s">
        <v>3667</v>
      </c>
      <c r="J204" s="31" t="s">
        <v>2328</v>
      </c>
      <c r="K204" s="31" t="s">
        <v>359</v>
      </c>
      <c r="L204" s="30" t="s">
        <v>2232</v>
      </c>
      <c r="M204" s="31" t="s">
        <v>2328</v>
      </c>
    </row>
    <row r="205" spans="1:13" s="30" customFormat="1" ht="45" x14ac:dyDescent="0.25">
      <c r="A205" s="31" t="s">
        <v>2958</v>
      </c>
      <c r="B205" s="32" t="s">
        <v>1386</v>
      </c>
      <c r="C205" s="31" t="b">
        <v>0</v>
      </c>
      <c r="D205" s="31">
        <v>6</v>
      </c>
      <c r="E205" s="38" t="s">
        <v>1388</v>
      </c>
      <c r="F205" s="31" t="s">
        <v>131</v>
      </c>
      <c r="G205" s="31" t="s">
        <v>3665</v>
      </c>
      <c r="H205" s="31" t="s">
        <v>3666</v>
      </c>
      <c r="I205" s="37" t="s">
        <v>3667</v>
      </c>
      <c r="J205" s="31" t="s">
        <v>2328</v>
      </c>
      <c r="K205" s="31" t="s">
        <v>3663</v>
      </c>
      <c r="L205" s="30" t="s">
        <v>2232</v>
      </c>
      <c r="M205" s="31" t="s">
        <v>2328</v>
      </c>
    </row>
    <row r="206" spans="1:13" s="30" customFormat="1" ht="45" x14ac:dyDescent="0.25">
      <c r="A206" s="31" t="s">
        <v>2328</v>
      </c>
      <c r="B206" s="32" t="s">
        <v>1420</v>
      </c>
      <c r="C206" s="31" t="b">
        <v>1</v>
      </c>
      <c r="D206" s="31">
        <v>0</v>
      </c>
      <c r="E206" s="33" t="s">
        <v>2361</v>
      </c>
      <c r="F206" s="31" t="s">
        <v>3443</v>
      </c>
      <c r="G206" s="31" t="s">
        <v>3665</v>
      </c>
      <c r="H206" s="31" t="s">
        <v>3666</v>
      </c>
      <c r="I206" s="37" t="s">
        <v>3667</v>
      </c>
      <c r="J206" s="31" t="s">
        <v>2328</v>
      </c>
      <c r="K206" s="31" t="s">
        <v>368</v>
      </c>
      <c r="L206" s="30" t="s">
        <v>2232</v>
      </c>
      <c r="M206" s="31" t="s">
        <v>2328</v>
      </c>
    </row>
    <row r="207" spans="1:13" s="30" customFormat="1" ht="45" x14ac:dyDescent="0.25">
      <c r="A207" s="31" t="s">
        <v>2959</v>
      </c>
      <c r="B207" s="32" t="s">
        <v>1421</v>
      </c>
      <c r="C207" s="31" t="b">
        <v>1</v>
      </c>
      <c r="D207" s="31">
        <v>2</v>
      </c>
      <c r="E207" s="34" t="s">
        <v>3546</v>
      </c>
      <c r="F207" s="31" t="s">
        <v>3443</v>
      </c>
      <c r="G207" s="31" t="s">
        <v>3665</v>
      </c>
      <c r="H207" s="31" t="s">
        <v>3666</v>
      </c>
      <c r="I207" s="37" t="s">
        <v>3667</v>
      </c>
      <c r="J207" s="31" t="s">
        <v>2328</v>
      </c>
      <c r="K207" s="31" t="s">
        <v>371</v>
      </c>
      <c r="L207" s="30" t="s">
        <v>2232</v>
      </c>
      <c r="M207" s="31" t="s">
        <v>2328</v>
      </c>
    </row>
    <row r="208" spans="1:13" s="30" customFormat="1" ht="45" x14ac:dyDescent="0.25">
      <c r="A208" s="31" t="s">
        <v>2960</v>
      </c>
      <c r="B208" s="32" t="s">
        <v>1423</v>
      </c>
      <c r="C208" s="31" t="b">
        <v>0</v>
      </c>
      <c r="D208" s="31">
        <v>4</v>
      </c>
      <c r="E208" s="35" t="s">
        <v>1425</v>
      </c>
      <c r="F208" s="31" t="s">
        <v>131</v>
      </c>
      <c r="G208" s="31" t="s">
        <v>3665</v>
      </c>
      <c r="H208" s="31" t="s">
        <v>3666</v>
      </c>
      <c r="I208" s="37" t="s">
        <v>3667</v>
      </c>
      <c r="J208" s="31" t="s">
        <v>2328</v>
      </c>
      <c r="K208" s="31" t="s">
        <v>371</v>
      </c>
      <c r="L208" s="30" t="s">
        <v>2232</v>
      </c>
      <c r="M208" s="31" t="s">
        <v>2328</v>
      </c>
    </row>
    <row r="209" spans="1:13" s="30" customFormat="1" ht="45" x14ac:dyDescent="0.25">
      <c r="A209" s="31" t="s">
        <v>2961</v>
      </c>
      <c r="B209" s="32" t="s">
        <v>1426</v>
      </c>
      <c r="C209" s="31" t="b">
        <v>0</v>
      </c>
      <c r="D209" s="31">
        <v>4</v>
      </c>
      <c r="E209" s="35" t="s">
        <v>1428</v>
      </c>
      <c r="F209" s="31" t="s">
        <v>131</v>
      </c>
      <c r="G209" s="31" t="s">
        <v>3665</v>
      </c>
      <c r="H209" s="31" t="s">
        <v>3666</v>
      </c>
      <c r="I209" s="37" t="s">
        <v>3667</v>
      </c>
      <c r="J209" s="31" t="s">
        <v>2328</v>
      </c>
      <c r="K209" s="31" t="s">
        <v>371</v>
      </c>
      <c r="L209" s="30" t="s">
        <v>2232</v>
      </c>
      <c r="M209" s="31" t="s">
        <v>2328</v>
      </c>
    </row>
    <row r="210" spans="1:13" s="30" customFormat="1" ht="45" x14ac:dyDescent="0.25">
      <c r="A210" s="31" t="s">
        <v>2962</v>
      </c>
      <c r="B210" s="32" t="s">
        <v>1429</v>
      </c>
      <c r="C210" s="31" t="b">
        <v>0</v>
      </c>
      <c r="D210" s="31">
        <v>4</v>
      </c>
      <c r="E210" s="35" t="s">
        <v>1431</v>
      </c>
      <c r="F210" s="31" t="s">
        <v>131</v>
      </c>
      <c r="G210" s="31" t="s">
        <v>3665</v>
      </c>
      <c r="H210" s="31" t="s">
        <v>3666</v>
      </c>
      <c r="I210" s="37" t="s">
        <v>3667</v>
      </c>
      <c r="J210" s="31" t="s">
        <v>2328</v>
      </c>
      <c r="K210" s="31" t="s">
        <v>371</v>
      </c>
      <c r="L210" s="30" t="s">
        <v>2232</v>
      </c>
      <c r="M210" s="31" t="s">
        <v>2328</v>
      </c>
    </row>
    <row r="211" spans="1:13" s="30" customFormat="1" ht="45" x14ac:dyDescent="0.25">
      <c r="A211" s="31" t="s">
        <v>2963</v>
      </c>
      <c r="B211" s="32" t="s">
        <v>1434</v>
      </c>
      <c r="C211" s="31" t="b">
        <v>0</v>
      </c>
      <c r="D211" s="31">
        <v>4</v>
      </c>
      <c r="E211" s="35" t="s">
        <v>1435</v>
      </c>
      <c r="F211" s="31" t="s">
        <v>131</v>
      </c>
      <c r="G211" s="31" t="s">
        <v>3665</v>
      </c>
      <c r="H211" s="31" t="s">
        <v>3666</v>
      </c>
      <c r="I211" s="37" t="s">
        <v>3667</v>
      </c>
      <c r="J211" s="31" t="s">
        <v>2328</v>
      </c>
      <c r="K211" s="31" t="s">
        <v>378</v>
      </c>
      <c r="L211" s="30" t="s">
        <v>2232</v>
      </c>
      <c r="M211" s="31" t="s">
        <v>2328</v>
      </c>
    </row>
    <row r="212" spans="1:13" s="30" customFormat="1" ht="45" x14ac:dyDescent="0.25">
      <c r="A212" s="31" t="s">
        <v>2964</v>
      </c>
      <c r="B212" s="32" t="s">
        <v>1436</v>
      </c>
      <c r="C212" s="31" t="b">
        <v>0</v>
      </c>
      <c r="D212" s="31">
        <v>4</v>
      </c>
      <c r="E212" s="35" t="s">
        <v>1438</v>
      </c>
      <c r="F212" s="31" t="s">
        <v>131</v>
      </c>
      <c r="G212" s="31" t="s">
        <v>3665</v>
      </c>
      <c r="H212" s="31" t="s">
        <v>3666</v>
      </c>
      <c r="I212" s="37" t="s">
        <v>3667</v>
      </c>
      <c r="J212" s="31" t="s">
        <v>2328</v>
      </c>
      <c r="K212" s="31" t="s">
        <v>378</v>
      </c>
      <c r="L212" s="30" t="s">
        <v>2232</v>
      </c>
      <c r="M212" s="31" t="s">
        <v>2328</v>
      </c>
    </row>
    <row r="213" spans="1:13" s="30" customFormat="1" ht="45" x14ac:dyDescent="0.25">
      <c r="A213" s="31" t="s">
        <v>2328</v>
      </c>
      <c r="B213" s="32" t="s">
        <v>1439</v>
      </c>
      <c r="C213" s="31" t="b">
        <v>0</v>
      </c>
      <c r="D213" s="31">
        <v>4</v>
      </c>
      <c r="E213" s="35" t="s">
        <v>1441</v>
      </c>
      <c r="F213" s="31" t="s">
        <v>139</v>
      </c>
      <c r="G213" s="31" t="s">
        <v>3665</v>
      </c>
      <c r="H213" s="31" t="s">
        <v>3666</v>
      </c>
      <c r="I213" s="37" t="s">
        <v>3667</v>
      </c>
      <c r="J213" s="31" t="s">
        <v>2328</v>
      </c>
      <c r="K213" s="31" t="s">
        <v>378</v>
      </c>
      <c r="L213" s="30" t="s">
        <v>2232</v>
      </c>
      <c r="M213" s="31" t="s">
        <v>2328</v>
      </c>
    </row>
    <row r="214" spans="1:13" s="30" customFormat="1" ht="60" x14ac:dyDescent="0.25">
      <c r="A214" s="31" t="s">
        <v>2965</v>
      </c>
      <c r="B214" s="32" t="s">
        <v>1442</v>
      </c>
      <c r="C214" s="31" t="b">
        <v>0</v>
      </c>
      <c r="D214" s="31">
        <v>4</v>
      </c>
      <c r="E214" s="35" t="s">
        <v>1444</v>
      </c>
      <c r="F214" s="31" t="s">
        <v>131</v>
      </c>
      <c r="G214" s="31" t="s">
        <v>3665</v>
      </c>
      <c r="H214" s="31" t="s">
        <v>3666</v>
      </c>
      <c r="I214" s="37" t="s">
        <v>3667</v>
      </c>
      <c r="J214" s="31" t="s">
        <v>2328</v>
      </c>
      <c r="K214" s="31" t="s">
        <v>378</v>
      </c>
      <c r="L214" s="30" t="s">
        <v>2232</v>
      </c>
      <c r="M214" s="31" t="s">
        <v>2328</v>
      </c>
    </row>
    <row r="215" spans="1:13" s="30" customFormat="1" ht="45" x14ac:dyDescent="0.25">
      <c r="A215" s="31" t="s">
        <v>2966</v>
      </c>
      <c r="B215" s="32" t="s">
        <v>1445</v>
      </c>
      <c r="C215" s="31" t="b">
        <v>0</v>
      </c>
      <c r="D215" s="31">
        <v>4</v>
      </c>
      <c r="E215" s="35" t="s">
        <v>1447</v>
      </c>
      <c r="F215" s="31" t="s">
        <v>131</v>
      </c>
      <c r="G215" s="31" t="s">
        <v>3665</v>
      </c>
      <c r="H215" s="31" t="s">
        <v>3666</v>
      </c>
      <c r="I215" s="37" t="s">
        <v>3667</v>
      </c>
      <c r="J215" s="31" t="s">
        <v>2328</v>
      </c>
      <c r="K215" s="31" t="s">
        <v>378</v>
      </c>
      <c r="L215" s="30" t="s">
        <v>2232</v>
      </c>
      <c r="M215" s="31" t="s">
        <v>2328</v>
      </c>
    </row>
    <row r="216" spans="1:13" s="30" customFormat="1" ht="240" x14ac:dyDescent="0.25">
      <c r="A216" s="31" t="s">
        <v>2328</v>
      </c>
      <c r="B216" s="32" t="s">
        <v>1448</v>
      </c>
      <c r="C216" s="31" t="b">
        <v>0</v>
      </c>
      <c r="D216" s="31">
        <v>4</v>
      </c>
      <c r="E216" s="35" t="s">
        <v>2273</v>
      </c>
      <c r="F216" s="31" t="s">
        <v>139</v>
      </c>
      <c r="G216" s="31" t="s">
        <v>3665</v>
      </c>
      <c r="H216" s="31" t="s">
        <v>3666</v>
      </c>
      <c r="I216" s="37" t="s">
        <v>3667</v>
      </c>
      <c r="J216" s="31" t="s">
        <v>2328</v>
      </c>
      <c r="K216" s="31" t="s">
        <v>378</v>
      </c>
      <c r="L216" s="30" t="s">
        <v>2232</v>
      </c>
      <c r="M216" s="31" t="s">
        <v>2328</v>
      </c>
    </row>
    <row r="217" spans="1:13" s="30" customFormat="1" ht="45" x14ac:dyDescent="0.25">
      <c r="A217" s="31" t="s">
        <v>2967</v>
      </c>
      <c r="B217" s="32" t="s">
        <v>1450</v>
      </c>
      <c r="C217" s="31" t="b">
        <v>0</v>
      </c>
      <c r="D217" s="31">
        <v>4</v>
      </c>
      <c r="E217" s="35" t="s">
        <v>1452</v>
      </c>
      <c r="F217" s="31" t="s">
        <v>131</v>
      </c>
      <c r="G217" s="31" t="s">
        <v>3665</v>
      </c>
      <c r="H217" s="31" t="s">
        <v>3666</v>
      </c>
      <c r="I217" s="37" t="s">
        <v>3667</v>
      </c>
      <c r="J217" s="31" t="s">
        <v>2328</v>
      </c>
      <c r="K217" s="31" t="s">
        <v>378</v>
      </c>
      <c r="L217" s="30" t="s">
        <v>2232</v>
      </c>
      <c r="M217" s="31" t="s">
        <v>2328</v>
      </c>
    </row>
    <row r="218" spans="1:13" s="30" customFormat="1" ht="45" x14ac:dyDescent="0.25">
      <c r="A218" s="31" t="s">
        <v>2968</v>
      </c>
      <c r="B218" s="32" t="s">
        <v>1453</v>
      </c>
      <c r="C218" s="31" t="b">
        <v>0</v>
      </c>
      <c r="D218" s="31">
        <v>4</v>
      </c>
      <c r="E218" s="35" t="s">
        <v>1455</v>
      </c>
      <c r="F218" s="31" t="s">
        <v>131</v>
      </c>
      <c r="G218" s="31" t="s">
        <v>3665</v>
      </c>
      <c r="H218" s="31" t="s">
        <v>3666</v>
      </c>
      <c r="I218" s="37" t="s">
        <v>3667</v>
      </c>
      <c r="J218" s="31" t="s">
        <v>2328</v>
      </c>
      <c r="K218" s="31" t="s">
        <v>378</v>
      </c>
      <c r="L218" s="30" t="s">
        <v>2232</v>
      </c>
      <c r="M218" s="31" t="s">
        <v>2328</v>
      </c>
    </row>
    <row r="219" spans="1:13" s="30" customFormat="1" ht="45" x14ac:dyDescent="0.25">
      <c r="A219" s="31" t="s">
        <v>1457</v>
      </c>
      <c r="B219" s="32" t="s">
        <v>1456</v>
      </c>
      <c r="C219" s="31" t="b">
        <v>1</v>
      </c>
      <c r="D219" s="31">
        <v>2</v>
      </c>
      <c r="E219" s="34" t="s">
        <v>2406</v>
      </c>
      <c r="F219" s="31" t="s">
        <v>3443</v>
      </c>
      <c r="G219" s="31" t="s">
        <v>3665</v>
      </c>
      <c r="H219" s="31" t="s">
        <v>3666</v>
      </c>
      <c r="I219" s="37" t="s">
        <v>3667</v>
      </c>
      <c r="J219" s="31" t="s">
        <v>2328</v>
      </c>
      <c r="K219" s="31" t="s">
        <v>378</v>
      </c>
      <c r="L219" s="30" t="s">
        <v>2232</v>
      </c>
      <c r="M219" s="31" t="s">
        <v>2328</v>
      </c>
    </row>
    <row r="220" spans="1:13" s="30" customFormat="1" ht="45" x14ac:dyDescent="0.25">
      <c r="A220" s="31" t="s">
        <v>2969</v>
      </c>
      <c r="B220" s="32" t="s">
        <v>1458</v>
      </c>
      <c r="C220" s="31" t="b">
        <v>0</v>
      </c>
      <c r="D220" s="31">
        <v>4</v>
      </c>
      <c r="E220" s="35" t="s">
        <v>1460</v>
      </c>
      <c r="F220" s="31" t="s">
        <v>131</v>
      </c>
      <c r="G220" s="31" t="s">
        <v>3665</v>
      </c>
      <c r="H220" s="31" t="s">
        <v>3666</v>
      </c>
      <c r="I220" s="37" t="s">
        <v>3667</v>
      </c>
      <c r="J220" s="31" t="s">
        <v>2328</v>
      </c>
      <c r="K220" s="31" t="s">
        <v>378</v>
      </c>
      <c r="L220" s="30" t="s">
        <v>2232</v>
      </c>
      <c r="M220" s="31" t="s">
        <v>2328</v>
      </c>
    </row>
    <row r="221" spans="1:13" s="30" customFormat="1" ht="45" x14ac:dyDescent="0.25">
      <c r="A221" s="31" t="s">
        <v>2970</v>
      </c>
      <c r="B221" s="32" t="s">
        <v>1461</v>
      </c>
      <c r="C221" s="31" t="b">
        <v>0</v>
      </c>
      <c r="D221" s="31">
        <v>4</v>
      </c>
      <c r="E221" s="35" t="s">
        <v>1463</v>
      </c>
      <c r="F221" s="31" t="s">
        <v>131</v>
      </c>
      <c r="G221" s="31" t="s">
        <v>3665</v>
      </c>
      <c r="H221" s="31" t="s">
        <v>3666</v>
      </c>
      <c r="I221" s="37" t="s">
        <v>3667</v>
      </c>
      <c r="J221" s="31" t="s">
        <v>2328</v>
      </c>
      <c r="K221" s="31" t="s">
        <v>378</v>
      </c>
      <c r="L221" s="30" t="s">
        <v>2232</v>
      </c>
      <c r="M221" s="31" t="s">
        <v>2328</v>
      </c>
    </row>
    <row r="222" spans="1:13" s="30" customFormat="1" ht="75" x14ac:dyDescent="0.25">
      <c r="A222" s="31" t="s">
        <v>2328</v>
      </c>
      <c r="B222" s="32" t="s">
        <v>1464</v>
      </c>
      <c r="C222" s="31" t="b">
        <v>0</v>
      </c>
      <c r="D222" s="31">
        <v>4</v>
      </c>
      <c r="E222" s="35" t="s">
        <v>2274</v>
      </c>
      <c r="F222" s="31" t="s">
        <v>139</v>
      </c>
      <c r="G222" s="31" t="s">
        <v>3665</v>
      </c>
      <c r="H222" s="31" t="s">
        <v>3666</v>
      </c>
      <c r="I222" s="37" t="s">
        <v>3667</v>
      </c>
      <c r="J222" s="31" t="s">
        <v>2328</v>
      </c>
      <c r="K222" s="31" t="s">
        <v>378</v>
      </c>
      <c r="L222" s="30" t="s">
        <v>2232</v>
      </c>
      <c r="M222" s="31" t="s">
        <v>2328</v>
      </c>
    </row>
    <row r="223" spans="1:13" s="30" customFormat="1" ht="60" x14ac:dyDescent="0.25">
      <c r="A223" s="31" t="s">
        <v>2971</v>
      </c>
      <c r="B223" s="32" t="s">
        <v>1467</v>
      </c>
      <c r="C223" s="31" t="b">
        <v>0</v>
      </c>
      <c r="D223" s="31">
        <v>4</v>
      </c>
      <c r="E223" s="35" t="s">
        <v>1469</v>
      </c>
      <c r="F223" s="31" t="s">
        <v>131</v>
      </c>
      <c r="G223" s="31" t="s">
        <v>3665</v>
      </c>
      <c r="H223" s="31" t="s">
        <v>3666</v>
      </c>
      <c r="I223" s="37" t="s">
        <v>3667</v>
      </c>
      <c r="J223" s="31" t="s">
        <v>2328</v>
      </c>
      <c r="K223" s="31" t="s">
        <v>378</v>
      </c>
      <c r="L223" s="30" t="s">
        <v>2232</v>
      </c>
      <c r="M223" s="31" t="s">
        <v>2328</v>
      </c>
    </row>
    <row r="224" spans="1:13" s="30" customFormat="1" ht="45" x14ac:dyDescent="0.25">
      <c r="A224" s="31" t="s">
        <v>2972</v>
      </c>
      <c r="B224" s="32" t="s">
        <v>1470</v>
      </c>
      <c r="C224" s="31" t="b">
        <v>0</v>
      </c>
      <c r="D224" s="31">
        <v>4</v>
      </c>
      <c r="E224" s="35" t="s">
        <v>1472</v>
      </c>
      <c r="F224" s="31" t="s">
        <v>131</v>
      </c>
      <c r="G224" s="31" t="s">
        <v>3665</v>
      </c>
      <c r="H224" s="31" t="s">
        <v>3666</v>
      </c>
      <c r="I224" s="37" t="s">
        <v>3667</v>
      </c>
      <c r="J224" s="31" t="s">
        <v>2328</v>
      </c>
      <c r="K224" s="31" t="s">
        <v>378</v>
      </c>
      <c r="L224" s="30" t="s">
        <v>2232</v>
      </c>
      <c r="M224" s="31" t="s">
        <v>2328</v>
      </c>
    </row>
    <row r="225" spans="1:13" s="30" customFormat="1" ht="45" x14ac:dyDescent="0.25">
      <c r="A225" s="31" t="s">
        <v>2973</v>
      </c>
      <c r="B225" s="32" t="s">
        <v>1473</v>
      </c>
      <c r="C225" s="31" t="b">
        <v>0</v>
      </c>
      <c r="D225" s="31">
        <v>4</v>
      </c>
      <c r="E225" s="35" t="s">
        <v>1475</v>
      </c>
      <c r="F225" s="31" t="s">
        <v>131</v>
      </c>
      <c r="G225" s="31" t="s">
        <v>3665</v>
      </c>
      <c r="H225" s="31" t="s">
        <v>3666</v>
      </c>
      <c r="I225" s="37" t="s">
        <v>3667</v>
      </c>
      <c r="J225" s="31" t="s">
        <v>2328</v>
      </c>
      <c r="K225" s="31" t="s">
        <v>378</v>
      </c>
      <c r="L225" s="30" t="s">
        <v>2232</v>
      </c>
      <c r="M225" s="31" t="s">
        <v>2328</v>
      </c>
    </row>
    <row r="226" spans="1:13" s="30" customFormat="1" ht="45" x14ac:dyDescent="0.25">
      <c r="A226" s="31" t="s">
        <v>2328</v>
      </c>
      <c r="B226" s="32" t="s">
        <v>1476</v>
      </c>
      <c r="C226" s="31" t="b">
        <v>1</v>
      </c>
      <c r="D226" s="31">
        <v>2</v>
      </c>
      <c r="E226" s="34" t="s">
        <v>2407</v>
      </c>
      <c r="F226" s="31" t="s">
        <v>3443</v>
      </c>
      <c r="G226" s="31" t="s">
        <v>3665</v>
      </c>
      <c r="H226" s="31" t="s">
        <v>3666</v>
      </c>
      <c r="I226" s="37" t="s">
        <v>3667</v>
      </c>
      <c r="J226" s="31" t="s">
        <v>2328</v>
      </c>
      <c r="K226" s="31" t="s">
        <v>378</v>
      </c>
      <c r="L226" s="30" t="s">
        <v>2232</v>
      </c>
      <c r="M226" s="31" t="s">
        <v>2328</v>
      </c>
    </row>
    <row r="227" spans="1:13" s="30" customFormat="1" ht="45" x14ac:dyDescent="0.25">
      <c r="A227" s="31" t="s">
        <v>2974</v>
      </c>
      <c r="B227" s="32" t="s">
        <v>1478</v>
      </c>
      <c r="C227" s="31" t="b">
        <v>0</v>
      </c>
      <c r="D227" s="31">
        <v>4</v>
      </c>
      <c r="E227" s="35" t="s">
        <v>1480</v>
      </c>
      <c r="F227" s="31" t="s">
        <v>131</v>
      </c>
      <c r="G227" s="31" t="s">
        <v>3665</v>
      </c>
      <c r="H227" s="31" t="s">
        <v>3666</v>
      </c>
      <c r="I227" s="37" t="s">
        <v>3667</v>
      </c>
      <c r="J227" s="31" t="s">
        <v>2328</v>
      </c>
      <c r="K227" s="31" t="s">
        <v>378</v>
      </c>
      <c r="L227" s="30" t="s">
        <v>2232</v>
      </c>
      <c r="M227" s="31" t="s">
        <v>2328</v>
      </c>
    </row>
    <row r="228" spans="1:13" s="30" customFormat="1" ht="75" x14ac:dyDescent="0.25">
      <c r="A228" s="31" t="s">
        <v>2975</v>
      </c>
      <c r="B228" s="32" t="s">
        <v>1481</v>
      </c>
      <c r="C228" s="31" t="b">
        <v>0</v>
      </c>
      <c r="D228" s="31">
        <v>4</v>
      </c>
      <c r="E228" s="35" t="s">
        <v>2275</v>
      </c>
      <c r="F228" s="31" t="s">
        <v>131</v>
      </c>
      <c r="G228" s="31" t="s">
        <v>3665</v>
      </c>
      <c r="H228" s="31" t="s">
        <v>3666</v>
      </c>
      <c r="I228" s="37" t="s">
        <v>3667</v>
      </c>
      <c r="J228" s="31" t="s">
        <v>2328</v>
      </c>
      <c r="K228" s="31" t="s">
        <v>378</v>
      </c>
      <c r="L228" s="30" t="s">
        <v>2232</v>
      </c>
      <c r="M228" s="31" t="s">
        <v>2328</v>
      </c>
    </row>
    <row r="229" spans="1:13" s="30" customFormat="1" ht="60" x14ac:dyDescent="0.25">
      <c r="A229" s="31" t="s">
        <v>2976</v>
      </c>
      <c r="B229" s="32" t="s">
        <v>1483</v>
      </c>
      <c r="C229" s="31" t="b">
        <v>0</v>
      </c>
      <c r="D229" s="31">
        <v>4</v>
      </c>
      <c r="E229" s="35" t="s">
        <v>1485</v>
      </c>
      <c r="F229" s="31" t="s">
        <v>131</v>
      </c>
      <c r="G229" s="31" t="s">
        <v>3665</v>
      </c>
      <c r="H229" s="31" t="s">
        <v>3666</v>
      </c>
      <c r="I229" s="37" t="s">
        <v>3667</v>
      </c>
      <c r="J229" s="31" t="s">
        <v>2328</v>
      </c>
      <c r="K229" s="31" t="s">
        <v>378</v>
      </c>
      <c r="L229" s="30" t="s">
        <v>2232</v>
      </c>
      <c r="M229" s="31" t="s">
        <v>2328</v>
      </c>
    </row>
    <row r="230" spans="1:13" s="30" customFormat="1" ht="45" x14ac:dyDescent="0.25">
      <c r="A230" s="31" t="s">
        <v>2977</v>
      </c>
      <c r="B230" s="32" t="s">
        <v>1486</v>
      </c>
      <c r="C230" s="31" t="b">
        <v>0</v>
      </c>
      <c r="D230" s="31">
        <v>4</v>
      </c>
      <c r="E230" s="35" t="s">
        <v>34</v>
      </c>
      <c r="F230" s="31" t="s">
        <v>131</v>
      </c>
      <c r="G230" s="31" t="s">
        <v>3665</v>
      </c>
      <c r="H230" s="31" t="s">
        <v>3666</v>
      </c>
      <c r="I230" s="37" t="s">
        <v>3667</v>
      </c>
      <c r="J230" s="31" t="s">
        <v>2328</v>
      </c>
      <c r="K230" s="31" t="s">
        <v>378</v>
      </c>
      <c r="L230" s="30" t="s">
        <v>2232</v>
      </c>
      <c r="M230" s="31" t="s">
        <v>2328</v>
      </c>
    </row>
    <row r="231" spans="1:13" s="30" customFormat="1" ht="75" x14ac:dyDescent="0.25">
      <c r="A231" s="31" t="s">
        <v>2978</v>
      </c>
      <c r="B231" s="32" t="s">
        <v>1488</v>
      </c>
      <c r="C231" s="31" t="b">
        <v>0</v>
      </c>
      <c r="D231" s="31">
        <v>4</v>
      </c>
      <c r="E231" s="35" t="s">
        <v>2276</v>
      </c>
      <c r="F231" s="31" t="s">
        <v>131</v>
      </c>
      <c r="G231" s="31" t="s">
        <v>3665</v>
      </c>
      <c r="H231" s="31" t="s">
        <v>3666</v>
      </c>
      <c r="I231" s="37" t="s">
        <v>3667</v>
      </c>
      <c r="J231" s="31" t="s">
        <v>2328</v>
      </c>
      <c r="K231" s="31" t="s">
        <v>378</v>
      </c>
      <c r="L231" s="30" t="s">
        <v>2232</v>
      </c>
      <c r="M231" s="31" t="s">
        <v>2328</v>
      </c>
    </row>
    <row r="232" spans="1:13" s="30" customFormat="1" ht="45" x14ac:dyDescent="0.25">
      <c r="A232" s="31" t="s">
        <v>2328</v>
      </c>
      <c r="B232" s="32" t="s">
        <v>1490</v>
      </c>
      <c r="C232" s="31" t="b">
        <v>1</v>
      </c>
      <c r="D232" s="31">
        <v>2</v>
      </c>
      <c r="E232" s="34" t="s">
        <v>3548</v>
      </c>
      <c r="F232" s="31" t="s">
        <v>3443</v>
      </c>
      <c r="G232" s="31" t="s">
        <v>3665</v>
      </c>
      <c r="H232" s="31" t="s">
        <v>3666</v>
      </c>
      <c r="I232" s="37" t="s">
        <v>3667</v>
      </c>
      <c r="J232" s="31" t="s">
        <v>2328</v>
      </c>
      <c r="K232" s="31" t="s">
        <v>378</v>
      </c>
      <c r="L232" s="30" t="s">
        <v>2232</v>
      </c>
      <c r="M232" s="31" t="s">
        <v>2328</v>
      </c>
    </row>
    <row r="233" spans="1:13" s="30" customFormat="1" ht="45" x14ac:dyDescent="0.25">
      <c r="A233" s="31" t="s">
        <v>2979</v>
      </c>
      <c r="B233" s="32" t="s">
        <v>1491</v>
      </c>
      <c r="C233" s="31" t="b">
        <v>0</v>
      </c>
      <c r="D233" s="31">
        <v>4</v>
      </c>
      <c r="E233" s="35" t="s">
        <v>1493</v>
      </c>
      <c r="F233" s="31" t="s">
        <v>131</v>
      </c>
      <c r="G233" s="31" t="s">
        <v>3665</v>
      </c>
      <c r="H233" s="31" t="s">
        <v>3666</v>
      </c>
      <c r="I233" s="37" t="s">
        <v>3667</v>
      </c>
      <c r="J233" s="31" t="s">
        <v>2328</v>
      </c>
      <c r="K233" s="31" t="s">
        <v>378</v>
      </c>
      <c r="L233" s="30" t="s">
        <v>2232</v>
      </c>
      <c r="M233" s="31" t="s">
        <v>2328</v>
      </c>
    </row>
    <row r="234" spans="1:13" s="30" customFormat="1" ht="45" x14ac:dyDescent="0.25">
      <c r="A234" s="31" t="s">
        <v>3002</v>
      </c>
      <c r="B234" s="32" t="s">
        <v>1589</v>
      </c>
      <c r="C234" s="31" t="b">
        <v>0</v>
      </c>
      <c r="D234" s="31">
        <v>4</v>
      </c>
      <c r="E234" s="35" t="s">
        <v>387</v>
      </c>
      <c r="F234" s="31" t="s">
        <v>131</v>
      </c>
      <c r="G234" s="31" t="s">
        <v>3665</v>
      </c>
      <c r="H234" s="31" t="s">
        <v>3666</v>
      </c>
      <c r="I234" s="37" t="s">
        <v>3667</v>
      </c>
      <c r="J234" s="31" t="s">
        <v>2328</v>
      </c>
      <c r="K234" s="31" t="s">
        <v>386</v>
      </c>
      <c r="L234" s="30" t="s">
        <v>2232</v>
      </c>
      <c r="M234" s="31" t="s">
        <v>2328</v>
      </c>
    </row>
    <row r="235" spans="1:13" s="30" customFormat="1" ht="45" x14ac:dyDescent="0.25">
      <c r="A235" s="31" t="s">
        <v>3003</v>
      </c>
      <c r="B235" s="32" t="s">
        <v>1591</v>
      </c>
      <c r="C235" s="31" t="b">
        <v>0</v>
      </c>
      <c r="D235" s="31">
        <v>4</v>
      </c>
      <c r="E235" s="35" t="s">
        <v>1593</v>
      </c>
      <c r="F235" s="31" t="s">
        <v>131</v>
      </c>
      <c r="G235" s="31" t="s">
        <v>3665</v>
      </c>
      <c r="H235" s="31" t="s">
        <v>3666</v>
      </c>
      <c r="I235" s="37" t="s">
        <v>3667</v>
      </c>
      <c r="J235" s="31" t="s">
        <v>2328</v>
      </c>
      <c r="K235" s="31" t="s">
        <v>386</v>
      </c>
      <c r="L235" s="30" t="s">
        <v>2232</v>
      </c>
      <c r="M235" s="31" t="s">
        <v>2328</v>
      </c>
    </row>
    <row r="236" spans="1:13" s="30" customFormat="1" ht="45" x14ac:dyDescent="0.25">
      <c r="A236" s="31" t="s">
        <v>2328</v>
      </c>
      <c r="B236" s="32" t="s">
        <v>1594</v>
      </c>
      <c r="C236" s="31" t="b">
        <v>0</v>
      </c>
      <c r="D236" s="31">
        <v>4</v>
      </c>
      <c r="E236" s="35" t="s">
        <v>1596</v>
      </c>
      <c r="F236" s="31" t="s">
        <v>139</v>
      </c>
      <c r="G236" s="31" t="s">
        <v>3665</v>
      </c>
      <c r="H236" s="31" t="s">
        <v>3666</v>
      </c>
      <c r="I236" s="37" t="s">
        <v>3667</v>
      </c>
      <c r="J236" s="31" t="s">
        <v>2328</v>
      </c>
      <c r="K236" s="31" t="s">
        <v>386</v>
      </c>
      <c r="L236" s="30" t="s">
        <v>2232</v>
      </c>
      <c r="M236" s="31" t="s">
        <v>2328</v>
      </c>
    </row>
    <row r="237" spans="1:13" s="30" customFormat="1" ht="45" x14ac:dyDescent="0.25">
      <c r="A237" s="31" t="s">
        <v>2328</v>
      </c>
      <c r="B237" s="32" t="s">
        <v>798</v>
      </c>
      <c r="C237" s="31" t="b">
        <v>1</v>
      </c>
      <c r="D237" s="31">
        <v>0</v>
      </c>
      <c r="E237" s="33" t="s">
        <v>2366</v>
      </c>
      <c r="F237" s="31" t="s">
        <v>3443</v>
      </c>
      <c r="G237" s="31" t="s">
        <v>3665</v>
      </c>
      <c r="H237" s="31" t="s">
        <v>3666</v>
      </c>
      <c r="I237" s="37" t="s">
        <v>3667</v>
      </c>
      <c r="J237" s="31" t="s">
        <v>2328</v>
      </c>
      <c r="K237" s="31" t="s">
        <v>398</v>
      </c>
      <c r="L237" s="30" t="s">
        <v>2232</v>
      </c>
      <c r="M237" s="31" t="s">
        <v>2328</v>
      </c>
    </row>
    <row r="238" spans="1:13" s="30" customFormat="1" ht="45" x14ac:dyDescent="0.25">
      <c r="A238" s="31" t="s">
        <v>3006</v>
      </c>
      <c r="B238" s="32" t="s">
        <v>799</v>
      </c>
      <c r="C238" s="31" t="b">
        <v>0</v>
      </c>
      <c r="D238" s="31">
        <v>2</v>
      </c>
      <c r="E238" s="34" t="s">
        <v>800</v>
      </c>
      <c r="F238" s="31" t="s">
        <v>131</v>
      </c>
      <c r="G238" s="31" t="s">
        <v>3665</v>
      </c>
      <c r="H238" s="31" t="s">
        <v>3666</v>
      </c>
      <c r="I238" s="37" t="s">
        <v>3667</v>
      </c>
      <c r="J238" s="31" t="s">
        <v>2328</v>
      </c>
      <c r="K238" s="31" t="s">
        <v>398</v>
      </c>
      <c r="L238" s="30" t="s">
        <v>2232</v>
      </c>
      <c r="M238" s="31" t="s">
        <v>2328</v>
      </c>
    </row>
    <row r="239" spans="1:13" s="30" customFormat="1" ht="45" x14ac:dyDescent="0.25">
      <c r="A239" s="31" t="s">
        <v>2827</v>
      </c>
      <c r="B239" s="32" t="s">
        <v>801</v>
      </c>
      <c r="C239" s="31" t="b">
        <v>0</v>
      </c>
      <c r="D239" s="31">
        <v>2</v>
      </c>
      <c r="E239" s="34" t="s">
        <v>802</v>
      </c>
      <c r="F239" s="31" t="s">
        <v>131</v>
      </c>
      <c r="G239" s="31" t="s">
        <v>3665</v>
      </c>
      <c r="H239" s="31" t="s">
        <v>3666</v>
      </c>
      <c r="I239" s="37" t="s">
        <v>3667</v>
      </c>
      <c r="J239" s="31" t="s">
        <v>2328</v>
      </c>
      <c r="K239" s="31" t="s">
        <v>398</v>
      </c>
      <c r="L239" s="30" t="s">
        <v>2232</v>
      </c>
      <c r="M239" s="31" t="s">
        <v>2328</v>
      </c>
    </row>
    <row r="240" spans="1:13" s="30" customFormat="1" ht="45" x14ac:dyDescent="0.25">
      <c r="A240" s="31" t="s">
        <v>2328</v>
      </c>
      <c r="B240" s="32" t="s">
        <v>1586</v>
      </c>
      <c r="C240" s="31" t="b">
        <v>1</v>
      </c>
      <c r="D240" s="31">
        <v>0</v>
      </c>
      <c r="E240" s="33" t="s">
        <v>2365</v>
      </c>
      <c r="F240" s="31" t="s">
        <v>3443</v>
      </c>
      <c r="G240" s="31" t="s">
        <v>3665</v>
      </c>
      <c r="H240" s="31" t="s">
        <v>3666</v>
      </c>
      <c r="I240" s="37" t="s">
        <v>3667</v>
      </c>
      <c r="J240" s="31" t="s">
        <v>2328</v>
      </c>
      <c r="K240" s="31" t="s">
        <v>383</v>
      </c>
      <c r="L240" s="30" t="s">
        <v>2232</v>
      </c>
      <c r="M240" s="31" t="s">
        <v>2328</v>
      </c>
    </row>
    <row r="241" spans="1:13" s="30" customFormat="1" ht="45" x14ac:dyDescent="0.25">
      <c r="A241" s="31" t="s">
        <v>3004</v>
      </c>
      <c r="B241" s="32" t="s">
        <v>1598</v>
      </c>
      <c r="C241" s="31" t="b">
        <v>0</v>
      </c>
      <c r="D241" s="31">
        <v>4</v>
      </c>
      <c r="E241" s="35" t="s">
        <v>1600</v>
      </c>
      <c r="F241" s="31" t="s">
        <v>131</v>
      </c>
      <c r="G241" s="31" t="s">
        <v>3665</v>
      </c>
      <c r="H241" s="31" t="s">
        <v>3666</v>
      </c>
      <c r="I241" s="37" t="s">
        <v>3667</v>
      </c>
      <c r="J241" s="31" t="s">
        <v>2328</v>
      </c>
      <c r="K241" s="31" t="s">
        <v>388</v>
      </c>
      <c r="L241" s="30" t="s">
        <v>2232</v>
      </c>
      <c r="M241" s="31" t="s">
        <v>2328</v>
      </c>
    </row>
    <row r="242" spans="1:13" s="30" customFormat="1" ht="45" x14ac:dyDescent="0.25">
      <c r="A242" s="31" t="s">
        <v>3005</v>
      </c>
      <c r="B242" s="32" t="s">
        <v>1603</v>
      </c>
      <c r="C242" s="31" t="b">
        <v>0</v>
      </c>
      <c r="D242" s="31">
        <v>2</v>
      </c>
      <c r="E242" s="34" t="s">
        <v>1605</v>
      </c>
      <c r="F242" s="31" t="s">
        <v>131</v>
      </c>
      <c r="G242" s="31" t="s">
        <v>3665</v>
      </c>
      <c r="H242" s="31" t="s">
        <v>3666</v>
      </c>
      <c r="I242" s="37" t="s">
        <v>3667</v>
      </c>
      <c r="J242" s="31" t="s">
        <v>2328</v>
      </c>
      <c r="K242" s="31" t="s">
        <v>391</v>
      </c>
      <c r="L242" s="30" t="s">
        <v>2232</v>
      </c>
      <c r="M242" s="31" t="s">
        <v>2328</v>
      </c>
    </row>
    <row r="243" spans="1:13" s="30" customFormat="1" ht="45" x14ac:dyDescent="0.25">
      <c r="A243" s="31" t="s">
        <v>3007</v>
      </c>
      <c r="B243" s="32" t="s">
        <v>1607</v>
      </c>
      <c r="C243" s="31" t="b">
        <v>1</v>
      </c>
      <c r="D243" s="31">
        <v>2</v>
      </c>
      <c r="E243" s="34" t="s">
        <v>3550</v>
      </c>
      <c r="F243" s="31" t="s">
        <v>3443</v>
      </c>
      <c r="G243" s="31" t="s">
        <v>3665</v>
      </c>
      <c r="H243" s="31" t="s">
        <v>3666</v>
      </c>
      <c r="I243" s="37" t="s">
        <v>3667</v>
      </c>
      <c r="J243" s="31" t="s">
        <v>2328</v>
      </c>
      <c r="K243" s="31" t="s">
        <v>402</v>
      </c>
      <c r="L243" s="30" t="s">
        <v>2232</v>
      </c>
      <c r="M243" s="31" t="s">
        <v>2328</v>
      </c>
    </row>
    <row r="244" spans="1:13" s="30" customFormat="1" ht="45" x14ac:dyDescent="0.25">
      <c r="A244" s="31" t="s">
        <v>2328</v>
      </c>
      <c r="B244" s="32" t="s">
        <v>1608</v>
      </c>
      <c r="C244" s="31" t="b">
        <v>1</v>
      </c>
      <c r="D244" s="31">
        <v>4</v>
      </c>
      <c r="E244" s="35" t="s">
        <v>3347</v>
      </c>
      <c r="F244" s="31" t="s">
        <v>3443</v>
      </c>
      <c r="G244" s="31" t="s">
        <v>3665</v>
      </c>
      <c r="H244" s="31" t="s">
        <v>3666</v>
      </c>
      <c r="I244" s="37" t="s">
        <v>3667</v>
      </c>
      <c r="J244" s="31" t="s">
        <v>2328</v>
      </c>
      <c r="K244" s="31" t="s">
        <v>402</v>
      </c>
      <c r="L244" s="30" t="s">
        <v>2232</v>
      </c>
      <c r="M244" s="31" t="s">
        <v>2328</v>
      </c>
    </row>
    <row r="245" spans="1:13" s="30" customFormat="1" ht="45" x14ac:dyDescent="0.25">
      <c r="A245" s="31" t="s">
        <v>3008</v>
      </c>
      <c r="B245" s="32" t="s">
        <v>1610</v>
      </c>
      <c r="C245" s="31" t="b">
        <v>0</v>
      </c>
      <c r="D245" s="31">
        <v>6</v>
      </c>
      <c r="E245" s="38" t="s">
        <v>35</v>
      </c>
      <c r="F245" s="31" t="s">
        <v>131</v>
      </c>
      <c r="G245" s="31" t="s">
        <v>3665</v>
      </c>
      <c r="H245" s="31" t="s">
        <v>3666</v>
      </c>
      <c r="I245" s="37" t="s">
        <v>3667</v>
      </c>
      <c r="J245" s="31" t="s">
        <v>2328</v>
      </c>
      <c r="K245" s="31" t="s">
        <v>402</v>
      </c>
      <c r="L245" s="30" t="s">
        <v>2232</v>
      </c>
      <c r="M245" s="31" t="s">
        <v>2328</v>
      </c>
    </row>
    <row r="246" spans="1:13" s="30" customFormat="1" ht="45" x14ac:dyDescent="0.25">
      <c r="A246" s="31" t="s">
        <v>3009</v>
      </c>
      <c r="B246" s="32" t="s">
        <v>1611</v>
      </c>
      <c r="C246" s="31" t="b">
        <v>0</v>
      </c>
      <c r="D246" s="31">
        <v>6</v>
      </c>
      <c r="E246" s="38" t="s">
        <v>1612</v>
      </c>
      <c r="F246" s="31" t="s">
        <v>131</v>
      </c>
      <c r="G246" s="31" t="s">
        <v>3665</v>
      </c>
      <c r="H246" s="31" t="s">
        <v>3666</v>
      </c>
      <c r="I246" s="37" t="s">
        <v>3667</v>
      </c>
      <c r="J246" s="31" t="s">
        <v>2328</v>
      </c>
      <c r="K246" s="31" t="s">
        <v>402</v>
      </c>
      <c r="L246" s="30" t="s">
        <v>2232</v>
      </c>
      <c r="M246" s="31" t="s">
        <v>2328</v>
      </c>
    </row>
    <row r="247" spans="1:13" s="30" customFormat="1" ht="45" x14ac:dyDescent="0.25">
      <c r="A247" s="31" t="s">
        <v>3010</v>
      </c>
      <c r="B247" s="32" t="s">
        <v>1613</v>
      </c>
      <c r="C247" s="31" t="b">
        <v>0</v>
      </c>
      <c r="D247" s="31">
        <v>6</v>
      </c>
      <c r="E247" s="38" t="s">
        <v>1614</v>
      </c>
      <c r="F247" s="31" t="s">
        <v>131</v>
      </c>
      <c r="G247" s="31" t="s">
        <v>3665</v>
      </c>
      <c r="H247" s="31" t="s">
        <v>3666</v>
      </c>
      <c r="I247" s="37" t="s">
        <v>3667</v>
      </c>
      <c r="J247" s="31" t="s">
        <v>2328</v>
      </c>
      <c r="K247" s="31" t="s">
        <v>402</v>
      </c>
      <c r="L247" s="30" t="s">
        <v>2232</v>
      </c>
      <c r="M247" s="31" t="s">
        <v>2328</v>
      </c>
    </row>
    <row r="248" spans="1:13" s="30" customFormat="1" ht="45" x14ac:dyDescent="0.25">
      <c r="A248" s="31" t="s">
        <v>3011</v>
      </c>
      <c r="B248" s="32" t="s">
        <v>1615</v>
      </c>
      <c r="C248" s="31" t="b">
        <v>0</v>
      </c>
      <c r="D248" s="31">
        <v>6</v>
      </c>
      <c r="E248" s="38" t="s">
        <v>1616</v>
      </c>
      <c r="F248" s="31" t="s">
        <v>131</v>
      </c>
      <c r="G248" s="31" t="s">
        <v>3665</v>
      </c>
      <c r="H248" s="31" t="s">
        <v>3666</v>
      </c>
      <c r="I248" s="37" t="s">
        <v>3667</v>
      </c>
      <c r="J248" s="31" t="s">
        <v>2328</v>
      </c>
      <c r="K248" s="31" t="s">
        <v>402</v>
      </c>
      <c r="L248" s="30" t="s">
        <v>2232</v>
      </c>
      <c r="M248" s="31" t="s">
        <v>2328</v>
      </c>
    </row>
    <row r="249" spans="1:13" s="30" customFormat="1" ht="45" x14ac:dyDescent="0.25">
      <c r="A249" s="31" t="s">
        <v>2328</v>
      </c>
      <c r="B249" s="32" t="s">
        <v>1617</v>
      </c>
      <c r="C249" s="31" t="b">
        <v>1</v>
      </c>
      <c r="D249" s="31">
        <v>4</v>
      </c>
      <c r="E249" s="35" t="s">
        <v>3348</v>
      </c>
      <c r="F249" s="31" t="s">
        <v>3443</v>
      </c>
      <c r="G249" s="31" t="s">
        <v>3665</v>
      </c>
      <c r="H249" s="31" t="s">
        <v>3666</v>
      </c>
      <c r="I249" s="37" t="s">
        <v>3667</v>
      </c>
      <c r="J249" s="31" t="s">
        <v>2328</v>
      </c>
      <c r="K249" s="31" t="s">
        <v>402</v>
      </c>
      <c r="L249" s="30" t="s">
        <v>2232</v>
      </c>
      <c r="M249" s="31" t="s">
        <v>2328</v>
      </c>
    </row>
    <row r="250" spans="1:13" s="30" customFormat="1" ht="60" x14ac:dyDescent="0.25">
      <c r="A250" s="31" t="s">
        <v>3012</v>
      </c>
      <c r="B250" s="32" t="s">
        <v>1619</v>
      </c>
      <c r="C250" s="31" t="b">
        <v>0</v>
      </c>
      <c r="D250" s="31">
        <v>6</v>
      </c>
      <c r="E250" s="38" t="s">
        <v>1620</v>
      </c>
      <c r="F250" s="31" t="s">
        <v>131</v>
      </c>
      <c r="G250" s="31" t="s">
        <v>3665</v>
      </c>
      <c r="H250" s="31" t="s">
        <v>3666</v>
      </c>
      <c r="I250" s="37" t="s">
        <v>3667</v>
      </c>
      <c r="J250" s="31" t="s">
        <v>2328</v>
      </c>
      <c r="K250" s="31" t="s">
        <v>402</v>
      </c>
      <c r="L250" s="30" t="s">
        <v>2232</v>
      </c>
      <c r="M250" s="31" t="s">
        <v>2328</v>
      </c>
    </row>
    <row r="251" spans="1:13" s="30" customFormat="1" ht="45" x14ac:dyDescent="0.25">
      <c r="A251" s="31" t="s">
        <v>2328</v>
      </c>
      <c r="B251" s="32" t="s">
        <v>1621</v>
      </c>
      <c r="C251" s="31" t="b">
        <v>1</v>
      </c>
      <c r="D251" s="31">
        <v>4</v>
      </c>
      <c r="E251" s="35" t="s">
        <v>3349</v>
      </c>
      <c r="F251" s="31" t="s">
        <v>3443</v>
      </c>
      <c r="G251" s="31" t="s">
        <v>3665</v>
      </c>
      <c r="H251" s="31" t="s">
        <v>3666</v>
      </c>
      <c r="I251" s="37" t="s">
        <v>3667</v>
      </c>
      <c r="J251" s="31" t="s">
        <v>2328</v>
      </c>
      <c r="K251" s="31" t="s">
        <v>402</v>
      </c>
      <c r="L251" s="30" t="s">
        <v>2232</v>
      </c>
      <c r="M251" s="31" t="s">
        <v>2328</v>
      </c>
    </row>
    <row r="252" spans="1:13" s="30" customFormat="1" ht="60" x14ac:dyDescent="0.25">
      <c r="A252" s="31" t="s">
        <v>3013</v>
      </c>
      <c r="B252" s="32" t="s">
        <v>1623</v>
      </c>
      <c r="C252" s="31" t="b">
        <v>0</v>
      </c>
      <c r="D252" s="31">
        <v>6</v>
      </c>
      <c r="E252" s="38" t="s">
        <v>1624</v>
      </c>
      <c r="F252" s="31" t="s">
        <v>131</v>
      </c>
      <c r="G252" s="31" t="s">
        <v>3665</v>
      </c>
      <c r="H252" s="31" t="s">
        <v>3666</v>
      </c>
      <c r="I252" s="37" t="s">
        <v>3667</v>
      </c>
      <c r="J252" s="31" t="s">
        <v>2328</v>
      </c>
      <c r="K252" s="31" t="s">
        <v>402</v>
      </c>
      <c r="L252" s="30" t="s">
        <v>2232</v>
      </c>
      <c r="M252" s="31" t="s">
        <v>2328</v>
      </c>
    </row>
    <row r="253" spans="1:13" s="30" customFormat="1" ht="45" x14ac:dyDescent="0.25">
      <c r="A253" s="31" t="s">
        <v>3014</v>
      </c>
      <c r="B253" s="32" t="s">
        <v>1625</v>
      </c>
      <c r="C253" s="31" t="b">
        <v>0</v>
      </c>
      <c r="D253" s="31">
        <v>6</v>
      </c>
      <c r="E253" s="38" t="s">
        <v>1626</v>
      </c>
      <c r="F253" s="31" t="s">
        <v>131</v>
      </c>
      <c r="G253" s="31" t="s">
        <v>3665</v>
      </c>
      <c r="H253" s="31" t="s">
        <v>3666</v>
      </c>
      <c r="I253" s="37" t="s">
        <v>3667</v>
      </c>
      <c r="J253" s="31" t="s">
        <v>2328</v>
      </c>
      <c r="K253" s="31" t="s">
        <v>402</v>
      </c>
      <c r="L253" s="30" t="s">
        <v>2232</v>
      </c>
      <c r="M253" s="31" t="s">
        <v>2328</v>
      </c>
    </row>
    <row r="254" spans="1:13" s="30" customFormat="1" ht="45" x14ac:dyDescent="0.25">
      <c r="A254" s="31" t="s">
        <v>3015</v>
      </c>
      <c r="B254" s="32" t="s">
        <v>1627</v>
      </c>
      <c r="C254" s="31" t="b">
        <v>0</v>
      </c>
      <c r="D254" s="31">
        <v>6</v>
      </c>
      <c r="E254" s="38" t="s">
        <v>1628</v>
      </c>
      <c r="F254" s="31" t="s">
        <v>131</v>
      </c>
      <c r="G254" s="31" t="s">
        <v>3665</v>
      </c>
      <c r="H254" s="31" t="s">
        <v>3666</v>
      </c>
      <c r="I254" s="37" t="s">
        <v>3667</v>
      </c>
      <c r="J254" s="31" t="s">
        <v>2328</v>
      </c>
      <c r="K254" s="31" t="s">
        <v>402</v>
      </c>
      <c r="L254" s="30" t="s">
        <v>2232</v>
      </c>
      <c r="M254" s="31" t="s">
        <v>2328</v>
      </c>
    </row>
    <row r="255" spans="1:13" s="30" customFormat="1" ht="60" x14ac:dyDescent="0.25">
      <c r="A255" s="31" t="s">
        <v>3016</v>
      </c>
      <c r="B255" s="32" t="s">
        <v>1629</v>
      </c>
      <c r="C255" s="31" t="b">
        <v>0</v>
      </c>
      <c r="D255" s="31">
        <v>6</v>
      </c>
      <c r="E255" s="38" t="s">
        <v>1630</v>
      </c>
      <c r="F255" s="31" t="s">
        <v>131</v>
      </c>
      <c r="G255" s="31" t="s">
        <v>3665</v>
      </c>
      <c r="H255" s="31" t="s">
        <v>3666</v>
      </c>
      <c r="I255" s="37" t="s">
        <v>3667</v>
      </c>
      <c r="J255" s="31" t="s">
        <v>2328</v>
      </c>
      <c r="K255" s="31" t="s">
        <v>402</v>
      </c>
      <c r="L255" s="30" t="s">
        <v>2232</v>
      </c>
      <c r="M255" s="31" t="s">
        <v>2328</v>
      </c>
    </row>
    <row r="256" spans="1:13" s="30" customFormat="1" ht="45" x14ac:dyDescent="0.25">
      <c r="A256" s="31" t="s">
        <v>3017</v>
      </c>
      <c r="B256" s="32" t="s">
        <v>1631</v>
      </c>
      <c r="C256" s="31" t="b">
        <v>0</v>
      </c>
      <c r="D256" s="31">
        <v>6</v>
      </c>
      <c r="E256" s="38" t="s">
        <v>1632</v>
      </c>
      <c r="F256" s="31" t="s">
        <v>131</v>
      </c>
      <c r="G256" s="31" t="s">
        <v>3665</v>
      </c>
      <c r="H256" s="31" t="s">
        <v>3666</v>
      </c>
      <c r="I256" s="37" t="s">
        <v>3667</v>
      </c>
      <c r="J256" s="31" t="s">
        <v>2328</v>
      </c>
      <c r="K256" s="31" t="s">
        <v>402</v>
      </c>
      <c r="L256" s="30" t="s">
        <v>2232</v>
      </c>
      <c r="M256" s="31" t="s">
        <v>2328</v>
      </c>
    </row>
    <row r="257" spans="1:13" s="30" customFormat="1" ht="45" x14ac:dyDescent="0.25">
      <c r="A257" s="31" t="s">
        <v>2328</v>
      </c>
      <c r="B257" s="32" t="s">
        <v>1633</v>
      </c>
      <c r="C257" s="31" t="b">
        <v>1</v>
      </c>
      <c r="D257" s="31">
        <v>4</v>
      </c>
      <c r="E257" s="35" t="s">
        <v>3350</v>
      </c>
      <c r="F257" s="31" t="s">
        <v>3443</v>
      </c>
      <c r="G257" s="31" t="s">
        <v>3665</v>
      </c>
      <c r="H257" s="31" t="s">
        <v>3666</v>
      </c>
      <c r="I257" s="37" t="s">
        <v>3667</v>
      </c>
      <c r="J257" s="31" t="s">
        <v>2328</v>
      </c>
      <c r="K257" s="31" t="s">
        <v>402</v>
      </c>
      <c r="L257" s="30" t="s">
        <v>2232</v>
      </c>
      <c r="M257" s="31" t="s">
        <v>2328</v>
      </c>
    </row>
    <row r="258" spans="1:13" s="30" customFormat="1" ht="60" x14ac:dyDescent="0.25">
      <c r="A258" s="31" t="s">
        <v>2328</v>
      </c>
      <c r="B258" s="32" t="s">
        <v>1635</v>
      </c>
      <c r="C258" s="31" t="b">
        <v>0</v>
      </c>
      <c r="D258" s="31">
        <v>6</v>
      </c>
      <c r="E258" s="38" t="s">
        <v>1636</v>
      </c>
      <c r="F258" s="31" t="s">
        <v>131</v>
      </c>
      <c r="G258" s="31" t="s">
        <v>3665</v>
      </c>
      <c r="H258" s="31" t="s">
        <v>3666</v>
      </c>
      <c r="I258" s="37" t="s">
        <v>3667</v>
      </c>
      <c r="J258" s="31" t="s">
        <v>2328</v>
      </c>
      <c r="K258" s="31" t="s">
        <v>402</v>
      </c>
      <c r="L258" s="30" t="s">
        <v>2232</v>
      </c>
      <c r="M258" s="31" t="s">
        <v>2328</v>
      </c>
    </row>
    <row r="259" spans="1:13" s="30" customFormat="1" ht="60" x14ac:dyDescent="0.25">
      <c r="A259" s="31" t="s">
        <v>3018</v>
      </c>
      <c r="B259" s="32" t="s">
        <v>1637</v>
      </c>
      <c r="C259" s="31" t="b">
        <v>0</v>
      </c>
      <c r="D259" s="31">
        <v>6</v>
      </c>
      <c r="E259" s="38" t="s">
        <v>1638</v>
      </c>
      <c r="F259" s="31" t="s">
        <v>131</v>
      </c>
      <c r="G259" s="31" t="s">
        <v>3665</v>
      </c>
      <c r="H259" s="31" t="s">
        <v>3666</v>
      </c>
      <c r="I259" s="37" t="s">
        <v>3667</v>
      </c>
      <c r="J259" s="31" t="s">
        <v>2328</v>
      </c>
      <c r="K259" s="31" t="s">
        <v>402</v>
      </c>
      <c r="L259" s="30" t="s">
        <v>2232</v>
      </c>
      <c r="M259" s="31" t="s">
        <v>2328</v>
      </c>
    </row>
    <row r="260" spans="1:13" s="30" customFormat="1" ht="45" x14ac:dyDescent="0.25">
      <c r="A260" s="31" t="s">
        <v>3019</v>
      </c>
      <c r="B260" s="32" t="s">
        <v>1639</v>
      </c>
      <c r="C260" s="31" t="b">
        <v>0</v>
      </c>
      <c r="D260" s="31">
        <v>6</v>
      </c>
      <c r="E260" s="38" t="s">
        <v>1640</v>
      </c>
      <c r="F260" s="31" t="s">
        <v>131</v>
      </c>
      <c r="G260" s="31" t="s">
        <v>3665</v>
      </c>
      <c r="H260" s="31" t="s">
        <v>3666</v>
      </c>
      <c r="I260" s="37" t="s">
        <v>3667</v>
      </c>
      <c r="J260" s="31" t="s">
        <v>2328</v>
      </c>
      <c r="K260" s="31" t="s">
        <v>402</v>
      </c>
      <c r="L260" s="30" t="s">
        <v>2232</v>
      </c>
      <c r="M260" s="31" t="s">
        <v>2328</v>
      </c>
    </row>
    <row r="261" spans="1:13" s="30" customFormat="1" ht="60" x14ac:dyDescent="0.25">
      <c r="A261" s="31" t="s">
        <v>3020</v>
      </c>
      <c r="B261" s="32" t="s">
        <v>1641</v>
      </c>
      <c r="C261" s="31" t="b">
        <v>0</v>
      </c>
      <c r="D261" s="31">
        <v>6</v>
      </c>
      <c r="E261" s="38" t="s">
        <v>1642</v>
      </c>
      <c r="F261" s="31" t="s">
        <v>131</v>
      </c>
      <c r="G261" s="31" t="s">
        <v>3665</v>
      </c>
      <c r="H261" s="31" t="s">
        <v>3666</v>
      </c>
      <c r="I261" s="37" t="s">
        <v>3667</v>
      </c>
      <c r="J261" s="31" t="s">
        <v>2328</v>
      </c>
      <c r="K261" s="31" t="s">
        <v>402</v>
      </c>
      <c r="L261" s="30" t="s">
        <v>2232</v>
      </c>
      <c r="M261" s="31" t="s">
        <v>2328</v>
      </c>
    </row>
    <row r="262" spans="1:13" s="30" customFormat="1" ht="45" x14ac:dyDescent="0.25">
      <c r="A262" s="31" t="s">
        <v>2328</v>
      </c>
      <c r="B262" s="32" t="s">
        <v>1643</v>
      </c>
      <c r="C262" s="31" t="b">
        <v>1</v>
      </c>
      <c r="D262" s="31">
        <v>4</v>
      </c>
      <c r="E262" s="35" t="s">
        <v>3351</v>
      </c>
      <c r="F262" s="31" t="s">
        <v>3443</v>
      </c>
      <c r="G262" s="31" t="s">
        <v>3665</v>
      </c>
      <c r="H262" s="31" t="s">
        <v>3666</v>
      </c>
      <c r="I262" s="37" t="s">
        <v>3667</v>
      </c>
      <c r="J262" s="31" t="s">
        <v>2328</v>
      </c>
      <c r="K262" s="31" t="s">
        <v>402</v>
      </c>
      <c r="L262" s="30" t="s">
        <v>2232</v>
      </c>
      <c r="M262" s="31" t="s">
        <v>2328</v>
      </c>
    </row>
    <row r="263" spans="1:13" s="30" customFormat="1" ht="45" x14ac:dyDescent="0.25">
      <c r="A263" s="31" t="s">
        <v>3021</v>
      </c>
      <c r="B263" s="32" t="s">
        <v>1645</v>
      </c>
      <c r="C263" s="31" t="b">
        <v>0</v>
      </c>
      <c r="D263" s="31">
        <v>6</v>
      </c>
      <c r="E263" s="38" t="s">
        <v>3562</v>
      </c>
      <c r="F263" s="31" t="s">
        <v>131</v>
      </c>
      <c r="G263" s="31" t="s">
        <v>3665</v>
      </c>
      <c r="H263" s="31" t="s">
        <v>3666</v>
      </c>
      <c r="I263" s="37" t="s">
        <v>3667</v>
      </c>
      <c r="J263" s="31" t="s">
        <v>2328</v>
      </c>
      <c r="K263" s="31" t="s">
        <v>402</v>
      </c>
      <c r="L263" s="30" t="s">
        <v>2232</v>
      </c>
      <c r="M263" s="31" t="s">
        <v>2328</v>
      </c>
    </row>
    <row r="264" spans="1:13" s="30" customFormat="1" ht="45" x14ac:dyDescent="0.25">
      <c r="A264" s="31" t="s">
        <v>2328</v>
      </c>
      <c r="B264" s="32" t="s">
        <v>1646</v>
      </c>
      <c r="C264" s="31" t="b">
        <v>1</v>
      </c>
      <c r="D264" s="31">
        <v>4</v>
      </c>
      <c r="E264" s="35" t="s">
        <v>3352</v>
      </c>
      <c r="F264" s="31" t="s">
        <v>3443</v>
      </c>
      <c r="G264" s="31" t="s">
        <v>3665</v>
      </c>
      <c r="H264" s="31" t="s">
        <v>3666</v>
      </c>
      <c r="I264" s="37" t="s">
        <v>3667</v>
      </c>
      <c r="J264" s="31" t="s">
        <v>2328</v>
      </c>
      <c r="K264" s="31" t="s">
        <v>402</v>
      </c>
      <c r="L264" s="30" t="s">
        <v>2232</v>
      </c>
      <c r="M264" s="31" t="s">
        <v>2328</v>
      </c>
    </row>
    <row r="265" spans="1:13" s="30" customFormat="1" ht="45" x14ac:dyDescent="0.25">
      <c r="A265" s="31" t="s">
        <v>3022</v>
      </c>
      <c r="B265" s="32" t="s">
        <v>1648</v>
      </c>
      <c r="C265" s="31" t="b">
        <v>0</v>
      </c>
      <c r="D265" s="31">
        <v>6</v>
      </c>
      <c r="E265" s="38" t="s">
        <v>1649</v>
      </c>
      <c r="F265" s="31" t="s">
        <v>131</v>
      </c>
      <c r="G265" s="31" t="s">
        <v>3665</v>
      </c>
      <c r="H265" s="31" t="s">
        <v>3666</v>
      </c>
      <c r="I265" s="37" t="s">
        <v>3667</v>
      </c>
      <c r="J265" s="31" t="s">
        <v>2328</v>
      </c>
      <c r="K265" s="31" t="s">
        <v>402</v>
      </c>
      <c r="L265" s="30" t="s">
        <v>2232</v>
      </c>
      <c r="M265" s="31" t="s">
        <v>2328</v>
      </c>
    </row>
    <row r="266" spans="1:13" s="30" customFormat="1" ht="45" x14ac:dyDescent="0.25">
      <c r="A266" s="31" t="s">
        <v>3023</v>
      </c>
      <c r="B266" s="32" t="s">
        <v>1650</v>
      </c>
      <c r="C266" s="31" t="b">
        <v>0</v>
      </c>
      <c r="D266" s="31">
        <v>6</v>
      </c>
      <c r="E266" s="38" t="s">
        <v>1651</v>
      </c>
      <c r="F266" s="31" t="s">
        <v>131</v>
      </c>
      <c r="G266" s="31" t="s">
        <v>3665</v>
      </c>
      <c r="H266" s="31" t="s">
        <v>3666</v>
      </c>
      <c r="I266" s="37" t="s">
        <v>3667</v>
      </c>
      <c r="J266" s="31" t="s">
        <v>2328</v>
      </c>
      <c r="K266" s="31" t="s">
        <v>402</v>
      </c>
      <c r="L266" s="30" t="s">
        <v>2232</v>
      </c>
      <c r="M266" s="31" t="s">
        <v>2328</v>
      </c>
    </row>
    <row r="267" spans="1:13" s="30" customFormat="1" ht="45" x14ac:dyDescent="0.25">
      <c r="A267" s="31" t="s">
        <v>3024</v>
      </c>
      <c r="B267" s="32" t="s">
        <v>1652</v>
      </c>
      <c r="C267" s="31" t="b">
        <v>0</v>
      </c>
      <c r="D267" s="31">
        <v>6</v>
      </c>
      <c r="E267" s="38" t="s">
        <v>1653</v>
      </c>
      <c r="F267" s="31" t="s">
        <v>131</v>
      </c>
      <c r="G267" s="31" t="s">
        <v>3665</v>
      </c>
      <c r="H267" s="31" t="s">
        <v>3666</v>
      </c>
      <c r="I267" s="37" t="s">
        <v>3667</v>
      </c>
      <c r="J267" s="31" t="s">
        <v>2328</v>
      </c>
      <c r="K267" s="31" t="s">
        <v>402</v>
      </c>
      <c r="L267" s="30" t="s">
        <v>2232</v>
      </c>
      <c r="M267" s="31" t="s">
        <v>2328</v>
      </c>
    </row>
    <row r="268" spans="1:13" s="30" customFormat="1" ht="105" x14ac:dyDescent="0.25">
      <c r="A268" s="31" t="s">
        <v>3025</v>
      </c>
      <c r="B268" s="32" t="s">
        <v>1654</v>
      </c>
      <c r="C268" s="31" t="b">
        <v>0</v>
      </c>
      <c r="D268" s="31">
        <v>6</v>
      </c>
      <c r="E268" s="38" t="s">
        <v>2280</v>
      </c>
      <c r="F268" s="31" t="s">
        <v>131</v>
      </c>
      <c r="G268" s="31" t="s">
        <v>3665</v>
      </c>
      <c r="H268" s="31" t="s">
        <v>3666</v>
      </c>
      <c r="I268" s="37" t="s">
        <v>3667</v>
      </c>
      <c r="J268" s="31" t="s">
        <v>2328</v>
      </c>
      <c r="K268" s="31" t="s">
        <v>402</v>
      </c>
      <c r="L268" s="30" t="s">
        <v>2232</v>
      </c>
      <c r="M268" s="31" t="s">
        <v>2328</v>
      </c>
    </row>
    <row r="269" spans="1:13" s="30" customFormat="1" ht="45" x14ac:dyDescent="0.25">
      <c r="A269" s="31" t="s">
        <v>3026</v>
      </c>
      <c r="B269" s="32" t="s">
        <v>1655</v>
      </c>
      <c r="C269" s="31" t="b">
        <v>0</v>
      </c>
      <c r="D269" s="31">
        <v>6</v>
      </c>
      <c r="E269" s="38" t="s">
        <v>1656</v>
      </c>
      <c r="F269" s="31" t="s">
        <v>131</v>
      </c>
      <c r="G269" s="31" t="s">
        <v>3665</v>
      </c>
      <c r="H269" s="31" t="s">
        <v>3666</v>
      </c>
      <c r="I269" s="37" t="s">
        <v>3667</v>
      </c>
      <c r="J269" s="31" t="s">
        <v>2328</v>
      </c>
      <c r="K269" s="31" t="s">
        <v>402</v>
      </c>
      <c r="L269" s="30" t="s">
        <v>2232</v>
      </c>
      <c r="M269" s="31" t="s">
        <v>2328</v>
      </c>
    </row>
    <row r="270" spans="1:13" s="30" customFormat="1" ht="45" x14ac:dyDescent="0.25">
      <c r="A270" s="31" t="s">
        <v>3027</v>
      </c>
      <c r="B270" s="32" t="s">
        <v>1657</v>
      </c>
      <c r="C270" s="31" t="b">
        <v>0</v>
      </c>
      <c r="D270" s="31">
        <v>6</v>
      </c>
      <c r="E270" s="38" t="s">
        <v>1658</v>
      </c>
      <c r="F270" s="31" t="s">
        <v>131</v>
      </c>
      <c r="G270" s="31" t="s">
        <v>3665</v>
      </c>
      <c r="H270" s="31" t="s">
        <v>3666</v>
      </c>
      <c r="I270" s="37" t="s">
        <v>3667</v>
      </c>
      <c r="J270" s="31" t="s">
        <v>2328</v>
      </c>
      <c r="K270" s="31" t="s">
        <v>402</v>
      </c>
      <c r="L270" s="30" t="s">
        <v>2232</v>
      </c>
      <c r="M270" s="31" t="s">
        <v>2328</v>
      </c>
    </row>
    <row r="271" spans="1:13" s="30" customFormat="1" ht="45" x14ac:dyDescent="0.25">
      <c r="A271" s="31" t="s">
        <v>3028</v>
      </c>
      <c r="B271" s="32" t="s">
        <v>1659</v>
      </c>
      <c r="C271" s="31" t="b">
        <v>0</v>
      </c>
      <c r="D271" s="31">
        <v>6</v>
      </c>
      <c r="E271" s="38" t="s">
        <v>1660</v>
      </c>
      <c r="F271" s="31" t="s">
        <v>131</v>
      </c>
      <c r="G271" s="31" t="s">
        <v>3665</v>
      </c>
      <c r="H271" s="31" t="s">
        <v>3666</v>
      </c>
      <c r="I271" s="37" t="s">
        <v>3667</v>
      </c>
      <c r="J271" s="31" t="s">
        <v>2328</v>
      </c>
      <c r="K271" s="31" t="s">
        <v>402</v>
      </c>
      <c r="L271" s="30" t="s">
        <v>2232</v>
      </c>
      <c r="M271" s="31" t="s">
        <v>2328</v>
      </c>
    </row>
    <row r="272" spans="1:13" s="30" customFormat="1" ht="45" x14ac:dyDescent="0.25">
      <c r="A272" s="31" t="s">
        <v>3029</v>
      </c>
      <c r="B272" s="32" t="s">
        <v>1661</v>
      </c>
      <c r="C272" s="31" t="b">
        <v>0</v>
      </c>
      <c r="D272" s="31">
        <v>6</v>
      </c>
      <c r="E272" s="38" t="s">
        <v>1662</v>
      </c>
      <c r="F272" s="31" t="s">
        <v>131</v>
      </c>
      <c r="G272" s="31" t="s">
        <v>3665</v>
      </c>
      <c r="H272" s="31" t="s">
        <v>3666</v>
      </c>
      <c r="I272" s="37" t="s">
        <v>3667</v>
      </c>
      <c r="J272" s="31" t="s">
        <v>2328</v>
      </c>
      <c r="K272" s="31" t="s">
        <v>402</v>
      </c>
      <c r="L272" s="30" t="s">
        <v>2232</v>
      </c>
      <c r="M272" s="31" t="s">
        <v>2328</v>
      </c>
    </row>
    <row r="273" spans="1:13" s="30" customFormat="1" ht="45" x14ac:dyDescent="0.25">
      <c r="A273" s="31" t="s">
        <v>2328</v>
      </c>
      <c r="B273" s="32" t="s">
        <v>1663</v>
      </c>
      <c r="C273" s="31" t="b">
        <v>1</v>
      </c>
      <c r="D273" s="31">
        <v>4</v>
      </c>
      <c r="E273" s="35" t="s">
        <v>3353</v>
      </c>
      <c r="F273" s="31" t="s">
        <v>3443</v>
      </c>
      <c r="G273" s="31" t="s">
        <v>3665</v>
      </c>
      <c r="H273" s="31" t="s">
        <v>3666</v>
      </c>
      <c r="I273" s="37" t="s">
        <v>3667</v>
      </c>
      <c r="J273" s="31" t="s">
        <v>2328</v>
      </c>
      <c r="K273" s="31" t="s">
        <v>402</v>
      </c>
      <c r="L273" s="30" t="s">
        <v>2232</v>
      </c>
      <c r="M273" s="31" t="s">
        <v>2328</v>
      </c>
    </row>
    <row r="274" spans="1:13" s="30" customFormat="1" ht="45" x14ac:dyDescent="0.25">
      <c r="A274" s="31" t="s">
        <v>3030</v>
      </c>
      <c r="B274" s="32" t="s">
        <v>1665</v>
      </c>
      <c r="C274" s="31" t="b">
        <v>0</v>
      </c>
      <c r="D274" s="31">
        <v>6</v>
      </c>
      <c r="E274" s="38" t="s">
        <v>1666</v>
      </c>
      <c r="F274" s="31" t="s">
        <v>131</v>
      </c>
      <c r="G274" s="31" t="s">
        <v>3665</v>
      </c>
      <c r="H274" s="31" t="s">
        <v>3666</v>
      </c>
      <c r="I274" s="37" t="s">
        <v>3667</v>
      </c>
      <c r="J274" s="31" t="s">
        <v>2328</v>
      </c>
      <c r="K274" s="31" t="s">
        <v>402</v>
      </c>
      <c r="L274" s="30" t="s">
        <v>2232</v>
      </c>
      <c r="M274" s="31" t="s">
        <v>2328</v>
      </c>
    </row>
    <row r="275" spans="1:13" s="30" customFormat="1" ht="75" x14ac:dyDescent="0.25">
      <c r="A275" s="31" t="s">
        <v>3031</v>
      </c>
      <c r="B275" s="32" t="s">
        <v>1667</v>
      </c>
      <c r="C275" s="31" t="b">
        <v>0</v>
      </c>
      <c r="D275" s="31">
        <v>6</v>
      </c>
      <c r="E275" s="38" t="s">
        <v>2281</v>
      </c>
      <c r="F275" s="31" t="s">
        <v>131</v>
      </c>
      <c r="G275" s="31" t="s">
        <v>3665</v>
      </c>
      <c r="H275" s="31" t="s">
        <v>3666</v>
      </c>
      <c r="I275" s="37" t="s">
        <v>3667</v>
      </c>
      <c r="J275" s="31" t="s">
        <v>2328</v>
      </c>
      <c r="K275" s="31" t="s">
        <v>402</v>
      </c>
      <c r="L275" s="30" t="s">
        <v>2232</v>
      </c>
      <c r="M275" s="31" t="s">
        <v>2328</v>
      </c>
    </row>
    <row r="276" spans="1:13" s="30" customFormat="1" ht="60" x14ac:dyDescent="0.25">
      <c r="A276" s="31" t="s">
        <v>3032</v>
      </c>
      <c r="B276" s="32" t="s">
        <v>1668</v>
      </c>
      <c r="C276" s="31" t="b">
        <v>0</v>
      </c>
      <c r="D276" s="31">
        <v>6</v>
      </c>
      <c r="E276" s="38" t="s">
        <v>1669</v>
      </c>
      <c r="F276" s="31" t="s">
        <v>131</v>
      </c>
      <c r="G276" s="31" t="s">
        <v>3665</v>
      </c>
      <c r="H276" s="31" t="s">
        <v>3666</v>
      </c>
      <c r="I276" s="37" t="s">
        <v>3667</v>
      </c>
      <c r="J276" s="31" t="s">
        <v>2328</v>
      </c>
      <c r="K276" s="31" t="s">
        <v>402</v>
      </c>
      <c r="L276" s="30" t="s">
        <v>2232</v>
      </c>
      <c r="M276" s="31" t="s">
        <v>2328</v>
      </c>
    </row>
    <row r="277" spans="1:13" s="30" customFormat="1" ht="45" x14ac:dyDescent="0.25">
      <c r="A277" s="31" t="s">
        <v>2328</v>
      </c>
      <c r="B277" s="32" t="s">
        <v>1670</v>
      </c>
      <c r="C277" s="31" t="b">
        <v>1</v>
      </c>
      <c r="D277" s="31">
        <v>4</v>
      </c>
      <c r="E277" s="35" t="s">
        <v>3354</v>
      </c>
      <c r="F277" s="31" t="s">
        <v>3443</v>
      </c>
      <c r="G277" s="31" t="s">
        <v>3665</v>
      </c>
      <c r="H277" s="31" t="s">
        <v>3666</v>
      </c>
      <c r="I277" s="37" t="s">
        <v>3667</v>
      </c>
      <c r="J277" s="31" t="s">
        <v>2328</v>
      </c>
      <c r="K277" s="31" t="s">
        <v>402</v>
      </c>
      <c r="L277" s="30" t="s">
        <v>2232</v>
      </c>
      <c r="M277" s="31" t="s">
        <v>2328</v>
      </c>
    </row>
    <row r="278" spans="1:13" s="30" customFormat="1" ht="45" x14ac:dyDescent="0.25">
      <c r="A278" s="31" t="s">
        <v>3033</v>
      </c>
      <c r="B278" s="32" t="s">
        <v>1672</v>
      </c>
      <c r="C278" s="31" t="b">
        <v>0</v>
      </c>
      <c r="D278" s="31">
        <v>6</v>
      </c>
      <c r="E278" s="38" t="s">
        <v>1673</v>
      </c>
      <c r="F278" s="31" t="s">
        <v>131</v>
      </c>
      <c r="G278" s="31" t="s">
        <v>3665</v>
      </c>
      <c r="H278" s="31" t="s">
        <v>3666</v>
      </c>
      <c r="I278" s="37" t="s">
        <v>3667</v>
      </c>
      <c r="J278" s="31" t="s">
        <v>2328</v>
      </c>
      <c r="K278" s="31" t="s">
        <v>402</v>
      </c>
      <c r="L278" s="30" t="s">
        <v>2232</v>
      </c>
      <c r="M278" s="31" t="s">
        <v>2328</v>
      </c>
    </row>
    <row r="279" spans="1:13" s="30" customFormat="1" ht="45" x14ac:dyDescent="0.25">
      <c r="A279" s="31" t="s">
        <v>3034</v>
      </c>
      <c r="B279" s="32" t="s">
        <v>1674</v>
      </c>
      <c r="C279" s="31" t="b">
        <v>1</v>
      </c>
      <c r="D279" s="31">
        <v>2</v>
      </c>
      <c r="E279" s="34" t="s">
        <v>3551</v>
      </c>
      <c r="F279" s="31" t="s">
        <v>3443</v>
      </c>
      <c r="G279" s="31" t="s">
        <v>3665</v>
      </c>
      <c r="H279" s="31" t="s">
        <v>3666</v>
      </c>
      <c r="I279" s="37" t="s">
        <v>3667</v>
      </c>
      <c r="J279" s="31" t="s">
        <v>2328</v>
      </c>
      <c r="K279" s="31" t="s">
        <v>404</v>
      </c>
      <c r="L279" s="30" t="s">
        <v>2232</v>
      </c>
      <c r="M279" s="31" t="s">
        <v>2328</v>
      </c>
    </row>
    <row r="280" spans="1:13" s="30" customFormat="1" ht="90" x14ac:dyDescent="0.25">
      <c r="A280" s="31" t="s">
        <v>3035</v>
      </c>
      <c r="B280" s="32" t="s">
        <v>1675</v>
      </c>
      <c r="C280" s="31" t="b">
        <v>0</v>
      </c>
      <c r="D280" s="31">
        <v>4</v>
      </c>
      <c r="E280" s="35" t="s">
        <v>1676</v>
      </c>
      <c r="F280" s="31" t="s">
        <v>131</v>
      </c>
      <c r="G280" s="31" t="s">
        <v>3665</v>
      </c>
      <c r="H280" s="31" t="s">
        <v>3666</v>
      </c>
      <c r="I280" s="37" t="s">
        <v>3667</v>
      </c>
      <c r="J280" s="31" t="s">
        <v>2328</v>
      </c>
      <c r="K280" s="31" t="s">
        <v>404</v>
      </c>
      <c r="L280" s="30" t="s">
        <v>2232</v>
      </c>
      <c r="M280" s="31" t="s">
        <v>2328</v>
      </c>
    </row>
    <row r="281" spans="1:13" s="30" customFormat="1" ht="45" x14ac:dyDescent="0.25">
      <c r="A281" s="31" t="s">
        <v>2328</v>
      </c>
      <c r="B281" s="32" t="s">
        <v>1677</v>
      </c>
      <c r="C281" s="31" t="b">
        <v>1</v>
      </c>
      <c r="D281" s="31">
        <v>0</v>
      </c>
      <c r="E281" s="33" t="s">
        <v>2369</v>
      </c>
      <c r="F281" s="31" t="s">
        <v>3443</v>
      </c>
      <c r="G281" s="31" t="s">
        <v>3665</v>
      </c>
      <c r="H281" s="31" t="s">
        <v>3666</v>
      </c>
      <c r="I281" s="37" t="s">
        <v>3667</v>
      </c>
      <c r="J281" s="31" t="s">
        <v>2328</v>
      </c>
      <c r="K281" s="31" t="s">
        <v>406</v>
      </c>
      <c r="L281" s="30" t="s">
        <v>2232</v>
      </c>
      <c r="M281" s="31" t="s">
        <v>2328</v>
      </c>
    </row>
    <row r="282" spans="1:13" s="30" customFormat="1" ht="45" x14ac:dyDescent="0.25">
      <c r="A282" s="31" t="s">
        <v>3036</v>
      </c>
      <c r="B282" s="32" t="s">
        <v>1680</v>
      </c>
      <c r="C282" s="31" t="b">
        <v>0</v>
      </c>
      <c r="D282" s="31">
        <v>4</v>
      </c>
      <c r="E282" s="35" t="s">
        <v>91</v>
      </c>
      <c r="F282" s="31" t="s">
        <v>131</v>
      </c>
      <c r="G282" s="31" t="s">
        <v>3665</v>
      </c>
      <c r="H282" s="31" t="s">
        <v>3666</v>
      </c>
      <c r="I282" s="37" t="s">
        <v>3667</v>
      </c>
      <c r="J282" s="31" t="s">
        <v>2328</v>
      </c>
      <c r="K282" s="31" t="s">
        <v>408</v>
      </c>
      <c r="L282" s="30" t="s">
        <v>2232</v>
      </c>
      <c r="M282" s="31" t="s">
        <v>2328</v>
      </c>
    </row>
    <row r="283" spans="1:13" s="30" customFormat="1" ht="45" x14ac:dyDescent="0.25">
      <c r="A283" s="31" t="s">
        <v>3037</v>
      </c>
      <c r="B283" s="32" t="s">
        <v>1681</v>
      </c>
      <c r="C283" s="31" t="b">
        <v>0</v>
      </c>
      <c r="D283" s="31">
        <v>4</v>
      </c>
      <c r="E283" s="35" t="s">
        <v>90</v>
      </c>
      <c r="F283" s="31" t="s">
        <v>131</v>
      </c>
      <c r="G283" s="31" t="s">
        <v>3665</v>
      </c>
      <c r="H283" s="31" t="s">
        <v>3666</v>
      </c>
      <c r="I283" s="37" t="s">
        <v>3667</v>
      </c>
      <c r="J283" s="31" t="s">
        <v>2328</v>
      </c>
      <c r="K283" s="31" t="s">
        <v>408</v>
      </c>
      <c r="L283" s="30" t="s">
        <v>2232</v>
      </c>
      <c r="M283" s="31" t="s">
        <v>2328</v>
      </c>
    </row>
    <row r="284" spans="1:13" s="30" customFormat="1" ht="45" x14ac:dyDescent="0.25">
      <c r="A284" s="31" t="s">
        <v>3038</v>
      </c>
      <c r="B284" s="32" t="s">
        <v>1682</v>
      </c>
      <c r="C284" s="31" t="b">
        <v>0</v>
      </c>
      <c r="D284" s="31">
        <v>4</v>
      </c>
      <c r="E284" s="35" t="s">
        <v>89</v>
      </c>
      <c r="F284" s="31" t="s">
        <v>131</v>
      </c>
      <c r="G284" s="31" t="s">
        <v>3665</v>
      </c>
      <c r="H284" s="31" t="s">
        <v>3666</v>
      </c>
      <c r="I284" s="37" t="s">
        <v>3667</v>
      </c>
      <c r="J284" s="31" t="s">
        <v>2328</v>
      </c>
      <c r="K284" s="31" t="s">
        <v>408</v>
      </c>
      <c r="L284" s="30" t="s">
        <v>2232</v>
      </c>
      <c r="M284" s="31" t="s">
        <v>2328</v>
      </c>
    </row>
    <row r="285" spans="1:13" s="30" customFormat="1" ht="45" x14ac:dyDescent="0.25">
      <c r="A285" s="31" t="s">
        <v>3039</v>
      </c>
      <c r="B285" s="32" t="s">
        <v>1683</v>
      </c>
      <c r="C285" s="31" t="b">
        <v>0</v>
      </c>
      <c r="D285" s="31">
        <v>4</v>
      </c>
      <c r="E285" s="35" t="s">
        <v>88</v>
      </c>
      <c r="F285" s="31" t="s">
        <v>131</v>
      </c>
      <c r="G285" s="31" t="s">
        <v>3665</v>
      </c>
      <c r="H285" s="31" t="s">
        <v>3666</v>
      </c>
      <c r="I285" s="37" t="s">
        <v>3667</v>
      </c>
      <c r="J285" s="31" t="s">
        <v>2328</v>
      </c>
      <c r="K285" s="31" t="s">
        <v>408</v>
      </c>
      <c r="L285" s="30" t="s">
        <v>2232</v>
      </c>
      <c r="M285" s="31" t="s">
        <v>2328</v>
      </c>
    </row>
    <row r="286" spans="1:13" s="30" customFormat="1" ht="45" x14ac:dyDescent="0.25">
      <c r="A286" s="31" t="s">
        <v>3040</v>
      </c>
      <c r="B286" s="32" t="s">
        <v>1684</v>
      </c>
      <c r="C286" s="31" t="b">
        <v>0</v>
      </c>
      <c r="D286" s="31">
        <v>4</v>
      </c>
      <c r="E286" s="35" t="s">
        <v>87</v>
      </c>
      <c r="F286" s="31" t="s">
        <v>131</v>
      </c>
      <c r="G286" s="31" t="s">
        <v>3665</v>
      </c>
      <c r="H286" s="31" t="s">
        <v>3666</v>
      </c>
      <c r="I286" s="37" t="s">
        <v>3667</v>
      </c>
      <c r="J286" s="31" t="s">
        <v>2328</v>
      </c>
      <c r="K286" s="31" t="s">
        <v>408</v>
      </c>
      <c r="L286" s="30" t="s">
        <v>2232</v>
      </c>
      <c r="M286" s="31" t="s">
        <v>2328</v>
      </c>
    </row>
    <row r="287" spans="1:13" s="30" customFormat="1" ht="45" x14ac:dyDescent="0.25">
      <c r="A287" s="31" t="s">
        <v>3041</v>
      </c>
      <c r="B287" s="32" t="s">
        <v>1688</v>
      </c>
      <c r="C287" s="31" t="b">
        <v>1</v>
      </c>
      <c r="D287" s="31">
        <v>2</v>
      </c>
      <c r="E287" s="34" t="s">
        <v>3356</v>
      </c>
      <c r="F287" s="31" t="s">
        <v>3443</v>
      </c>
      <c r="G287" s="31" t="s">
        <v>3665</v>
      </c>
      <c r="H287" s="31" t="s">
        <v>3666</v>
      </c>
      <c r="I287" s="37" t="s">
        <v>3667</v>
      </c>
      <c r="J287" s="31" t="s">
        <v>2328</v>
      </c>
      <c r="K287" s="31" t="s">
        <v>409</v>
      </c>
      <c r="L287" s="30" t="s">
        <v>2232</v>
      </c>
      <c r="M287" s="31" t="s">
        <v>2328</v>
      </c>
    </row>
    <row r="288" spans="1:13" s="30" customFormat="1" ht="45" x14ac:dyDescent="0.25">
      <c r="A288" s="31" t="s">
        <v>3042</v>
      </c>
      <c r="B288" s="32" t="s">
        <v>1690</v>
      </c>
      <c r="C288" s="31" t="b">
        <v>0</v>
      </c>
      <c r="D288" s="31">
        <v>4</v>
      </c>
      <c r="E288" s="35" t="s">
        <v>85</v>
      </c>
      <c r="F288" s="31" t="s">
        <v>131</v>
      </c>
      <c r="G288" s="31" t="s">
        <v>3665</v>
      </c>
      <c r="H288" s="31" t="s">
        <v>3666</v>
      </c>
      <c r="I288" s="37" t="s">
        <v>3667</v>
      </c>
      <c r="J288" s="31" t="s">
        <v>2328</v>
      </c>
      <c r="K288" s="31" t="s">
        <v>409</v>
      </c>
      <c r="L288" s="30" t="s">
        <v>2232</v>
      </c>
      <c r="M288" s="31" t="s">
        <v>2328</v>
      </c>
    </row>
    <row r="289" spans="1:13" s="30" customFormat="1" ht="45" x14ac:dyDescent="0.25">
      <c r="A289" s="31" t="s">
        <v>3043</v>
      </c>
      <c r="B289" s="32" t="s">
        <v>1692</v>
      </c>
      <c r="C289" s="31" t="b">
        <v>1</v>
      </c>
      <c r="D289" s="31">
        <v>2</v>
      </c>
      <c r="E289" s="34" t="s">
        <v>3357</v>
      </c>
      <c r="F289" s="31" t="s">
        <v>3443</v>
      </c>
      <c r="G289" s="31" t="s">
        <v>3665</v>
      </c>
      <c r="H289" s="31" t="s">
        <v>3666</v>
      </c>
      <c r="I289" s="37" t="s">
        <v>3667</v>
      </c>
      <c r="J289" s="31" t="s">
        <v>2328</v>
      </c>
      <c r="K289" s="31" t="s">
        <v>411</v>
      </c>
      <c r="L289" s="30" t="s">
        <v>2232</v>
      </c>
      <c r="M289" s="31" t="s">
        <v>2328</v>
      </c>
    </row>
    <row r="290" spans="1:13" s="30" customFormat="1" ht="60" x14ac:dyDescent="0.25">
      <c r="A290" s="31" t="s">
        <v>3044</v>
      </c>
      <c r="B290" s="32" t="s">
        <v>1696</v>
      </c>
      <c r="C290" s="31" t="b">
        <v>0</v>
      </c>
      <c r="D290" s="31">
        <v>6</v>
      </c>
      <c r="E290" s="38" t="s">
        <v>1697</v>
      </c>
      <c r="F290" s="31" t="s">
        <v>131</v>
      </c>
      <c r="G290" s="31" t="s">
        <v>3665</v>
      </c>
      <c r="H290" s="31" t="s">
        <v>3666</v>
      </c>
      <c r="I290" s="37" t="s">
        <v>3667</v>
      </c>
      <c r="J290" s="31" t="s">
        <v>2328</v>
      </c>
      <c r="K290" s="31" t="s">
        <v>411</v>
      </c>
      <c r="L290" s="30" t="s">
        <v>2232</v>
      </c>
      <c r="M290" s="31" t="s">
        <v>2328</v>
      </c>
    </row>
    <row r="291" spans="1:13" s="30" customFormat="1" ht="45" x14ac:dyDescent="0.25">
      <c r="A291" s="31" t="s">
        <v>3045</v>
      </c>
      <c r="B291" s="32" t="s">
        <v>1698</v>
      </c>
      <c r="C291" s="31" t="b">
        <v>0</v>
      </c>
      <c r="D291" s="31">
        <v>6</v>
      </c>
      <c r="E291" s="38" t="s">
        <v>1699</v>
      </c>
      <c r="F291" s="31" t="s">
        <v>131</v>
      </c>
      <c r="G291" s="31" t="s">
        <v>3665</v>
      </c>
      <c r="H291" s="31" t="s">
        <v>3666</v>
      </c>
      <c r="I291" s="37" t="s">
        <v>3667</v>
      </c>
      <c r="J291" s="31" t="s">
        <v>2328</v>
      </c>
      <c r="K291" s="31" t="s">
        <v>411</v>
      </c>
      <c r="L291" s="30" t="s">
        <v>2232</v>
      </c>
      <c r="M291" s="31" t="s">
        <v>2328</v>
      </c>
    </row>
    <row r="292" spans="1:13" s="30" customFormat="1" ht="45" x14ac:dyDescent="0.25">
      <c r="A292" s="31" t="s">
        <v>3046</v>
      </c>
      <c r="B292" s="32" t="s">
        <v>1700</v>
      </c>
      <c r="C292" s="31" t="b">
        <v>0</v>
      </c>
      <c r="D292" s="31">
        <v>6</v>
      </c>
      <c r="E292" s="38" t="s">
        <v>1701</v>
      </c>
      <c r="F292" s="31" t="s">
        <v>131</v>
      </c>
      <c r="G292" s="31" t="s">
        <v>3665</v>
      </c>
      <c r="H292" s="31" t="s">
        <v>3666</v>
      </c>
      <c r="I292" s="37" t="s">
        <v>3667</v>
      </c>
      <c r="J292" s="31" t="s">
        <v>2328</v>
      </c>
      <c r="K292" s="31" t="s">
        <v>411</v>
      </c>
      <c r="L292" s="30" t="s">
        <v>2232</v>
      </c>
      <c r="M292" s="31" t="s">
        <v>2328</v>
      </c>
    </row>
    <row r="293" spans="1:13" s="30" customFormat="1" ht="45" x14ac:dyDescent="0.25">
      <c r="A293" s="31" t="s">
        <v>3047</v>
      </c>
      <c r="B293" s="32" t="s">
        <v>1702</v>
      </c>
      <c r="C293" s="31" t="b">
        <v>0</v>
      </c>
      <c r="D293" s="31">
        <v>6</v>
      </c>
      <c r="E293" s="38" t="s">
        <v>11</v>
      </c>
      <c r="F293" s="31" t="s">
        <v>131</v>
      </c>
      <c r="G293" s="31" t="s">
        <v>3665</v>
      </c>
      <c r="H293" s="31" t="s">
        <v>3666</v>
      </c>
      <c r="I293" s="37" t="s">
        <v>3667</v>
      </c>
      <c r="J293" s="31" t="s">
        <v>2328</v>
      </c>
      <c r="K293" s="31" t="s">
        <v>411</v>
      </c>
      <c r="L293" s="30" t="s">
        <v>2232</v>
      </c>
      <c r="M293" s="31" t="s">
        <v>2328</v>
      </c>
    </row>
    <row r="294" spans="1:13" s="30" customFormat="1" ht="45" x14ac:dyDescent="0.25">
      <c r="A294" s="31" t="s">
        <v>2328</v>
      </c>
      <c r="B294" s="32" t="s">
        <v>1745</v>
      </c>
      <c r="C294" s="31" t="b">
        <v>1</v>
      </c>
      <c r="D294" s="31">
        <v>4</v>
      </c>
      <c r="E294" s="35" t="s">
        <v>3365</v>
      </c>
      <c r="F294" s="31" t="s">
        <v>3443</v>
      </c>
      <c r="G294" s="31" t="s">
        <v>3665</v>
      </c>
      <c r="H294" s="31" t="s">
        <v>3666</v>
      </c>
      <c r="I294" s="37" t="s">
        <v>3667</v>
      </c>
      <c r="J294" s="31" t="s">
        <v>2328</v>
      </c>
      <c r="K294" s="31" t="s">
        <v>125</v>
      </c>
      <c r="L294" s="30" t="s">
        <v>2232</v>
      </c>
      <c r="M294" s="31" t="s">
        <v>2328</v>
      </c>
    </row>
    <row r="295" spans="1:13" s="30" customFormat="1" ht="75" x14ac:dyDescent="0.25">
      <c r="A295" s="31" t="s">
        <v>3065</v>
      </c>
      <c r="B295" s="32" t="s">
        <v>1747</v>
      </c>
      <c r="C295" s="31" t="b">
        <v>0</v>
      </c>
      <c r="D295" s="31">
        <v>6</v>
      </c>
      <c r="E295" s="38" t="s">
        <v>2283</v>
      </c>
      <c r="F295" s="31" t="s">
        <v>131</v>
      </c>
      <c r="G295" s="31" t="s">
        <v>3665</v>
      </c>
      <c r="H295" s="31" t="s">
        <v>3666</v>
      </c>
      <c r="I295" s="37" t="s">
        <v>3667</v>
      </c>
      <c r="J295" s="31" t="s">
        <v>2328</v>
      </c>
      <c r="K295" s="31" t="s">
        <v>125</v>
      </c>
      <c r="L295" s="30" t="s">
        <v>2232</v>
      </c>
      <c r="M295" s="31" t="s">
        <v>2328</v>
      </c>
    </row>
    <row r="296" spans="1:13" s="30" customFormat="1" ht="45" x14ac:dyDescent="0.25">
      <c r="A296" s="31" t="s">
        <v>3066</v>
      </c>
      <c r="B296" s="32" t="s">
        <v>1748</v>
      </c>
      <c r="C296" s="31" t="b">
        <v>0</v>
      </c>
      <c r="D296" s="31">
        <v>6</v>
      </c>
      <c r="E296" s="38" t="s">
        <v>1749</v>
      </c>
      <c r="F296" s="31" t="s">
        <v>131</v>
      </c>
      <c r="G296" s="31" t="s">
        <v>3665</v>
      </c>
      <c r="H296" s="31" t="s">
        <v>3666</v>
      </c>
      <c r="I296" s="37" t="s">
        <v>3667</v>
      </c>
      <c r="J296" s="31" t="s">
        <v>2328</v>
      </c>
      <c r="K296" s="31" t="s">
        <v>125</v>
      </c>
      <c r="L296" s="30" t="s">
        <v>2232</v>
      </c>
      <c r="M296" s="31" t="s">
        <v>2328</v>
      </c>
    </row>
    <row r="297" spans="1:13" s="30" customFormat="1" ht="45" x14ac:dyDescent="0.25">
      <c r="A297" s="31" t="s">
        <v>3067</v>
      </c>
      <c r="B297" s="32" t="s">
        <v>1750</v>
      </c>
      <c r="C297" s="31" t="b">
        <v>0</v>
      </c>
      <c r="D297" s="31">
        <v>6</v>
      </c>
      <c r="E297" s="38" t="s">
        <v>1751</v>
      </c>
      <c r="F297" s="31" t="s">
        <v>131</v>
      </c>
      <c r="G297" s="31" t="s">
        <v>3665</v>
      </c>
      <c r="H297" s="31" t="s">
        <v>3666</v>
      </c>
      <c r="I297" s="37" t="s">
        <v>3667</v>
      </c>
      <c r="J297" s="31" t="s">
        <v>2328</v>
      </c>
      <c r="K297" s="31" t="s">
        <v>125</v>
      </c>
      <c r="L297" s="30" t="s">
        <v>2232</v>
      </c>
      <c r="M297" s="31" t="s">
        <v>2328</v>
      </c>
    </row>
    <row r="298" spans="1:13" s="30" customFormat="1" ht="45" x14ac:dyDescent="0.25">
      <c r="A298" s="31" t="s">
        <v>3068</v>
      </c>
      <c r="B298" s="32" t="s">
        <v>1752</v>
      </c>
      <c r="C298" s="31" t="b">
        <v>0</v>
      </c>
      <c r="D298" s="31">
        <v>6</v>
      </c>
      <c r="E298" s="38" t="s">
        <v>1753</v>
      </c>
      <c r="F298" s="31" t="s">
        <v>131</v>
      </c>
      <c r="G298" s="31" t="s">
        <v>3665</v>
      </c>
      <c r="H298" s="31" t="s">
        <v>3666</v>
      </c>
      <c r="I298" s="37" t="s">
        <v>3667</v>
      </c>
      <c r="J298" s="31" t="s">
        <v>2328</v>
      </c>
      <c r="K298" s="31" t="s">
        <v>125</v>
      </c>
      <c r="L298" s="30" t="s">
        <v>2232</v>
      </c>
      <c r="M298" s="31" t="s">
        <v>2328</v>
      </c>
    </row>
    <row r="299" spans="1:13" s="30" customFormat="1" ht="45" x14ac:dyDescent="0.25">
      <c r="A299" s="31" t="s">
        <v>2328</v>
      </c>
      <c r="B299" s="32" t="s">
        <v>1754</v>
      </c>
      <c r="C299" s="31" t="b">
        <v>0</v>
      </c>
      <c r="D299" s="31">
        <v>6</v>
      </c>
      <c r="E299" s="38" t="s">
        <v>1755</v>
      </c>
      <c r="F299" s="31" t="s">
        <v>139</v>
      </c>
      <c r="G299" s="31" t="s">
        <v>3665</v>
      </c>
      <c r="H299" s="31" t="s">
        <v>3666</v>
      </c>
      <c r="I299" s="37" t="s">
        <v>3667</v>
      </c>
      <c r="J299" s="31" t="s">
        <v>2328</v>
      </c>
      <c r="K299" s="31" t="s">
        <v>125</v>
      </c>
      <c r="L299" s="30" t="s">
        <v>2232</v>
      </c>
      <c r="M299" s="31" t="s">
        <v>2328</v>
      </c>
    </row>
    <row r="300" spans="1:13" s="30" customFormat="1" ht="45" x14ac:dyDescent="0.25">
      <c r="A300" s="31" t="s">
        <v>3069</v>
      </c>
      <c r="B300" s="32" t="s">
        <v>1756</v>
      </c>
      <c r="C300" s="31" t="b">
        <v>0</v>
      </c>
      <c r="D300" s="31">
        <v>6</v>
      </c>
      <c r="E300" s="38" t="s">
        <v>1757</v>
      </c>
      <c r="F300" s="31" t="s">
        <v>131</v>
      </c>
      <c r="G300" s="31" t="s">
        <v>3665</v>
      </c>
      <c r="H300" s="31" t="s">
        <v>3666</v>
      </c>
      <c r="I300" s="37" t="s">
        <v>3667</v>
      </c>
      <c r="J300" s="31" t="s">
        <v>2328</v>
      </c>
      <c r="K300" s="31" t="s">
        <v>125</v>
      </c>
      <c r="L300" s="30" t="s">
        <v>2232</v>
      </c>
      <c r="M300" s="31" t="s">
        <v>2328</v>
      </c>
    </row>
    <row r="301" spans="1:13" s="30" customFormat="1" ht="60" x14ac:dyDescent="0.25">
      <c r="A301" s="31" t="s">
        <v>3070</v>
      </c>
      <c r="B301" s="32" t="s">
        <v>1758</v>
      </c>
      <c r="C301" s="31" t="b">
        <v>0</v>
      </c>
      <c r="D301" s="31">
        <v>6</v>
      </c>
      <c r="E301" s="38" t="s">
        <v>3323</v>
      </c>
      <c r="F301" s="31" t="s">
        <v>131</v>
      </c>
      <c r="G301" s="31" t="s">
        <v>3665</v>
      </c>
      <c r="H301" s="31" t="s">
        <v>3666</v>
      </c>
      <c r="I301" s="37" t="s">
        <v>3667</v>
      </c>
      <c r="J301" s="31" t="s">
        <v>2328</v>
      </c>
      <c r="K301" s="31" t="s">
        <v>125</v>
      </c>
      <c r="L301" s="30" t="s">
        <v>2232</v>
      </c>
      <c r="M301" s="31" t="s">
        <v>2328</v>
      </c>
    </row>
    <row r="302" spans="1:13" s="30" customFormat="1" ht="75" x14ac:dyDescent="0.25">
      <c r="A302" s="31" t="s">
        <v>3071</v>
      </c>
      <c r="B302" s="32" t="s">
        <v>1759</v>
      </c>
      <c r="C302" s="31" t="b">
        <v>0</v>
      </c>
      <c r="D302" s="31">
        <v>6</v>
      </c>
      <c r="E302" s="38" t="s">
        <v>3324</v>
      </c>
      <c r="F302" s="31" t="s">
        <v>131</v>
      </c>
      <c r="G302" s="31" t="s">
        <v>3665</v>
      </c>
      <c r="H302" s="31" t="s">
        <v>3666</v>
      </c>
      <c r="I302" s="37" t="s">
        <v>3667</v>
      </c>
      <c r="J302" s="31" t="s">
        <v>2328</v>
      </c>
      <c r="K302" s="31" t="s">
        <v>125</v>
      </c>
      <c r="L302" s="30" t="s">
        <v>2232</v>
      </c>
      <c r="M302" s="31" t="s">
        <v>2328</v>
      </c>
    </row>
    <row r="303" spans="1:13" s="30" customFormat="1" ht="45" x14ac:dyDescent="0.25">
      <c r="A303" s="31" t="s">
        <v>3072</v>
      </c>
      <c r="B303" s="32" t="s">
        <v>1760</v>
      </c>
      <c r="C303" s="31" t="b">
        <v>0</v>
      </c>
      <c r="D303" s="31">
        <v>6</v>
      </c>
      <c r="E303" s="38" t="s">
        <v>1761</v>
      </c>
      <c r="F303" s="31" t="s">
        <v>131</v>
      </c>
      <c r="G303" s="31" t="s">
        <v>3665</v>
      </c>
      <c r="H303" s="31" t="s">
        <v>3666</v>
      </c>
      <c r="I303" s="37" t="s">
        <v>3667</v>
      </c>
      <c r="J303" s="31" t="s">
        <v>2328</v>
      </c>
      <c r="K303" s="31" t="s">
        <v>125</v>
      </c>
      <c r="L303" s="30" t="s">
        <v>2232</v>
      </c>
      <c r="M303" s="31" t="s">
        <v>2328</v>
      </c>
    </row>
    <row r="304" spans="1:13" s="30" customFormat="1" ht="45" x14ac:dyDescent="0.25">
      <c r="A304" s="31" t="s">
        <v>3073</v>
      </c>
      <c r="B304" s="32" t="s">
        <v>1762</v>
      </c>
      <c r="C304" s="31" t="b">
        <v>0</v>
      </c>
      <c r="D304" s="31">
        <v>6</v>
      </c>
      <c r="E304" s="38" t="s">
        <v>1763</v>
      </c>
      <c r="F304" s="31" t="s">
        <v>131</v>
      </c>
      <c r="G304" s="31" t="s">
        <v>3665</v>
      </c>
      <c r="H304" s="31" t="s">
        <v>3666</v>
      </c>
      <c r="I304" s="37" t="s">
        <v>3667</v>
      </c>
      <c r="J304" s="31" t="s">
        <v>2328</v>
      </c>
      <c r="K304" s="31" t="s">
        <v>125</v>
      </c>
      <c r="L304" s="30" t="s">
        <v>2232</v>
      </c>
      <c r="M304" s="31" t="s">
        <v>2328</v>
      </c>
    </row>
    <row r="305" spans="1:13" s="30" customFormat="1" ht="45" x14ac:dyDescent="0.25">
      <c r="A305" s="31" t="s">
        <v>3074</v>
      </c>
      <c r="B305" s="32" t="s">
        <v>1764</v>
      </c>
      <c r="C305" s="31" t="b">
        <v>0</v>
      </c>
      <c r="D305" s="31">
        <v>6</v>
      </c>
      <c r="E305" s="38" t="s">
        <v>1765</v>
      </c>
      <c r="F305" s="31" t="s">
        <v>131</v>
      </c>
      <c r="G305" s="31" t="s">
        <v>3665</v>
      </c>
      <c r="H305" s="31" t="s">
        <v>3666</v>
      </c>
      <c r="I305" s="37" t="s">
        <v>3667</v>
      </c>
      <c r="J305" s="31" t="s">
        <v>2328</v>
      </c>
      <c r="K305" s="31" t="s">
        <v>125</v>
      </c>
      <c r="L305" s="30" t="s">
        <v>2232</v>
      </c>
      <c r="M305" s="31" t="s">
        <v>2328</v>
      </c>
    </row>
    <row r="306" spans="1:13" s="30" customFormat="1" ht="45" x14ac:dyDescent="0.25">
      <c r="A306" s="31" t="s">
        <v>2328</v>
      </c>
      <c r="B306" s="32" t="s">
        <v>1703</v>
      </c>
      <c r="C306" s="31" t="b">
        <v>1</v>
      </c>
      <c r="D306" s="31">
        <v>4</v>
      </c>
      <c r="E306" s="35" t="s">
        <v>3359</v>
      </c>
      <c r="F306" s="31" t="s">
        <v>3443</v>
      </c>
      <c r="G306" s="31" t="s">
        <v>3665</v>
      </c>
      <c r="H306" s="31" t="s">
        <v>3666</v>
      </c>
      <c r="I306" s="37" t="s">
        <v>3667</v>
      </c>
      <c r="J306" s="31" t="s">
        <v>2328</v>
      </c>
      <c r="K306" s="31" t="s">
        <v>411</v>
      </c>
      <c r="L306" s="30" t="s">
        <v>2232</v>
      </c>
      <c r="M306" s="31" t="s">
        <v>2328</v>
      </c>
    </row>
    <row r="307" spans="1:13" s="30" customFormat="1" ht="75" x14ac:dyDescent="0.25">
      <c r="A307" s="31" t="s">
        <v>3048</v>
      </c>
      <c r="B307" s="32" t="s">
        <v>1705</v>
      </c>
      <c r="C307" s="31" t="b">
        <v>0</v>
      </c>
      <c r="D307" s="31">
        <v>6</v>
      </c>
      <c r="E307" s="38" t="s">
        <v>2282</v>
      </c>
      <c r="F307" s="31" t="s">
        <v>131</v>
      </c>
      <c r="G307" s="31" t="s">
        <v>3665</v>
      </c>
      <c r="H307" s="31" t="s">
        <v>3666</v>
      </c>
      <c r="I307" s="37" t="s">
        <v>3667</v>
      </c>
      <c r="J307" s="31" t="s">
        <v>2328</v>
      </c>
      <c r="K307" s="31" t="s">
        <v>411</v>
      </c>
      <c r="L307" s="30" t="s">
        <v>2232</v>
      </c>
      <c r="M307" s="31" t="s">
        <v>2328</v>
      </c>
    </row>
    <row r="308" spans="1:13" s="30" customFormat="1" ht="45" x14ac:dyDescent="0.25">
      <c r="A308" s="31" t="s">
        <v>3049</v>
      </c>
      <c r="B308" s="32" t="s">
        <v>1706</v>
      </c>
      <c r="C308" s="31" t="b">
        <v>0</v>
      </c>
      <c r="D308" s="31">
        <v>6</v>
      </c>
      <c r="E308" s="38" t="s">
        <v>10</v>
      </c>
      <c r="F308" s="31" t="s">
        <v>131</v>
      </c>
      <c r="G308" s="31" t="s">
        <v>3665</v>
      </c>
      <c r="H308" s="31" t="s">
        <v>3666</v>
      </c>
      <c r="I308" s="37" t="s">
        <v>3667</v>
      </c>
      <c r="J308" s="31" t="s">
        <v>2328</v>
      </c>
      <c r="K308" s="31" t="s">
        <v>411</v>
      </c>
      <c r="L308" s="30" t="s">
        <v>2232</v>
      </c>
      <c r="M308" s="31" t="s">
        <v>2328</v>
      </c>
    </row>
    <row r="309" spans="1:13" s="30" customFormat="1" ht="45" x14ac:dyDescent="0.25">
      <c r="A309" s="31" t="s">
        <v>3050</v>
      </c>
      <c r="B309" s="32" t="s">
        <v>1707</v>
      </c>
      <c r="C309" s="31" t="b">
        <v>0</v>
      </c>
      <c r="D309" s="31">
        <v>6</v>
      </c>
      <c r="E309" s="38" t="s">
        <v>1708</v>
      </c>
      <c r="F309" s="31" t="s">
        <v>131</v>
      </c>
      <c r="G309" s="31" t="s">
        <v>3665</v>
      </c>
      <c r="H309" s="31" t="s">
        <v>3666</v>
      </c>
      <c r="I309" s="37" t="s">
        <v>3667</v>
      </c>
      <c r="J309" s="31" t="s">
        <v>2328</v>
      </c>
      <c r="K309" s="31" t="s">
        <v>411</v>
      </c>
      <c r="L309" s="30" t="s">
        <v>2232</v>
      </c>
      <c r="M309" s="31" t="s">
        <v>2328</v>
      </c>
    </row>
    <row r="310" spans="1:13" s="30" customFormat="1" ht="45" x14ac:dyDescent="0.25">
      <c r="A310" s="31" t="s">
        <v>2328</v>
      </c>
      <c r="B310" s="32" t="s">
        <v>1709</v>
      </c>
      <c r="C310" s="31" t="b">
        <v>1</v>
      </c>
      <c r="D310" s="31">
        <v>4</v>
      </c>
      <c r="E310" s="35" t="s">
        <v>3360</v>
      </c>
      <c r="F310" s="31" t="s">
        <v>3443</v>
      </c>
      <c r="G310" s="31" t="s">
        <v>3665</v>
      </c>
      <c r="H310" s="31" t="s">
        <v>3666</v>
      </c>
      <c r="I310" s="37" t="s">
        <v>3667</v>
      </c>
      <c r="J310" s="31" t="s">
        <v>2328</v>
      </c>
      <c r="K310" s="31" t="s">
        <v>411</v>
      </c>
      <c r="L310" s="30" t="s">
        <v>2232</v>
      </c>
      <c r="M310" s="31" t="s">
        <v>2328</v>
      </c>
    </row>
    <row r="311" spans="1:13" s="30" customFormat="1" ht="45" x14ac:dyDescent="0.25">
      <c r="A311" s="31" t="s">
        <v>3051</v>
      </c>
      <c r="B311" s="32" t="s">
        <v>1711</v>
      </c>
      <c r="C311" s="31" t="b">
        <v>0</v>
      </c>
      <c r="D311" s="31">
        <v>6</v>
      </c>
      <c r="E311" s="38" t="s">
        <v>1712</v>
      </c>
      <c r="F311" s="31" t="s">
        <v>131</v>
      </c>
      <c r="G311" s="31" t="s">
        <v>3665</v>
      </c>
      <c r="H311" s="31" t="s">
        <v>3666</v>
      </c>
      <c r="I311" s="37" t="s">
        <v>3667</v>
      </c>
      <c r="J311" s="31" t="s">
        <v>2328</v>
      </c>
      <c r="K311" s="31" t="s">
        <v>411</v>
      </c>
      <c r="L311" s="30" t="s">
        <v>2232</v>
      </c>
      <c r="M311" s="31" t="s">
        <v>2328</v>
      </c>
    </row>
    <row r="312" spans="1:13" s="30" customFormat="1" ht="45" x14ac:dyDescent="0.25">
      <c r="A312" s="31" t="s">
        <v>3052</v>
      </c>
      <c r="B312" s="32" t="s">
        <v>1713</v>
      </c>
      <c r="C312" s="31" t="b">
        <v>0</v>
      </c>
      <c r="D312" s="31">
        <v>6</v>
      </c>
      <c r="E312" s="38" t="s">
        <v>1714</v>
      </c>
      <c r="F312" s="31" t="s">
        <v>131</v>
      </c>
      <c r="G312" s="31" t="s">
        <v>3665</v>
      </c>
      <c r="H312" s="31" t="s">
        <v>3666</v>
      </c>
      <c r="I312" s="37" t="s">
        <v>3667</v>
      </c>
      <c r="J312" s="31" t="s">
        <v>2328</v>
      </c>
      <c r="K312" s="31" t="s">
        <v>411</v>
      </c>
      <c r="L312" s="30" t="s">
        <v>2232</v>
      </c>
      <c r="M312" s="31" t="s">
        <v>2328</v>
      </c>
    </row>
    <row r="313" spans="1:13" s="30" customFormat="1" ht="45" x14ac:dyDescent="0.25">
      <c r="A313" s="31" t="s">
        <v>2328</v>
      </c>
      <c r="B313" s="32" t="s">
        <v>1715</v>
      </c>
      <c r="C313" s="31" t="b">
        <v>1</v>
      </c>
      <c r="D313" s="31">
        <v>4</v>
      </c>
      <c r="E313" s="35" t="s">
        <v>3361</v>
      </c>
      <c r="F313" s="31" t="s">
        <v>3443</v>
      </c>
      <c r="G313" s="31" t="s">
        <v>3665</v>
      </c>
      <c r="H313" s="31" t="s">
        <v>3666</v>
      </c>
      <c r="I313" s="37" t="s">
        <v>3667</v>
      </c>
      <c r="J313" s="31" t="s">
        <v>2328</v>
      </c>
      <c r="K313" s="31" t="s">
        <v>411</v>
      </c>
      <c r="L313" s="30" t="s">
        <v>2232</v>
      </c>
      <c r="M313" s="31" t="s">
        <v>2328</v>
      </c>
    </row>
    <row r="314" spans="1:13" s="30" customFormat="1" ht="45" x14ac:dyDescent="0.25">
      <c r="A314" s="31" t="s">
        <v>3053</v>
      </c>
      <c r="B314" s="32" t="s">
        <v>1717</v>
      </c>
      <c r="C314" s="31" t="b">
        <v>0</v>
      </c>
      <c r="D314" s="31">
        <v>6</v>
      </c>
      <c r="E314" s="38" t="s">
        <v>27</v>
      </c>
      <c r="F314" s="31" t="s">
        <v>131</v>
      </c>
      <c r="G314" s="31" t="s">
        <v>3665</v>
      </c>
      <c r="H314" s="31" t="s">
        <v>3666</v>
      </c>
      <c r="I314" s="37" t="s">
        <v>3667</v>
      </c>
      <c r="J314" s="31" t="s">
        <v>2328</v>
      </c>
      <c r="K314" s="31" t="s">
        <v>411</v>
      </c>
      <c r="L314" s="30" t="s">
        <v>2232</v>
      </c>
      <c r="M314" s="31" t="s">
        <v>2328</v>
      </c>
    </row>
    <row r="315" spans="1:13" s="30" customFormat="1" ht="45" x14ac:dyDescent="0.25">
      <c r="A315" s="31" t="s">
        <v>3054</v>
      </c>
      <c r="B315" s="32" t="s">
        <v>1718</v>
      </c>
      <c r="C315" s="31" t="b">
        <v>0</v>
      </c>
      <c r="D315" s="31">
        <v>6</v>
      </c>
      <c r="E315" s="38" t="s">
        <v>1719</v>
      </c>
      <c r="F315" s="31" t="s">
        <v>131</v>
      </c>
      <c r="G315" s="31" t="s">
        <v>3665</v>
      </c>
      <c r="H315" s="31" t="s">
        <v>3666</v>
      </c>
      <c r="I315" s="37" t="s">
        <v>3667</v>
      </c>
      <c r="J315" s="31" t="s">
        <v>2328</v>
      </c>
      <c r="K315" s="31" t="s">
        <v>411</v>
      </c>
      <c r="L315" s="30" t="s">
        <v>2232</v>
      </c>
      <c r="M315" s="31" t="s">
        <v>2328</v>
      </c>
    </row>
    <row r="316" spans="1:13" s="30" customFormat="1" ht="45" x14ac:dyDescent="0.25">
      <c r="A316" s="31" t="s">
        <v>3055</v>
      </c>
      <c r="B316" s="32" t="s">
        <v>1720</v>
      </c>
      <c r="C316" s="31" t="b">
        <v>0</v>
      </c>
      <c r="D316" s="31">
        <v>6</v>
      </c>
      <c r="E316" s="38" t="s">
        <v>1721</v>
      </c>
      <c r="F316" s="31" t="s">
        <v>131</v>
      </c>
      <c r="G316" s="31" t="s">
        <v>3665</v>
      </c>
      <c r="H316" s="31" t="s">
        <v>3666</v>
      </c>
      <c r="I316" s="37" t="s">
        <v>3667</v>
      </c>
      <c r="J316" s="31" t="s">
        <v>2328</v>
      </c>
      <c r="K316" s="31" t="s">
        <v>411</v>
      </c>
      <c r="L316" s="30" t="s">
        <v>2232</v>
      </c>
      <c r="M316" s="31" t="s">
        <v>2328</v>
      </c>
    </row>
    <row r="317" spans="1:13" s="30" customFormat="1" ht="409.5" x14ac:dyDescent="0.25">
      <c r="A317" s="31" t="s">
        <v>3056</v>
      </c>
      <c r="B317" s="32" t="s">
        <v>1722</v>
      </c>
      <c r="C317" s="31" t="b">
        <v>0</v>
      </c>
      <c r="D317" s="31">
        <v>6</v>
      </c>
      <c r="E317" s="38" t="s">
        <v>3567</v>
      </c>
      <c r="F317" s="31" t="s">
        <v>131</v>
      </c>
      <c r="G317" s="31" t="s">
        <v>3665</v>
      </c>
      <c r="H317" s="31" t="s">
        <v>3666</v>
      </c>
      <c r="I317" s="37" t="s">
        <v>3667</v>
      </c>
      <c r="J317" s="31" t="s">
        <v>2328</v>
      </c>
      <c r="K317" s="31" t="s">
        <v>411</v>
      </c>
      <c r="L317" s="30" t="s">
        <v>2232</v>
      </c>
      <c r="M317" s="31" t="s">
        <v>2328</v>
      </c>
    </row>
    <row r="318" spans="1:13" s="30" customFormat="1" ht="45" x14ac:dyDescent="0.25">
      <c r="A318" s="31" t="s">
        <v>2328</v>
      </c>
      <c r="B318" s="32" t="s">
        <v>1723</v>
      </c>
      <c r="C318" s="31" t="b">
        <v>1</v>
      </c>
      <c r="D318" s="31">
        <v>4</v>
      </c>
      <c r="E318" s="35" t="s">
        <v>3362</v>
      </c>
      <c r="F318" s="31" t="s">
        <v>3443</v>
      </c>
      <c r="G318" s="31" t="s">
        <v>3665</v>
      </c>
      <c r="H318" s="31" t="s">
        <v>3666</v>
      </c>
      <c r="I318" s="37" t="s">
        <v>3667</v>
      </c>
      <c r="J318" s="31" t="s">
        <v>2328</v>
      </c>
      <c r="K318" s="31" t="s">
        <v>411</v>
      </c>
      <c r="L318" s="30" t="s">
        <v>2232</v>
      </c>
      <c r="M318" s="31" t="s">
        <v>2328</v>
      </c>
    </row>
    <row r="319" spans="1:13" s="30" customFormat="1" ht="45" x14ac:dyDescent="0.25">
      <c r="A319" s="31" t="s">
        <v>3057</v>
      </c>
      <c r="B319" s="32" t="s">
        <v>1725</v>
      </c>
      <c r="C319" s="31" t="b">
        <v>0</v>
      </c>
      <c r="D319" s="31">
        <v>6</v>
      </c>
      <c r="E319" s="38" t="s">
        <v>1726</v>
      </c>
      <c r="F319" s="31" t="s">
        <v>131</v>
      </c>
      <c r="G319" s="31" t="s">
        <v>3665</v>
      </c>
      <c r="H319" s="31" t="s">
        <v>3666</v>
      </c>
      <c r="I319" s="37" t="s">
        <v>3667</v>
      </c>
      <c r="J319" s="31" t="s">
        <v>2328</v>
      </c>
      <c r="K319" s="31" t="s">
        <v>411</v>
      </c>
      <c r="L319" s="30" t="s">
        <v>2232</v>
      </c>
      <c r="M319" s="31" t="s">
        <v>2328</v>
      </c>
    </row>
    <row r="320" spans="1:13" s="30" customFormat="1" ht="45" x14ac:dyDescent="0.25">
      <c r="A320" s="31" t="s">
        <v>3058</v>
      </c>
      <c r="B320" s="32" t="s">
        <v>1727</v>
      </c>
      <c r="C320" s="31" t="b">
        <v>0</v>
      </c>
      <c r="D320" s="31">
        <v>6</v>
      </c>
      <c r="E320" s="38" t="s">
        <v>1728</v>
      </c>
      <c r="F320" s="31" t="s">
        <v>131</v>
      </c>
      <c r="G320" s="31" t="s">
        <v>3665</v>
      </c>
      <c r="H320" s="31" t="s">
        <v>3666</v>
      </c>
      <c r="I320" s="37" t="s">
        <v>3667</v>
      </c>
      <c r="J320" s="31" t="s">
        <v>2328</v>
      </c>
      <c r="K320" s="31" t="s">
        <v>411</v>
      </c>
      <c r="L320" s="30" t="s">
        <v>2232</v>
      </c>
      <c r="M320" s="31" t="s">
        <v>2328</v>
      </c>
    </row>
    <row r="321" spans="1:13" s="30" customFormat="1" ht="45" x14ac:dyDescent="0.25">
      <c r="A321" s="31" t="s">
        <v>3059</v>
      </c>
      <c r="B321" s="32" t="s">
        <v>1729</v>
      </c>
      <c r="C321" s="31" t="b">
        <v>0</v>
      </c>
      <c r="D321" s="31">
        <v>6</v>
      </c>
      <c r="E321" s="38" t="s">
        <v>1730</v>
      </c>
      <c r="F321" s="31" t="s">
        <v>131</v>
      </c>
      <c r="G321" s="31" t="s">
        <v>3665</v>
      </c>
      <c r="H321" s="31" t="s">
        <v>3666</v>
      </c>
      <c r="I321" s="37" t="s">
        <v>3667</v>
      </c>
      <c r="J321" s="31" t="s">
        <v>2328</v>
      </c>
      <c r="K321" s="31" t="s">
        <v>411</v>
      </c>
      <c r="L321" s="30" t="s">
        <v>2232</v>
      </c>
      <c r="M321" s="31" t="s">
        <v>2328</v>
      </c>
    </row>
    <row r="322" spans="1:13" s="30" customFormat="1" ht="45" x14ac:dyDescent="0.25">
      <c r="A322" s="31" t="s">
        <v>3060</v>
      </c>
      <c r="B322" s="32" t="s">
        <v>1731</v>
      </c>
      <c r="C322" s="31" t="b">
        <v>0</v>
      </c>
      <c r="D322" s="31">
        <v>6</v>
      </c>
      <c r="E322" s="38" t="s">
        <v>1732</v>
      </c>
      <c r="F322" s="31" t="s">
        <v>131</v>
      </c>
      <c r="G322" s="31" t="s">
        <v>3665</v>
      </c>
      <c r="H322" s="31" t="s">
        <v>3666</v>
      </c>
      <c r="I322" s="37" t="s">
        <v>3667</v>
      </c>
      <c r="J322" s="31" t="s">
        <v>2328</v>
      </c>
      <c r="K322" s="31" t="s">
        <v>411</v>
      </c>
      <c r="L322" s="30" t="s">
        <v>2232</v>
      </c>
      <c r="M322" s="31" t="s">
        <v>2328</v>
      </c>
    </row>
    <row r="323" spans="1:13" s="30" customFormat="1" ht="45" x14ac:dyDescent="0.25">
      <c r="A323" s="31" t="s">
        <v>3061</v>
      </c>
      <c r="B323" s="32" t="s">
        <v>1733</v>
      </c>
      <c r="C323" s="31" t="b">
        <v>0</v>
      </c>
      <c r="D323" s="31">
        <v>6</v>
      </c>
      <c r="E323" s="38" t="s">
        <v>1734</v>
      </c>
      <c r="F323" s="31" t="s">
        <v>131</v>
      </c>
      <c r="G323" s="31" t="s">
        <v>3665</v>
      </c>
      <c r="H323" s="31" t="s">
        <v>3666</v>
      </c>
      <c r="I323" s="37" t="s">
        <v>3667</v>
      </c>
      <c r="J323" s="31" t="s">
        <v>2328</v>
      </c>
      <c r="K323" s="31" t="s">
        <v>411</v>
      </c>
      <c r="L323" s="30" t="s">
        <v>2232</v>
      </c>
      <c r="M323" s="31" t="s">
        <v>2328</v>
      </c>
    </row>
    <row r="324" spans="1:13" s="30" customFormat="1" ht="45" x14ac:dyDescent="0.25">
      <c r="A324" s="31" t="s">
        <v>3062</v>
      </c>
      <c r="B324" s="32" t="s">
        <v>1735</v>
      </c>
      <c r="C324" s="31" t="b">
        <v>0</v>
      </c>
      <c r="D324" s="31">
        <v>6</v>
      </c>
      <c r="E324" s="38" t="s">
        <v>1736</v>
      </c>
      <c r="F324" s="31" t="s">
        <v>131</v>
      </c>
      <c r="G324" s="31" t="s">
        <v>3665</v>
      </c>
      <c r="H324" s="31" t="s">
        <v>3666</v>
      </c>
      <c r="I324" s="37" t="s">
        <v>3667</v>
      </c>
      <c r="J324" s="31" t="s">
        <v>2328</v>
      </c>
      <c r="K324" s="31" t="s">
        <v>411</v>
      </c>
      <c r="L324" s="30" t="s">
        <v>2232</v>
      </c>
      <c r="M324" s="31" t="s">
        <v>2328</v>
      </c>
    </row>
    <row r="325" spans="1:13" s="30" customFormat="1" ht="45" x14ac:dyDescent="0.25">
      <c r="A325" s="31" t="s">
        <v>2328</v>
      </c>
      <c r="B325" s="32" t="s">
        <v>1737</v>
      </c>
      <c r="C325" s="31" t="b">
        <v>1</v>
      </c>
      <c r="D325" s="31">
        <v>4</v>
      </c>
      <c r="E325" s="35" t="s">
        <v>3363</v>
      </c>
      <c r="F325" s="31" t="s">
        <v>3443</v>
      </c>
      <c r="G325" s="31" t="s">
        <v>3665</v>
      </c>
      <c r="H325" s="31" t="s">
        <v>3666</v>
      </c>
      <c r="I325" s="37" t="s">
        <v>3667</v>
      </c>
      <c r="J325" s="31" t="s">
        <v>2328</v>
      </c>
      <c r="K325" s="31" t="s">
        <v>411</v>
      </c>
      <c r="L325" s="30" t="s">
        <v>2232</v>
      </c>
      <c r="M325" s="31" t="s">
        <v>2328</v>
      </c>
    </row>
    <row r="326" spans="1:13" s="30" customFormat="1" ht="45" x14ac:dyDescent="0.25">
      <c r="A326" s="31" t="s">
        <v>3063</v>
      </c>
      <c r="B326" s="32" t="s">
        <v>1739</v>
      </c>
      <c r="C326" s="31" t="b">
        <v>0</v>
      </c>
      <c r="D326" s="31">
        <v>6</v>
      </c>
      <c r="E326" s="38" t="s">
        <v>1740</v>
      </c>
      <c r="F326" s="31" t="s">
        <v>131</v>
      </c>
      <c r="G326" s="31" t="s">
        <v>3665</v>
      </c>
      <c r="H326" s="31" t="s">
        <v>3666</v>
      </c>
      <c r="I326" s="37" t="s">
        <v>3667</v>
      </c>
      <c r="J326" s="31" t="s">
        <v>2328</v>
      </c>
      <c r="K326" s="31" t="s">
        <v>411</v>
      </c>
      <c r="L326" s="30" t="s">
        <v>2232</v>
      </c>
      <c r="M326" s="31" t="s">
        <v>2328</v>
      </c>
    </row>
    <row r="327" spans="1:13" s="30" customFormat="1" ht="45" x14ac:dyDescent="0.25">
      <c r="A327" s="31" t="s">
        <v>2328</v>
      </c>
      <c r="B327" s="32" t="s">
        <v>1741</v>
      </c>
      <c r="C327" s="31" t="b">
        <v>1</v>
      </c>
      <c r="D327" s="31">
        <v>4</v>
      </c>
      <c r="E327" s="35" t="s">
        <v>3364</v>
      </c>
      <c r="F327" s="31" t="s">
        <v>3443</v>
      </c>
      <c r="G327" s="31" t="s">
        <v>3665</v>
      </c>
      <c r="H327" s="31" t="s">
        <v>3666</v>
      </c>
      <c r="I327" s="37" t="s">
        <v>3667</v>
      </c>
      <c r="J327" s="31" t="s">
        <v>2328</v>
      </c>
      <c r="K327" s="31" t="s">
        <v>411</v>
      </c>
      <c r="L327" s="30" t="s">
        <v>2232</v>
      </c>
      <c r="M327" s="31" t="s">
        <v>2328</v>
      </c>
    </row>
    <row r="328" spans="1:13" s="30" customFormat="1" ht="45" x14ac:dyDescent="0.25">
      <c r="A328" s="31" t="s">
        <v>3064</v>
      </c>
      <c r="B328" s="32" t="s">
        <v>1743</v>
      </c>
      <c r="C328" s="31" t="b">
        <v>0</v>
      </c>
      <c r="D328" s="31">
        <v>6</v>
      </c>
      <c r="E328" s="38" t="s">
        <v>1744</v>
      </c>
      <c r="F328" s="31" t="s">
        <v>131</v>
      </c>
      <c r="G328" s="31" t="s">
        <v>3665</v>
      </c>
      <c r="H328" s="31" t="s">
        <v>3666</v>
      </c>
      <c r="I328" s="37" t="s">
        <v>3667</v>
      </c>
      <c r="J328" s="31" t="s">
        <v>2328</v>
      </c>
      <c r="K328" s="31" t="s">
        <v>411</v>
      </c>
      <c r="L328" s="30" t="s">
        <v>2232</v>
      </c>
      <c r="M328" s="31" t="s">
        <v>2328</v>
      </c>
    </row>
    <row r="329" spans="1:13" s="30" customFormat="1" ht="45" x14ac:dyDescent="0.25">
      <c r="A329" s="31" t="s">
        <v>3083</v>
      </c>
      <c r="B329" s="32" t="s">
        <v>1766</v>
      </c>
      <c r="C329" s="31" t="b">
        <v>1</v>
      </c>
      <c r="D329" s="31">
        <v>2</v>
      </c>
      <c r="E329" s="34" t="s">
        <v>3366</v>
      </c>
      <c r="F329" s="31" t="s">
        <v>3443</v>
      </c>
      <c r="G329" s="31" t="s">
        <v>3665</v>
      </c>
      <c r="H329" s="31" t="s">
        <v>3666</v>
      </c>
      <c r="I329" s="37" t="s">
        <v>3667</v>
      </c>
      <c r="J329" s="31" t="s">
        <v>2328</v>
      </c>
      <c r="K329" s="31" t="s">
        <v>414</v>
      </c>
      <c r="L329" s="30" t="s">
        <v>2232</v>
      </c>
      <c r="M329" s="31" t="s">
        <v>2328</v>
      </c>
    </row>
    <row r="330" spans="1:13" s="30" customFormat="1" ht="45" x14ac:dyDescent="0.25">
      <c r="A330" s="31" t="s">
        <v>3084</v>
      </c>
      <c r="B330" s="32" t="s">
        <v>1768</v>
      </c>
      <c r="C330" s="31" t="b">
        <v>0</v>
      </c>
      <c r="D330" s="31">
        <v>4</v>
      </c>
      <c r="E330" s="35" t="s">
        <v>1769</v>
      </c>
      <c r="F330" s="31" t="s">
        <v>131</v>
      </c>
      <c r="G330" s="31" t="s">
        <v>3665</v>
      </c>
      <c r="H330" s="31" t="s">
        <v>3666</v>
      </c>
      <c r="I330" s="37" t="s">
        <v>3667</v>
      </c>
      <c r="J330" s="31" t="s">
        <v>2328</v>
      </c>
      <c r="K330" s="31" t="s">
        <v>414</v>
      </c>
      <c r="L330" s="30" t="s">
        <v>2232</v>
      </c>
      <c r="M330" s="31" t="s">
        <v>2328</v>
      </c>
    </row>
    <row r="331" spans="1:13" s="30" customFormat="1" ht="45" x14ac:dyDescent="0.25">
      <c r="A331" s="31" t="s">
        <v>3085</v>
      </c>
      <c r="B331" s="32" t="s">
        <v>1770</v>
      </c>
      <c r="C331" s="31" t="b">
        <v>0</v>
      </c>
      <c r="D331" s="31">
        <v>4</v>
      </c>
      <c r="E331" s="35" t="s">
        <v>1771</v>
      </c>
      <c r="F331" s="31" t="s">
        <v>131</v>
      </c>
      <c r="G331" s="31" t="s">
        <v>3665</v>
      </c>
      <c r="H331" s="31" t="s">
        <v>3666</v>
      </c>
      <c r="I331" s="37" t="s">
        <v>3667</v>
      </c>
      <c r="J331" s="31" t="s">
        <v>2328</v>
      </c>
      <c r="K331" s="31" t="s">
        <v>414</v>
      </c>
      <c r="L331" s="30" t="s">
        <v>2232</v>
      </c>
      <c r="M331" s="31" t="s">
        <v>2328</v>
      </c>
    </row>
    <row r="332" spans="1:13" s="30" customFormat="1" ht="45" x14ac:dyDescent="0.25">
      <c r="A332" s="31" t="s">
        <v>3086</v>
      </c>
      <c r="B332" s="32" t="s">
        <v>1772</v>
      </c>
      <c r="C332" s="31" t="b">
        <v>0</v>
      </c>
      <c r="D332" s="31">
        <v>4</v>
      </c>
      <c r="E332" s="35" t="s">
        <v>1773</v>
      </c>
      <c r="F332" s="31" t="s">
        <v>131</v>
      </c>
      <c r="G332" s="31" t="s">
        <v>3665</v>
      </c>
      <c r="H332" s="31" t="s">
        <v>3666</v>
      </c>
      <c r="I332" s="37" t="s">
        <v>3667</v>
      </c>
      <c r="J332" s="31" t="s">
        <v>2328</v>
      </c>
      <c r="K332" s="31" t="s">
        <v>414</v>
      </c>
      <c r="L332" s="30" t="s">
        <v>2232</v>
      </c>
      <c r="M332" s="31" t="s">
        <v>2328</v>
      </c>
    </row>
    <row r="333" spans="1:13" s="30" customFormat="1" ht="45" x14ac:dyDescent="0.25">
      <c r="A333" s="31" t="s">
        <v>3087</v>
      </c>
      <c r="B333" s="32" t="s">
        <v>1774</v>
      </c>
      <c r="C333" s="31" t="b">
        <v>1</v>
      </c>
      <c r="D333" s="31">
        <v>2</v>
      </c>
      <c r="E333" s="34" t="s">
        <v>3367</v>
      </c>
      <c r="F333" s="31" t="s">
        <v>3443</v>
      </c>
      <c r="G333" s="31" t="s">
        <v>3665</v>
      </c>
      <c r="H333" s="31" t="s">
        <v>3666</v>
      </c>
      <c r="I333" s="37" t="s">
        <v>3667</v>
      </c>
      <c r="J333" s="31" t="s">
        <v>2328</v>
      </c>
      <c r="K333" s="31" t="s">
        <v>416</v>
      </c>
      <c r="L333" s="30" t="s">
        <v>2232</v>
      </c>
      <c r="M333" s="31" t="s">
        <v>2328</v>
      </c>
    </row>
    <row r="334" spans="1:13" s="30" customFormat="1" ht="45" x14ac:dyDescent="0.25">
      <c r="A334" s="31" t="s">
        <v>3088</v>
      </c>
      <c r="B334" s="32" t="s">
        <v>1776</v>
      </c>
      <c r="C334" s="31" t="b">
        <v>0</v>
      </c>
      <c r="D334" s="31">
        <v>4</v>
      </c>
      <c r="E334" s="35" t="s">
        <v>1777</v>
      </c>
      <c r="F334" s="31" t="s">
        <v>131</v>
      </c>
      <c r="G334" s="31" t="s">
        <v>3665</v>
      </c>
      <c r="H334" s="31" t="s">
        <v>3666</v>
      </c>
      <c r="I334" s="37" t="s">
        <v>3667</v>
      </c>
      <c r="J334" s="31" t="s">
        <v>2328</v>
      </c>
      <c r="K334" s="31" t="s">
        <v>416</v>
      </c>
      <c r="L334" s="30" t="s">
        <v>2232</v>
      </c>
      <c r="M334" s="31" t="s">
        <v>2328</v>
      </c>
    </row>
    <row r="335" spans="1:13" s="30" customFormat="1" ht="45" x14ac:dyDescent="0.25">
      <c r="A335" s="31" t="s">
        <v>3089</v>
      </c>
      <c r="B335" s="32" t="s">
        <v>1778</v>
      </c>
      <c r="C335" s="31" t="b">
        <v>0</v>
      </c>
      <c r="D335" s="31">
        <v>4</v>
      </c>
      <c r="E335" s="35" t="s">
        <v>1779</v>
      </c>
      <c r="F335" s="31" t="s">
        <v>131</v>
      </c>
      <c r="G335" s="31" t="s">
        <v>3665</v>
      </c>
      <c r="H335" s="31" t="s">
        <v>3666</v>
      </c>
      <c r="I335" s="37" t="s">
        <v>3667</v>
      </c>
      <c r="J335" s="31" t="s">
        <v>2328</v>
      </c>
      <c r="K335" s="31" t="s">
        <v>416</v>
      </c>
      <c r="L335" s="30" t="s">
        <v>2232</v>
      </c>
      <c r="M335" s="31" t="s">
        <v>2328</v>
      </c>
    </row>
    <row r="336" spans="1:13" s="30" customFormat="1" ht="45" x14ac:dyDescent="0.25">
      <c r="A336" s="31" t="s">
        <v>3090</v>
      </c>
      <c r="B336" s="32" t="s">
        <v>1780</v>
      </c>
      <c r="C336" s="31" t="b">
        <v>0</v>
      </c>
      <c r="D336" s="31">
        <v>4</v>
      </c>
      <c r="E336" s="35" t="s">
        <v>1781</v>
      </c>
      <c r="F336" s="31" t="s">
        <v>131</v>
      </c>
      <c r="G336" s="31" t="s">
        <v>3665</v>
      </c>
      <c r="H336" s="31" t="s">
        <v>3666</v>
      </c>
      <c r="I336" s="37" t="s">
        <v>3667</v>
      </c>
      <c r="J336" s="31" t="s">
        <v>2328</v>
      </c>
      <c r="K336" s="31" t="s">
        <v>416</v>
      </c>
      <c r="L336" s="30" t="s">
        <v>2232</v>
      </c>
      <c r="M336" s="31" t="s">
        <v>2328</v>
      </c>
    </row>
    <row r="337" spans="1:13" s="30" customFormat="1" ht="45" x14ac:dyDescent="0.25">
      <c r="A337" s="31" t="s">
        <v>3091</v>
      </c>
      <c r="B337" s="32" t="s">
        <v>1782</v>
      </c>
      <c r="C337" s="31" t="b">
        <v>0</v>
      </c>
      <c r="D337" s="31">
        <v>4</v>
      </c>
      <c r="E337" s="35" t="s">
        <v>1783</v>
      </c>
      <c r="F337" s="31" t="s">
        <v>131</v>
      </c>
      <c r="G337" s="31" t="s">
        <v>3665</v>
      </c>
      <c r="H337" s="31" t="s">
        <v>3666</v>
      </c>
      <c r="I337" s="37" t="s">
        <v>3667</v>
      </c>
      <c r="J337" s="31" t="s">
        <v>2328</v>
      </c>
      <c r="K337" s="31" t="s">
        <v>416</v>
      </c>
      <c r="L337" s="30" t="s">
        <v>2232</v>
      </c>
      <c r="M337" s="31" t="s">
        <v>2328</v>
      </c>
    </row>
    <row r="338" spans="1:13" s="30" customFormat="1" ht="45" x14ac:dyDescent="0.25">
      <c r="A338" s="31" t="s">
        <v>2328</v>
      </c>
      <c r="B338" s="32" t="s">
        <v>1784</v>
      </c>
      <c r="C338" s="31" t="b">
        <v>1</v>
      </c>
      <c r="D338" s="31">
        <v>2</v>
      </c>
      <c r="E338" s="34" t="s">
        <v>3368</v>
      </c>
      <c r="F338" s="31" t="s">
        <v>3443</v>
      </c>
      <c r="G338" s="31" t="s">
        <v>3665</v>
      </c>
      <c r="H338" s="31" t="s">
        <v>3666</v>
      </c>
      <c r="I338" s="37" t="s">
        <v>3667</v>
      </c>
      <c r="J338" s="31" t="s">
        <v>2328</v>
      </c>
      <c r="K338" s="31" t="s">
        <v>411</v>
      </c>
      <c r="L338" s="30" t="s">
        <v>2232</v>
      </c>
      <c r="M338" s="31" t="s">
        <v>2328</v>
      </c>
    </row>
    <row r="339" spans="1:13" s="30" customFormat="1" ht="45" x14ac:dyDescent="0.25">
      <c r="A339" s="31" t="s">
        <v>3092</v>
      </c>
      <c r="B339" s="32" t="s">
        <v>1785</v>
      </c>
      <c r="C339" s="31" t="b">
        <v>1</v>
      </c>
      <c r="D339" s="31">
        <v>4</v>
      </c>
      <c r="E339" s="35" t="s">
        <v>3369</v>
      </c>
      <c r="F339" s="31" t="s">
        <v>3443</v>
      </c>
      <c r="G339" s="31" t="s">
        <v>3665</v>
      </c>
      <c r="H339" s="31" t="s">
        <v>3666</v>
      </c>
      <c r="I339" s="37" t="s">
        <v>3667</v>
      </c>
      <c r="J339" s="31" t="s">
        <v>2328</v>
      </c>
      <c r="K339" s="31" t="s">
        <v>420</v>
      </c>
      <c r="L339" s="30" t="s">
        <v>2232</v>
      </c>
      <c r="M339" s="31" t="s">
        <v>2328</v>
      </c>
    </row>
    <row r="340" spans="1:13" s="30" customFormat="1" ht="60" x14ac:dyDescent="0.25">
      <c r="A340" s="31" t="s">
        <v>3093</v>
      </c>
      <c r="B340" s="32" t="s">
        <v>1787</v>
      </c>
      <c r="C340" s="31" t="b">
        <v>0</v>
      </c>
      <c r="D340" s="31">
        <v>6</v>
      </c>
      <c r="E340" s="38" t="s">
        <v>2284</v>
      </c>
      <c r="F340" s="31" t="s">
        <v>131</v>
      </c>
      <c r="G340" s="31" t="s">
        <v>3665</v>
      </c>
      <c r="H340" s="31" t="s">
        <v>3666</v>
      </c>
      <c r="I340" s="37" t="s">
        <v>3667</v>
      </c>
      <c r="J340" s="31" t="s">
        <v>2328</v>
      </c>
      <c r="K340" s="31" t="s">
        <v>420</v>
      </c>
      <c r="L340" s="30" t="s">
        <v>2232</v>
      </c>
      <c r="M340" s="31" t="s">
        <v>2328</v>
      </c>
    </row>
    <row r="341" spans="1:13" s="30" customFormat="1" ht="90" x14ac:dyDescent="0.25">
      <c r="A341" s="31" t="s">
        <v>2328</v>
      </c>
      <c r="B341" s="32" t="s">
        <v>1788</v>
      </c>
      <c r="C341" s="31" t="b">
        <v>0</v>
      </c>
      <c r="D341" s="31">
        <v>6</v>
      </c>
      <c r="E341" s="38" t="s">
        <v>2285</v>
      </c>
      <c r="F341" s="31" t="s">
        <v>139</v>
      </c>
      <c r="G341" s="31" t="s">
        <v>3665</v>
      </c>
      <c r="H341" s="31" t="s">
        <v>3666</v>
      </c>
      <c r="I341" s="37" t="s">
        <v>3667</v>
      </c>
      <c r="J341" s="31" t="s">
        <v>2328</v>
      </c>
      <c r="K341" s="31" t="s">
        <v>420</v>
      </c>
      <c r="L341" s="30" t="s">
        <v>2232</v>
      </c>
      <c r="M341" s="31" t="s">
        <v>2328</v>
      </c>
    </row>
    <row r="342" spans="1:13" s="30" customFormat="1" ht="45" x14ac:dyDescent="0.25">
      <c r="A342" s="31" t="s">
        <v>3094</v>
      </c>
      <c r="B342" s="32" t="s">
        <v>1789</v>
      </c>
      <c r="C342" s="31" t="b">
        <v>1</v>
      </c>
      <c r="D342" s="31">
        <v>4</v>
      </c>
      <c r="E342" s="35" t="s">
        <v>3370</v>
      </c>
      <c r="F342" s="31" t="s">
        <v>3443</v>
      </c>
      <c r="G342" s="31" t="s">
        <v>3665</v>
      </c>
      <c r="H342" s="31" t="s">
        <v>3666</v>
      </c>
      <c r="I342" s="37" t="s">
        <v>3667</v>
      </c>
      <c r="J342" s="31" t="s">
        <v>2328</v>
      </c>
      <c r="K342" s="31" t="s">
        <v>411</v>
      </c>
      <c r="L342" s="30" t="s">
        <v>2232</v>
      </c>
      <c r="M342" s="31" t="s">
        <v>2328</v>
      </c>
    </row>
    <row r="343" spans="1:13" s="30" customFormat="1" ht="60" x14ac:dyDescent="0.25">
      <c r="A343" s="31" t="s">
        <v>3095</v>
      </c>
      <c r="B343" s="32" t="s">
        <v>1791</v>
      </c>
      <c r="C343" s="31" t="b">
        <v>0</v>
      </c>
      <c r="D343" s="31">
        <v>6</v>
      </c>
      <c r="E343" s="38" t="s">
        <v>2286</v>
      </c>
      <c r="F343" s="31" t="s">
        <v>131</v>
      </c>
      <c r="G343" s="31" t="s">
        <v>3665</v>
      </c>
      <c r="H343" s="31" t="s">
        <v>3666</v>
      </c>
      <c r="I343" s="37" t="s">
        <v>3667</v>
      </c>
      <c r="J343" s="31" t="s">
        <v>2328</v>
      </c>
      <c r="K343" s="31" t="s">
        <v>422</v>
      </c>
      <c r="L343" s="30" t="s">
        <v>2232</v>
      </c>
      <c r="M343" s="31" t="s">
        <v>2328</v>
      </c>
    </row>
    <row r="344" spans="1:13" s="30" customFormat="1" ht="120" x14ac:dyDescent="0.25">
      <c r="A344" s="31" t="s">
        <v>2328</v>
      </c>
      <c r="B344" s="32" t="s">
        <v>1792</v>
      </c>
      <c r="C344" s="31" t="b">
        <v>0</v>
      </c>
      <c r="D344" s="31">
        <v>6</v>
      </c>
      <c r="E344" s="38" t="s">
        <v>2287</v>
      </c>
      <c r="F344" s="31" t="s">
        <v>139</v>
      </c>
      <c r="G344" s="31" t="s">
        <v>3665</v>
      </c>
      <c r="H344" s="31" t="s">
        <v>3666</v>
      </c>
      <c r="I344" s="37" t="s">
        <v>3667</v>
      </c>
      <c r="J344" s="31" t="s">
        <v>2328</v>
      </c>
      <c r="K344" s="31" t="s">
        <v>422</v>
      </c>
      <c r="L344" s="30" t="s">
        <v>2232</v>
      </c>
      <c r="M344" s="31" t="s">
        <v>2328</v>
      </c>
    </row>
    <row r="345" spans="1:13" s="30" customFormat="1" ht="45" x14ac:dyDescent="0.25">
      <c r="A345" s="31" t="s">
        <v>2328</v>
      </c>
      <c r="B345" s="32" t="s">
        <v>1793</v>
      </c>
      <c r="C345" s="31" t="b">
        <v>1</v>
      </c>
      <c r="D345" s="31">
        <v>0</v>
      </c>
      <c r="E345" s="33" t="s">
        <v>2371</v>
      </c>
      <c r="F345" s="31" t="s">
        <v>3443</v>
      </c>
      <c r="G345" s="31" t="s">
        <v>3665</v>
      </c>
      <c r="H345" s="31" t="s">
        <v>3666</v>
      </c>
      <c r="I345" s="37" t="s">
        <v>3667</v>
      </c>
      <c r="J345" s="31" t="s">
        <v>2328</v>
      </c>
      <c r="K345" s="31" t="s">
        <v>424</v>
      </c>
      <c r="L345" s="30" t="s">
        <v>2232</v>
      </c>
      <c r="M345" s="31" t="s">
        <v>2328</v>
      </c>
    </row>
    <row r="346" spans="1:13" s="30" customFormat="1" ht="45" x14ac:dyDescent="0.25">
      <c r="A346" s="31" t="s">
        <v>3096</v>
      </c>
      <c r="B346" s="32" t="s">
        <v>1796</v>
      </c>
      <c r="C346" s="31" t="b">
        <v>0</v>
      </c>
      <c r="D346" s="31">
        <v>2</v>
      </c>
      <c r="E346" s="34" t="s">
        <v>43</v>
      </c>
      <c r="F346" s="31" t="s">
        <v>131</v>
      </c>
      <c r="G346" s="31" t="s">
        <v>3665</v>
      </c>
      <c r="H346" s="31" t="s">
        <v>3666</v>
      </c>
      <c r="I346" s="37" t="s">
        <v>3667</v>
      </c>
      <c r="J346" s="31" t="s">
        <v>2328</v>
      </c>
      <c r="K346" s="31" t="s">
        <v>427</v>
      </c>
      <c r="L346" s="30" t="s">
        <v>2232</v>
      </c>
      <c r="M346" s="31" t="s">
        <v>2328</v>
      </c>
    </row>
    <row r="347" spans="1:13" s="30" customFormat="1" ht="45" x14ac:dyDescent="0.25">
      <c r="A347" s="31" t="s">
        <v>2328</v>
      </c>
      <c r="B347" s="32" t="s">
        <v>1797</v>
      </c>
      <c r="C347" s="31" t="b">
        <v>1</v>
      </c>
      <c r="D347" s="31">
        <v>2</v>
      </c>
      <c r="E347" s="34" t="s">
        <v>3372</v>
      </c>
      <c r="F347" s="31" t="s">
        <v>3443</v>
      </c>
      <c r="G347" s="31" t="s">
        <v>3665</v>
      </c>
      <c r="H347" s="31" t="s">
        <v>3666</v>
      </c>
      <c r="I347" s="37" t="s">
        <v>3667</v>
      </c>
      <c r="J347" s="31" t="s">
        <v>2328</v>
      </c>
      <c r="K347" s="31" t="s">
        <v>429</v>
      </c>
      <c r="L347" s="30" t="s">
        <v>2232</v>
      </c>
      <c r="M347" s="31" t="s">
        <v>2328</v>
      </c>
    </row>
    <row r="348" spans="1:13" s="30" customFormat="1" ht="45" x14ac:dyDescent="0.25">
      <c r="A348" s="31" t="s">
        <v>3097</v>
      </c>
      <c r="B348" s="32" t="s">
        <v>1798</v>
      </c>
      <c r="C348" s="31" t="b">
        <v>0</v>
      </c>
      <c r="D348" s="31">
        <v>4</v>
      </c>
      <c r="E348" s="35" t="s">
        <v>1800</v>
      </c>
      <c r="F348" s="31" t="s">
        <v>131</v>
      </c>
      <c r="G348" s="31" t="s">
        <v>3665</v>
      </c>
      <c r="H348" s="31" t="s">
        <v>3666</v>
      </c>
      <c r="I348" s="37" t="s">
        <v>3667</v>
      </c>
      <c r="J348" s="31" t="s">
        <v>2328</v>
      </c>
      <c r="K348" s="31" t="s">
        <v>429</v>
      </c>
      <c r="L348" s="30" t="s">
        <v>2232</v>
      </c>
      <c r="M348" s="31" t="s">
        <v>2328</v>
      </c>
    </row>
    <row r="349" spans="1:13" s="30" customFormat="1" ht="45" x14ac:dyDescent="0.25">
      <c r="A349" s="31" t="s">
        <v>2328</v>
      </c>
      <c r="B349" s="32" t="s">
        <v>1806</v>
      </c>
      <c r="C349" s="31" t="b">
        <v>1</v>
      </c>
      <c r="D349" s="31">
        <v>0</v>
      </c>
      <c r="E349" s="33" t="s">
        <v>2372</v>
      </c>
      <c r="F349" s="31" t="s">
        <v>3443</v>
      </c>
      <c r="G349" s="31" t="s">
        <v>3665</v>
      </c>
      <c r="H349" s="31" t="s">
        <v>3666</v>
      </c>
      <c r="I349" s="37" t="s">
        <v>3667</v>
      </c>
      <c r="J349" s="31" t="s">
        <v>2328</v>
      </c>
      <c r="K349" s="31" t="s">
        <v>435</v>
      </c>
      <c r="L349" s="30" t="s">
        <v>2232</v>
      </c>
      <c r="M349" s="31" t="s">
        <v>2328</v>
      </c>
    </row>
    <row r="350" spans="1:13" s="30" customFormat="1" ht="45" x14ac:dyDescent="0.25">
      <c r="A350" s="31" t="s">
        <v>3098</v>
      </c>
      <c r="B350" s="32" t="s">
        <v>1807</v>
      </c>
      <c r="C350" s="31" t="b">
        <v>0</v>
      </c>
      <c r="D350" s="31">
        <v>2</v>
      </c>
      <c r="E350" s="34" t="s">
        <v>1808</v>
      </c>
      <c r="F350" s="31" t="s">
        <v>131</v>
      </c>
      <c r="G350" s="31" t="s">
        <v>3665</v>
      </c>
      <c r="H350" s="31" t="s">
        <v>3666</v>
      </c>
      <c r="I350" s="37" t="s">
        <v>3667</v>
      </c>
      <c r="J350" s="31" t="s">
        <v>2328</v>
      </c>
      <c r="K350" s="31" t="s">
        <v>435</v>
      </c>
      <c r="L350" s="30" t="s">
        <v>2232</v>
      </c>
      <c r="M350" s="31" t="s">
        <v>2328</v>
      </c>
    </row>
    <row r="351" spans="1:13" s="30" customFormat="1" ht="45" x14ac:dyDescent="0.25">
      <c r="A351" s="31" t="s">
        <v>3099</v>
      </c>
      <c r="B351" s="32" t="s">
        <v>1809</v>
      </c>
      <c r="C351" s="31" t="b">
        <v>0</v>
      </c>
      <c r="D351" s="31">
        <v>2</v>
      </c>
      <c r="E351" s="34" t="s">
        <v>1810</v>
      </c>
      <c r="F351" s="31" t="s">
        <v>131</v>
      </c>
      <c r="G351" s="31" t="s">
        <v>3665</v>
      </c>
      <c r="H351" s="31" t="s">
        <v>3666</v>
      </c>
      <c r="I351" s="37" t="s">
        <v>3667</v>
      </c>
      <c r="J351" s="31" t="s">
        <v>2328</v>
      </c>
      <c r="K351" s="31" t="s">
        <v>435</v>
      </c>
      <c r="L351" s="30" t="s">
        <v>2232</v>
      </c>
      <c r="M351" s="31" t="s">
        <v>2328</v>
      </c>
    </row>
    <row r="352" spans="1:13" s="30" customFormat="1" ht="45" x14ac:dyDescent="0.25">
      <c r="A352" s="31" t="s">
        <v>3100</v>
      </c>
      <c r="B352" s="32" t="s">
        <v>1811</v>
      </c>
      <c r="C352" s="31" t="b">
        <v>0</v>
      </c>
      <c r="D352" s="31">
        <v>2</v>
      </c>
      <c r="E352" s="34" t="s">
        <v>1812</v>
      </c>
      <c r="F352" s="31" t="s">
        <v>131</v>
      </c>
      <c r="G352" s="31" t="s">
        <v>3665</v>
      </c>
      <c r="H352" s="31" t="s">
        <v>3666</v>
      </c>
      <c r="I352" s="37" t="s">
        <v>3667</v>
      </c>
      <c r="J352" s="31" t="s">
        <v>2328</v>
      </c>
      <c r="K352" s="31" t="s">
        <v>435</v>
      </c>
      <c r="L352" s="30" t="s">
        <v>2232</v>
      </c>
      <c r="M352" s="31" t="s">
        <v>2328</v>
      </c>
    </row>
    <row r="353" spans="1:13" s="30" customFormat="1" ht="45" x14ac:dyDescent="0.25">
      <c r="A353" s="31" t="s">
        <v>3101</v>
      </c>
      <c r="B353" s="32" t="s">
        <v>1813</v>
      </c>
      <c r="C353" s="31" t="b">
        <v>0</v>
      </c>
      <c r="D353" s="31">
        <v>2</v>
      </c>
      <c r="E353" s="34" t="s">
        <v>1814</v>
      </c>
      <c r="F353" s="31" t="s">
        <v>131</v>
      </c>
      <c r="G353" s="31" t="s">
        <v>3665</v>
      </c>
      <c r="H353" s="31" t="s">
        <v>3666</v>
      </c>
      <c r="I353" s="37" t="s">
        <v>3667</v>
      </c>
      <c r="J353" s="31" t="s">
        <v>2328</v>
      </c>
      <c r="K353" s="31" t="s">
        <v>435</v>
      </c>
      <c r="L353" s="30" t="s">
        <v>2232</v>
      </c>
      <c r="M353" s="31" t="s">
        <v>2328</v>
      </c>
    </row>
    <row r="354" spans="1:13" s="30" customFormat="1" ht="45" x14ac:dyDescent="0.25">
      <c r="A354" s="31" t="s">
        <v>2328</v>
      </c>
      <c r="B354" s="32" t="s">
        <v>1815</v>
      </c>
      <c r="C354" s="31" t="b">
        <v>1</v>
      </c>
      <c r="D354" s="31">
        <v>0</v>
      </c>
      <c r="E354" s="33" t="s">
        <v>2373</v>
      </c>
      <c r="F354" s="31" t="s">
        <v>3443</v>
      </c>
      <c r="G354" s="31" t="s">
        <v>3665</v>
      </c>
      <c r="H354" s="31" t="s">
        <v>3666</v>
      </c>
      <c r="I354" s="37" t="s">
        <v>3667</v>
      </c>
      <c r="J354" s="31" t="s">
        <v>2328</v>
      </c>
      <c r="K354" s="31" t="s">
        <v>437</v>
      </c>
      <c r="L354" s="30" t="s">
        <v>2232</v>
      </c>
      <c r="M354" s="31" t="s">
        <v>2328</v>
      </c>
    </row>
    <row r="355" spans="1:13" s="30" customFormat="1" ht="45" x14ac:dyDescent="0.25">
      <c r="A355" s="31" t="s">
        <v>3102</v>
      </c>
      <c r="B355" s="32" t="s">
        <v>1816</v>
      </c>
      <c r="C355" s="31" t="b">
        <v>0</v>
      </c>
      <c r="D355" s="31">
        <v>2</v>
      </c>
      <c r="E355" s="34" t="s">
        <v>441</v>
      </c>
      <c r="F355" s="31" t="s">
        <v>131</v>
      </c>
      <c r="G355" s="31" t="s">
        <v>3665</v>
      </c>
      <c r="H355" s="31" t="s">
        <v>3666</v>
      </c>
      <c r="I355" s="37" t="s">
        <v>3667</v>
      </c>
      <c r="J355" s="31" t="s">
        <v>2328</v>
      </c>
      <c r="K355" s="31" t="s">
        <v>440</v>
      </c>
      <c r="L355" s="30" t="s">
        <v>2232</v>
      </c>
      <c r="M355" s="31" t="s">
        <v>2328</v>
      </c>
    </row>
    <row r="356" spans="1:13" s="30" customFormat="1" ht="45" x14ac:dyDescent="0.25">
      <c r="A356" s="31" t="s">
        <v>2328</v>
      </c>
      <c r="B356" s="32" t="s">
        <v>1817</v>
      </c>
      <c r="C356" s="31" t="b">
        <v>1</v>
      </c>
      <c r="D356" s="31">
        <v>0</v>
      </c>
      <c r="E356" s="33" t="s">
        <v>3374</v>
      </c>
      <c r="F356" s="31" t="s">
        <v>3443</v>
      </c>
      <c r="G356" s="31" t="s">
        <v>3665</v>
      </c>
      <c r="H356" s="31" t="s">
        <v>3666</v>
      </c>
      <c r="I356" s="37" t="s">
        <v>3667</v>
      </c>
      <c r="J356" s="31" t="s">
        <v>2328</v>
      </c>
      <c r="K356" s="31" t="s">
        <v>443</v>
      </c>
      <c r="L356" s="30" t="s">
        <v>2232</v>
      </c>
      <c r="M356" s="31" t="s">
        <v>2328</v>
      </c>
    </row>
    <row r="357" spans="1:13" s="30" customFormat="1" ht="60" x14ac:dyDescent="0.25">
      <c r="A357" s="31" t="s">
        <v>3103</v>
      </c>
      <c r="B357" s="32" t="s">
        <v>1819</v>
      </c>
      <c r="C357" s="31" t="b">
        <v>1</v>
      </c>
      <c r="D357" s="31">
        <v>2</v>
      </c>
      <c r="E357" s="34" t="s">
        <v>3375</v>
      </c>
      <c r="F357" s="31" t="s">
        <v>131</v>
      </c>
      <c r="G357" s="31" t="s">
        <v>3665</v>
      </c>
      <c r="H357" s="31" t="s">
        <v>3666</v>
      </c>
      <c r="I357" s="37" t="s">
        <v>3667</v>
      </c>
      <c r="J357" s="31" t="s">
        <v>2328</v>
      </c>
      <c r="K357" s="31" t="s">
        <v>446</v>
      </c>
      <c r="L357" s="30" t="s">
        <v>2232</v>
      </c>
      <c r="M357" s="31" t="s">
        <v>2328</v>
      </c>
    </row>
    <row r="358" spans="1:13" s="30" customFormat="1" ht="75" x14ac:dyDescent="0.25">
      <c r="A358" s="31" t="s">
        <v>3104</v>
      </c>
      <c r="B358" s="32" t="s">
        <v>1820</v>
      </c>
      <c r="C358" s="31" t="b">
        <v>0</v>
      </c>
      <c r="D358" s="31">
        <v>6</v>
      </c>
      <c r="E358" s="38" t="s">
        <v>3595</v>
      </c>
      <c r="F358" s="31" t="s">
        <v>131</v>
      </c>
      <c r="G358" s="31" t="s">
        <v>3665</v>
      </c>
      <c r="H358" s="31" t="s">
        <v>3666</v>
      </c>
      <c r="I358" s="37" t="s">
        <v>3667</v>
      </c>
      <c r="J358" s="31" t="s">
        <v>3596</v>
      </c>
      <c r="K358" s="31" t="s">
        <v>446</v>
      </c>
      <c r="L358" s="30" t="s">
        <v>2235</v>
      </c>
      <c r="M358" s="31" t="s">
        <v>2293</v>
      </c>
    </row>
    <row r="359" spans="1:13" s="30" customFormat="1" ht="60" x14ac:dyDescent="0.25">
      <c r="A359" s="31" t="s">
        <v>3105</v>
      </c>
      <c r="B359" s="32" t="s">
        <v>1821</v>
      </c>
      <c r="C359" s="31" t="b">
        <v>0</v>
      </c>
      <c r="D359" s="31">
        <v>6</v>
      </c>
      <c r="E359" s="38" t="s">
        <v>2294</v>
      </c>
      <c r="F359" s="31" t="s">
        <v>131</v>
      </c>
      <c r="G359" s="31" t="s">
        <v>3665</v>
      </c>
      <c r="H359" s="31" t="s">
        <v>3666</v>
      </c>
      <c r="I359" s="37" t="s">
        <v>3667</v>
      </c>
      <c r="J359" s="31" t="s">
        <v>3596</v>
      </c>
      <c r="K359" s="31" t="s">
        <v>446</v>
      </c>
      <c r="L359" s="30" t="s">
        <v>2503</v>
      </c>
      <c r="M359" s="31" t="s">
        <v>2328</v>
      </c>
    </row>
    <row r="360" spans="1:13" s="30" customFormat="1" ht="60" x14ac:dyDescent="0.25">
      <c r="A360" s="31" t="s">
        <v>3106</v>
      </c>
      <c r="B360" s="32" t="s">
        <v>1822</v>
      </c>
      <c r="C360" s="31" t="b">
        <v>0</v>
      </c>
      <c r="D360" s="31">
        <v>6</v>
      </c>
      <c r="E360" s="38" t="s">
        <v>2295</v>
      </c>
      <c r="F360" s="31" t="s">
        <v>131</v>
      </c>
      <c r="G360" s="31" t="s">
        <v>3665</v>
      </c>
      <c r="H360" s="31" t="s">
        <v>3666</v>
      </c>
      <c r="I360" s="37" t="s">
        <v>3667</v>
      </c>
      <c r="J360" s="31" t="s">
        <v>3598</v>
      </c>
      <c r="K360" s="31" t="s">
        <v>446</v>
      </c>
      <c r="L360" s="30" t="s">
        <v>2232</v>
      </c>
      <c r="M360" s="31" t="s">
        <v>2328</v>
      </c>
    </row>
    <row r="361" spans="1:13" s="30" customFormat="1" ht="75" x14ac:dyDescent="0.25">
      <c r="A361" s="31" t="s">
        <v>3107</v>
      </c>
      <c r="B361" s="32" t="s">
        <v>1823</v>
      </c>
      <c r="C361" s="31" t="b">
        <v>0</v>
      </c>
      <c r="D361" s="31">
        <v>6</v>
      </c>
      <c r="E361" s="38" t="s">
        <v>2296</v>
      </c>
      <c r="F361" s="31" t="s">
        <v>131</v>
      </c>
      <c r="G361" s="31" t="s">
        <v>3665</v>
      </c>
      <c r="H361" s="31" t="s">
        <v>3666</v>
      </c>
      <c r="I361" s="37" t="s">
        <v>3667</v>
      </c>
      <c r="J361" s="31" t="s">
        <v>3599</v>
      </c>
      <c r="K361" s="31" t="s">
        <v>446</v>
      </c>
      <c r="L361" s="30" t="s">
        <v>2232</v>
      </c>
      <c r="M361" s="31" t="s">
        <v>2328</v>
      </c>
    </row>
    <row r="362" spans="1:13" s="30" customFormat="1" ht="75" x14ac:dyDescent="0.25">
      <c r="A362" s="31" t="s">
        <v>3108</v>
      </c>
      <c r="B362" s="32" t="s">
        <v>1824</v>
      </c>
      <c r="C362" s="31" t="b">
        <v>0</v>
      </c>
      <c r="D362" s="31">
        <v>6</v>
      </c>
      <c r="E362" s="38" t="s">
        <v>3600</v>
      </c>
      <c r="F362" s="31" t="s">
        <v>131</v>
      </c>
      <c r="G362" s="31" t="s">
        <v>3665</v>
      </c>
      <c r="H362" s="31" t="s">
        <v>3666</v>
      </c>
      <c r="I362" s="37" t="s">
        <v>3667</v>
      </c>
      <c r="J362" s="31" t="s">
        <v>3601</v>
      </c>
      <c r="K362" s="31" t="s">
        <v>446</v>
      </c>
      <c r="L362" s="30" t="s">
        <v>2235</v>
      </c>
      <c r="M362" s="31" t="s">
        <v>2297</v>
      </c>
    </row>
    <row r="363" spans="1:13" s="30" customFormat="1" ht="75" x14ac:dyDescent="0.25">
      <c r="A363" s="31" t="s">
        <v>3109</v>
      </c>
      <c r="B363" s="32" t="s">
        <v>1825</v>
      </c>
      <c r="C363" s="31" t="b">
        <v>0</v>
      </c>
      <c r="D363" s="31">
        <v>6</v>
      </c>
      <c r="E363" s="38" t="s">
        <v>2298</v>
      </c>
      <c r="F363" s="31" t="s">
        <v>131</v>
      </c>
      <c r="G363" s="31" t="s">
        <v>3665</v>
      </c>
      <c r="H363" s="31" t="s">
        <v>3666</v>
      </c>
      <c r="I363" s="37" t="s">
        <v>3667</v>
      </c>
      <c r="J363" s="31" t="s">
        <v>3601</v>
      </c>
      <c r="K363" s="31" t="s">
        <v>446</v>
      </c>
      <c r="L363" s="30" t="s">
        <v>2503</v>
      </c>
      <c r="M363" s="31" t="s">
        <v>2328</v>
      </c>
    </row>
    <row r="364" spans="1:13" s="30" customFormat="1" ht="45" x14ac:dyDescent="0.25">
      <c r="A364" s="31" t="s">
        <v>3110</v>
      </c>
      <c r="B364" s="32" t="s">
        <v>1826</v>
      </c>
      <c r="C364" s="31" t="b">
        <v>0</v>
      </c>
      <c r="D364" s="31">
        <v>6</v>
      </c>
      <c r="E364" s="38" t="s">
        <v>1827</v>
      </c>
      <c r="F364" s="31" t="s">
        <v>131</v>
      </c>
      <c r="G364" s="31" t="s">
        <v>3665</v>
      </c>
      <c r="H364" s="31" t="s">
        <v>3666</v>
      </c>
      <c r="I364" s="37" t="s">
        <v>3667</v>
      </c>
      <c r="J364" s="31" t="s">
        <v>3603</v>
      </c>
      <c r="K364" s="31" t="s">
        <v>446</v>
      </c>
      <c r="L364" s="30" t="s">
        <v>2232</v>
      </c>
      <c r="M364" s="31" t="s">
        <v>2328</v>
      </c>
    </row>
    <row r="365" spans="1:13" s="30" customFormat="1" ht="75" x14ac:dyDescent="0.25">
      <c r="A365" s="31" t="s">
        <v>3111</v>
      </c>
      <c r="B365" s="32" t="s">
        <v>1828</v>
      </c>
      <c r="C365" s="31" t="b">
        <v>0</v>
      </c>
      <c r="D365" s="31">
        <v>6</v>
      </c>
      <c r="E365" s="38" t="s">
        <v>2299</v>
      </c>
      <c r="F365" s="31" t="s">
        <v>131</v>
      </c>
      <c r="G365" s="31" t="s">
        <v>3665</v>
      </c>
      <c r="H365" s="31" t="s">
        <v>3666</v>
      </c>
      <c r="I365" s="37" t="s">
        <v>3667</v>
      </c>
      <c r="J365" s="31" t="s">
        <v>3605</v>
      </c>
      <c r="K365" s="31" t="s">
        <v>446</v>
      </c>
      <c r="L365" s="30" t="s">
        <v>2232</v>
      </c>
      <c r="M365" s="31" t="s">
        <v>2328</v>
      </c>
    </row>
    <row r="366" spans="1:13" s="30" customFormat="1" ht="60" x14ac:dyDescent="0.25">
      <c r="A366" s="31" t="s">
        <v>3112</v>
      </c>
      <c r="B366" s="32" t="s">
        <v>1829</v>
      </c>
      <c r="C366" s="31" t="b">
        <v>0</v>
      </c>
      <c r="D366" s="31">
        <v>6</v>
      </c>
      <c r="E366" s="38" t="s">
        <v>2300</v>
      </c>
      <c r="F366" s="31" t="s">
        <v>131</v>
      </c>
      <c r="G366" s="31" t="s">
        <v>3665</v>
      </c>
      <c r="H366" s="31" t="s">
        <v>3666</v>
      </c>
      <c r="I366" s="37" t="s">
        <v>3667</v>
      </c>
      <c r="J366" s="31" t="s">
        <v>3607</v>
      </c>
      <c r="K366" s="31" t="s">
        <v>446</v>
      </c>
      <c r="L366" s="30" t="s">
        <v>2232</v>
      </c>
      <c r="M366" s="31" t="s">
        <v>2328</v>
      </c>
    </row>
    <row r="367" spans="1:13" s="30" customFormat="1" ht="75" x14ac:dyDescent="0.25">
      <c r="A367" s="31" t="s">
        <v>3113</v>
      </c>
      <c r="B367" s="32" t="s">
        <v>1830</v>
      </c>
      <c r="C367" s="31" t="b">
        <v>0</v>
      </c>
      <c r="D367" s="31">
        <v>6</v>
      </c>
      <c r="E367" s="38" t="s">
        <v>2301</v>
      </c>
      <c r="F367" s="31" t="s">
        <v>131</v>
      </c>
      <c r="G367" s="31" t="s">
        <v>3665</v>
      </c>
      <c r="H367" s="31" t="s">
        <v>3666</v>
      </c>
      <c r="I367" s="37" t="s">
        <v>3667</v>
      </c>
      <c r="J367" s="31" t="s">
        <v>3609</v>
      </c>
      <c r="K367" s="31" t="s">
        <v>446</v>
      </c>
      <c r="L367" s="30" t="s">
        <v>2232</v>
      </c>
      <c r="M367" s="31" t="s">
        <v>2328</v>
      </c>
    </row>
    <row r="368" spans="1:13" s="30" customFormat="1" ht="60" x14ac:dyDescent="0.25">
      <c r="A368" s="31" t="s">
        <v>3114</v>
      </c>
      <c r="B368" s="32" t="s">
        <v>1831</v>
      </c>
      <c r="C368" s="31" t="b">
        <v>0</v>
      </c>
      <c r="D368" s="31">
        <v>6</v>
      </c>
      <c r="E368" s="38" t="s">
        <v>2302</v>
      </c>
      <c r="F368" s="31" t="s">
        <v>131</v>
      </c>
      <c r="G368" s="31" t="s">
        <v>3665</v>
      </c>
      <c r="H368" s="31" t="s">
        <v>3666</v>
      </c>
      <c r="I368" s="37" t="s">
        <v>3667</v>
      </c>
      <c r="J368" s="31" t="s">
        <v>3611</v>
      </c>
      <c r="K368" s="31" t="s">
        <v>446</v>
      </c>
      <c r="L368" s="30" t="s">
        <v>2232</v>
      </c>
      <c r="M368" s="31" t="s">
        <v>2328</v>
      </c>
    </row>
    <row r="369" spans="1:13" s="30" customFormat="1" ht="60" x14ac:dyDescent="0.25">
      <c r="A369" s="31" t="s">
        <v>3115</v>
      </c>
      <c r="B369" s="32" t="s">
        <v>1832</v>
      </c>
      <c r="C369" s="31" t="b">
        <v>0</v>
      </c>
      <c r="D369" s="31">
        <v>6</v>
      </c>
      <c r="E369" s="38" t="s">
        <v>1833</v>
      </c>
      <c r="F369" s="31" t="s">
        <v>131</v>
      </c>
      <c r="G369" s="31" t="s">
        <v>3665</v>
      </c>
      <c r="H369" s="31" t="s">
        <v>3666</v>
      </c>
      <c r="I369" s="37" t="s">
        <v>3667</v>
      </c>
      <c r="J369" s="31" t="s">
        <v>3613</v>
      </c>
      <c r="K369" s="31" t="s">
        <v>446</v>
      </c>
      <c r="L369" s="30" t="s">
        <v>2232</v>
      </c>
      <c r="M369" s="31" t="s">
        <v>2328</v>
      </c>
    </row>
    <row r="370" spans="1:13" s="30" customFormat="1" ht="45" x14ac:dyDescent="0.25">
      <c r="A370" s="31" t="s">
        <v>3116</v>
      </c>
      <c r="B370" s="32" t="s">
        <v>1834</v>
      </c>
      <c r="C370" s="31" t="b">
        <v>0</v>
      </c>
      <c r="D370" s="31">
        <v>6</v>
      </c>
      <c r="E370" s="38" t="s">
        <v>1835</v>
      </c>
      <c r="F370" s="31" t="s">
        <v>131</v>
      </c>
      <c r="G370" s="31" t="s">
        <v>3665</v>
      </c>
      <c r="H370" s="31" t="s">
        <v>3666</v>
      </c>
      <c r="I370" s="37" t="s">
        <v>3667</v>
      </c>
      <c r="J370" s="31" t="s">
        <v>3615</v>
      </c>
      <c r="K370" s="31" t="s">
        <v>446</v>
      </c>
      <c r="L370" s="30" t="s">
        <v>2232</v>
      </c>
      <c r="M370" s="31" t="s">
        <v>2328</v>
      </c>
    </row>
    <row r="371" spans="1:13" s="30" customFormat="1" ht="45" x14ac:dyDescent="0.25">
      <c r="A371" s="31" t="s">
        <v>3117</v>
      </c>
      <c r="B371" s="32" t="s">
        <v>1836</v>
      </c>
      <c r="C371" s="31" t="b">
        <v>0</v>
      </c>
      <c r="D371" s="31">
        <v>6</v>
      </c>
      <c r="E371" s="38" t="s">
        <v>1837</v>
      </c>
      <c r="F371" s="31" t="s">
        <v>131</v>
      </c>
      <c r="G371" s="31" t="s">
        <v>3665</v>
      </c>
      <c r="H371" s="31" t="s">
        <v>3666</v>
      </c>
      <c r="I371" s="37" t="s">
        <v>3667</v>
      </c>
      <c r="J371" s="31" t="s">
        <v>3617</v>
      </c>
      <c r="K371" s="31" t="s">
        <v>446</v>
      </c>
      <c r="L371" s="30" t="s">
        <v>2232</v>
      </c>
      <c r="M371" s="31" t="s">
        <v>2328</v>
      </c>
    </row>
    <row r="372" spans="1:13" s="30" customFormat="1" ht="45" x14ac:dyDescent="0.25">
      <c r="A372" s="31" t="s">
        <v>3118</v>
      </c>
      <c r="B372" s="32" t="s">
        <v>1838</v>
      </c>
      <c r="C372" s="31" t="b">
        <v>0</v>
      </c>
      <c r="D372" s="31">
        <v>6</v>
      </c>
      <c r="E372" s="38" t="s">
        <v>1839</v>
      </c>
      <c r="F372" s="31" t="s">
        <v>131</v>
      </c>
      <c r="G372" s="31" t="s">
        <v>3665</v>
      </c>
      <c r="H372" s="31" t="s">
        <v>3666</v>
      </c>
      <c r="I372" s="37" t="s">
        <v>3667</v>
      </c>
      <c r="J372" s="31" t="s">
        <v>3619</v>
      </c>
      <c r="K372" s="31" t="s">
        <v>446</v>
      </c>
      <c r="L372" s="30" t="s">
        <v>2232</v>
      </c>
      <c r="M372" s="31" t="s">
        <v>2328</v>
      </c>
    </row>
    <row r="373" spans="1:13" s="30" customFormat="1" ht="60" x14ac:dyDescent="0.25">
      <c r="A373" s="31" t="s">
        <v>3119</v>
      </c>
      <c r="B373" s="32" t="s">
        <v>1840</v>
      </c>
      <c r="C373" s="31" t="b">
        <v>0</v>
      </c>
      <c r="D373" s="31">
        <v>6</v>
      </c>
      <c r="E373" s="38" t="s">
        <v>1841</v>
      </c>
      <c r="F373" s="31" t="s">
        <v>131</v>
      </c>
      <c r="G373" s="31" t="s">
        <v>3665</v>
      </c>
      <c r="H373" s="31" t="s">
        <v>3666</v>
      </c>
      <c r="I373" s="37" t="s">
        <v>3667</v>
      </c>
      <c r="J373" s="31" t="s">
        <v>3621</v>
      </c>
      <c r="K373" s="31" t="s">
        <v>446</v>
      </c>
      <c r="L373" s="30" t="s">
        <v>2232</v>
      </c>
      <c r="M373" s="31" t="s">
        <v>2328</v>
      </c>
    </row>
    <row r="374" spans="1:13" s="30" customFormat="1" ht="60" x14ac:dyDescent="0.25">
      <c r="A374" s="31" t="s">
        <v>3120</v>
      </c>
      <c r="B374" s="32" t="s">
        <v>1842</v>
      </c>
      <c r="C374" s="31" t="b">
        <v>0</v>
      </c>
      <c r="D374" s="31">
        <v>6</v>
      </c>
      <c r="E374" s="38" t="s">
        <v>1843</v>
      </c>
      <c r="F374" s="31" t="s">
        <v>131</v>
      </c>
      <c r="G374" s="31" t="s">
        <v>3665</v>
      </c>
      <c r="H374" s="31" t="s">
        <v>3666</v>
      </c>
      <c r="I374" s="37" t="s">
        <v>3667</v>
      </c>
      <c r="J374" s="31" t="s">
        <v>3623</v>
      </c>
      <c r="K374" s="31" t="s">
        <v>446</v>
      </c>
      <c r="L374" s="30" t="s">
        <v>2232</v>
      </c>
      <c r="M374" s="31" t="s">
        <v>2328</v>
      </c>
    </row>
    <row r="375" spans="1:13" s="30" customFormat="1" ht="45" x14ac:dyDescent="0.25">
      <c r="A375" s="31" t="s">
        <v>3121</v>
      </c>
      <c r="B375" s="32" t="s">
        <v>1844</v>
      </c>
      <c r="C375" s="31" t="b">
        <v>0</v>
      </c>
      <c r="D375" s="31">
        <v>6</v>
      </c>
      <c r="E375" s="38" t="s">
        <v>1845</v>
      </c>
      <c r="F375" s="31" t="s">
        <v>131</v>
      </c>
      <c r="G375" s="31" t="s">
        <v>3665</v>
      </c>
      <c r="H375" s="31" t="s">
        <v>3666</v>
      </c>
      <c r="I375" s="37" t="s">
        <v>3667</v>
      </c>
      <c r="J375" s="31" t="s">
        <v>2328</v>
      </c>
      <c r="K375" s="31" t="s">
        <v>446</v>
      </c>
      <c r="L375" s="30" t="s">
        <v>2232</v>
      </c>
      <c r="M375" s="31" t="s">
        <v>2328</v>
      </c>
    </row>
    <row r="376" spans="1:13" s="30" customFormat="1" ht="45" x14ac:dyDescent="0.25">
      <c r="A376" s="31" t="s">
        <v>3122</v>
      </c>
      <c r="B376" s="32" t="s">
        <v>1846</v>
      </c>
      <c r="C376" s="31" t="b">
        <v>0</v>
      </c>
      <c r="D376" s="31">
        <v>6</v>
      </c>
      <c r="E376" s="38" t="s">
        <v>1847</v>
      </c>
      <c r="F376" s="31" t="s">
        <v>131</v>
      </c>
      <c r="G376" s="31" t="s">
        <v>3665</v>
      </c>
      <c r="H376" s="31" t="s">
        <v>3666</v>
      </c>
      <c r="I376" s="37" t="s">
        <v>3667</v>
      </c>
      <c r="J376" s="31" t="s">
        <v>2328</v>
      </c>
      <c r="K376" s="31" t="s">
        <v>446</v>
      </c>
      <c r="L376" s="30" t="s">
        <v>2232</v>
      </c>
      <c r="M376" s="31" t="s">
        <v>2328</v>
      </c>
    </row>
    <row r="377" spans="1:13" s="30" customFormat="1" ht="45" x14ac:dyDescent="0.25">
      <c r="A377" s="31" t="s">
        <v>3123</v>
      </c>
      <c r="B377" s="32" t="s">
        <v>1848</v>
      </c>
      <c r="C377" s="31" t="b">
        <v>0</v>
      </c>
      <c r="D377" s="31">
        <v>6</v>
      </c>
      <c r="E377" s="38" t="s">
        <v>1849</v>
      </c>
      <c r="F377" s="31" t="s">
        <v>131</v>
      </c>
      <c r="G377" s="31" t="s">
        <v>3665</v>
      </c>
      <c r="H377" s="31" t="s">
        <v>3666</v>
      </c>
      <c r="I377" s="37" t="s">
        <v>3667</v>
      </c>
      <c r="J377" s="31" t="s">
        <v>2328</v>
      </c>
      <c r="K377" s="31" t="s">
        <v>446</v>
      </c>
      <c r="L377" s="30" t="s">
        <v>2232</v>
      </c>
      <c r="M377" s="31" t="s">
        <v>2328</v>
      </c>
    </row>
    <row r="378" spans="1:13" s="30" customFormat="1" ht="45" x14ac:dyDescent="0.25">
      <c r="A378" s="31" t="s">
        <v>3124</v>
      </c>
      <c r="B378" s="32" t="s">
        <v>1850</v>
      </c>
      <c r="C378" s="31" t="b">
        <v>0</v>
      </c>
      <c r="D378" s="31">
        <v>6</v>
      </c>
      <c r="E378" s="38" t="s">
        <v>1851</v>
      </c>
      <c r="F378" s="31" t="s">
        <v>131</v>
      </c>
      <c r="G378" s="31" t="s">
        <v>3665</v>
      </c>
      <c r="H378" s="31" t="s">
        <v>3666</v>
      </c>
      <c r="I378" s="37" t="s">
        <v>3667</v>
      </c>
      <c r="J378" s="31" t="s">
        <v>2328</v>
      </c>
      <c r="K378" s="31" t="s">
        <v>446</v>
      </c>
      <c r="L378" s="30" t="s">
        <v>2232</v>
      </c>
      <c r="M378" s="31" t="s">
        <v>2328</v>
      </c>
    </row>
    <row r="379" spans="1:13" s="30" customFormat="1" ht="45" x14ac:dyDescent="0.25">
      <c r="A379" s="31" t="s">
        <v>3125</v>
      </c>
      <c r="B379" s="32" t="s">
        <v>1852</v>
      </c>
      <c r="C379" s="31" t="b">
        <v>0</v>
      </c>
      <c r="D379" s="31">
        <v>6</v>
      </c>
      <c r="E379" s="38" t="s">
        <v>1853</v>
      </c>
      <c r="F379" s="31" t="s">
        <v>131</v>
      </c>
      <c r="G379" s="31" t="s">
        <v>3665</v>
      </c>
      <c r="H379" s="31" t="s">
        <v>3666</v>
      </c>
      <c r="I379" s="37" t="s">
        <v>3667</v>
      </c>
      <c r="J379" s="31" t="s">
        <v>2328</v>
      </c>
      <c r="K379" s="31" t="s">
        <v>446</v>
      </c>
      <c r="L379" s="30" t="s">
        <v>2232</v>
      </c>
      <c r="M379" s="31" t="s">
        <v>2328</v>
      </c>
    </row>
    <row r="380" spans="1:13" s="30" customFormat="1" ht="45" x14ac:dyDescent="0.25">
      <c r="A380" s="31" t="s">
        <v>3126</v>
      </c>
      <c r="B380" s="32" t="s">
        <v>1854</v>
      </c>
      <c r="C380" s="31" t="b">
        <v>0</v>
      </c>
      <c r="D380" s="31">
        <v>6</v>
      </c>
      <c r="E380" s="38" t="s">
        <v>1855</v>
      </c>
      <c r="F380" s="31" t="s">
        <v>131</v>
      </c>
      <c r="G380" s="31" t="s">
        <v>3665</v>
      </c>
      <c r="H380" s="31" t="s">
        <v>3666</v>
      </c>
      <c r="I380" s="37" t="s">
        <v>3667</v>
      </c>
      <c r="J380" s="31" t="s">
        <v>2328</v>
      </c>
      <c r="K380" s="31" t="s">
        <v>446</v>
      </c>
      <c r="L380" s="30" t="s">
        <v>2232</v>
      </c>
      <c r="M380" s="31" t="s">
        <v>2328</v>
      </c>
    </row>
    <row r="381" spans="1:13" s="30" customFormat="1" ht="45" x14ac:dyDescent="0.25">
      <c r="A381" s="31" t="s">
        <v>3127</v>
      </c>
      <c r="B381" s="32" t="s">
        <v>1856</v>
      </c>
      <c r="C381" s="31" t="b">
        <v>0</v>
      </c>
      <c r="D381" s="31">
        <v>6</v>
      </c>
      <c r="E381" s="38" t="s">
        <v>1857</v>
      </c>
      <c r="F381" s="31" t="s">
        <v>131</v>
      </c>
      <c r="G381" s="31" t="s">
        <v>3665</v>
      </c>
      <c r="H381" s="31" t="s">
        <v>3666</v>
      </c>
      <c r="I381" s="37" t="s">
        <v>3667</v>
      </c>
      <c r="J381" s="31" t="s">
        <v>2328</v>
      </c>
      <c r="K381" s="31" t="s">
        <v>446</v>
      </c>
      <c r="L381" s="30" t="s">
        <v>2232</v>
      </c>
      <c r="M381" s="31" t="s">
        <v>2328</v>
      </c>
    </row>
    <row r="382" spans="1:13" s="30" customFormat="1" ht="45" x14ac:dyDescent="0.25">
      <c r="A382" s="31" t="s">
        <v>3128</v>
      </c>
      <c r="B382" s="32" t="s">
        <v>1858</v>
      </c>
      <c r="C382" s="31" t="b">
        <v>0</v>
      </c>
      <c r="D382" s="31">
        <v>6</v>
      </c>
      <c r="E382" s="38" t="s">
        <v>1859</v>
      </c>
      <c r="F382" s="31" t="s">
        <v>131</v>
      </c>
      <c r="G382" s="31" t="s">
        <v>3665</v>
      </c>
      <c r="H382" s="31" t="s">
        <v>3666</v>
      </c>
      <c r="I382" s="37" t="s">
        <v>3667</v>
      </c>
      <c r="J382" s="31" t="s">
        <v>2328</v>
      </c>
      <c r="K382" s="31" t="s">
        <v>446</v>
      </c>
      <c r="L382" s="30" t="s">
        <v>2232</v>
      </c>
      <c r="M382" s="31" t="s">
        <v>2328</v>
      </c>
    </row>
    <row r="383" spans="1:13" s="30" customFormat="1" ht="45" x14ac:dyDescent="0.25">
      <c r="A383" s="31" t="s">
        <v>3129</v>
      </c>
      <c r="B383" s="32" t="s">
        <v>1860</v>
      </c>
      <c r="C383" s="31" t="b">
        <v>0</v>
      </c>
      <c r="D383" s="31">
        <v>6</v>
      </c>
      <c r="E383" s="38" t="s">
        <v>1861</v>
      </c>
      <c r="F383" s="31" t="s">
        <v>131</v>
      </c>
      <c r="G383" s="31" t="s">
        <v>3665</v>
      </c>
      <c r="H383" s="31" t="s">
        <v>3666</v>
      </c>
      <c r="I383" s="37" t="s">
        <v>3667</v>
      </c>
      <c r="J383" s="31" t="s">
        <v>2328</v>
      </c>
      <c r="K383" s="31" t="s">
        <v>446</v>
      </c>
      <c r="L383" s="30" t="s">
        <v>2232</v>
      </c>
      <c r="M383" s="31" t="s">
        <v>2328</v>
      </c>
    </row>
    <row r="384" spans="1:13" s="30" customFormat="1" ht="45" x14ac:dyDescent="0.25">
      <c r="A384" s="31" t="s">
        <v>3130</v>
      </c>
      <c r="B384" s="32" t="s">
        <v>1862</v>
      </c>
      <c r="C384" s="31" t="b">
        <v>0</v>
      </c>
      <c r="D384" s="31">
        <v>6</v>
      </c>
      <c r="E384" s="38" t="s">
        <v>1863</v>
      </c>
      <c r="F384" s="31" t="s">
        <v>131</v>
      </c>
      <c r="G384" s="31" t="s">
        <v>3665</v>
      </c>
      <c r="H384" s="31" t="s">
        <v>3666</v>
      </c>
      <c r="I384" s="37" t="s">
        <v>3667</v>
      </c>
      <c r="J384" s="31" t="s">
        <v>2328</v>
      </c>
      <c r="K384" s="31" t="s">
        <v>446</v>
      </c>
      <c r="L384" s="30" t="s">
        <v>2232</v>
      </c>
      <c r="M384" s="31" t="s">
        <v>2328</v>
      </c>
    </row>
    <row r="385" spans="1:13" s="30" customFormat="1" ht="45" x14ac:dyDescent="0.25">
      <c r="A385" s="31" t="s">
        <v>3131</v>
      </c>
      <c r="B385" s="32" t="s">
        <v>1864</v>
      </c>
      <c r="C385" s="31" t="b">
        <v>0</v>
      </c>
      <c r="D385" s="31">
        <v>6</v>
      </c>
      <c r="E385" s="38" t="s">
        <v>1865</v>
      </c>
      <c r="F385" s="31" t="s">
        <v>131</v>
      </c>
      <c r="G385" s="31" t="s">
        <v>3665</v>
      </c>
      <c r="H385" s="31" t="s">
        <v>3666</v>
      </c>
      <c r="I385" s="37" t="s">
        <v>3667</v>
      </c>
      <c r="J385" s="31" t="s">
        <v>2328</v>
      </c>
      <c r="K385" s="31" t="s">
        <v>446</v>
      </c>
      <c r="L385" s="30" t="s">
        <v>2232</v>
      </c>
      <c r="M385" s="31" t="s">
        <v>2328</v>
      </c>
    </row>
    <row r="386" spans="1:13" s="30" customFormat="1" ht="45" x14ac:dyDescent="0.25">
      <c r="A386" s="31" t="s">
        <v>3132</v>
      </c>
      <c r="B386" s="32" t="s">
        <v>1866</v>
      </c>
      <c r="C386" s="31" t="b">
        <v>0</v>
      </c>
      <c r="D386" s="31">
        <v>6</v>
      </c>
      <c r="E386" s="38" t="s">
        <v>1867</v>
      </c>
      <c r="F386" s="31" t="s">
        <v>131</v>
      </c>
      <c r="G386" s="31" t="s">
        <v>3665</v>
      </c>
      <c r="H386" s="31" t="s">
        <v>3666</v>
      </c>
      <c r="I386" s="37" t="s">
        <v>3667</v>
      </c>
      <c r="J386" s="31" t="s">
        <v>2328</v>
      </c>
      <c r="K386" s="31" t="s">
        <v>446</v>
      </c>
      <c r="L386" s="30" t="s">
        <v>2232</v>
      </c>
      <c r="M386" s="31" t="s">
        <v>2328</v>
      </c>
    </row>
    <row r="387" spans="1:13" s="30" customFormat="1" ht="45" x14ac:dyDescent="0.25">
      <c r="A387" s="31" t="s">
        <v>3133</v>
      </c>
      <c r="B387" s="32" t="s">
        <v>1868</v>
      </c>
      <c r="C387" s="31" t="b">
        <v>0</v>
      </c>
      <c r="D387" s="31">
        <v>6</v>
      </c>
      <c r="E387" s="38" t="s">
        <v>1869</v>
      </c>
      <c r="F387" s="31" t="s">
        <v>131</v>
      </c>
      <c r="G387" s="31" t="s">
        <v>3665</v>
      </c>
      <c r="H387" s="31" t="s">
        <v>3666</v>
      </c>
      <c r="I387" s="37" t="s">
        <v>3667</v>
      </c>
      <c r="J387" s="31" t="s">
        <v>2328</v>
      </c>
      <c r="K387" s="31" t="s">
        <v>446</v>
      </c>
      <c r="L387" s="30" t="s">
        <v>2232</v>
      </c>
      <c r="M387" s="31" t="s">
        <v>2328</v>
      </c>
    </row>
    <row r="388" spans="1:13" s="30" customFormat="1" ht="45" x14ac:dyDescent="0.25">
      <c r="A388" s="31" t="s">
        <v>3134</v>
      </c>
      <c r="B388" s="32" t="s">
        <v>1870</v>
      </c>
      <c r="C388" s="31" t="b">
        <v>0</v>
      </c>
      <c r="D388" s="31">
        <v>6</v>
      </c>
      <c r="E388" s="38" t="s">
        <v>1871</v>
      </c>
      <c r="F388" s="31" t="s">
        <v>131</v>
      </c>
      <c r="G388" s="31" t="s">
        <v>3665</v>
      </c>
      <c r="H388" s="31" t="s">
        <v>3666</v>
      </c>
      <c r="I388" s="37" t="s">
        <v>3667</v>
      </c>
      <c r="J388" s="31" t="s">
        <v>2328</v>
      </c>
      <c r="K388" s="31" t="s">
        <v>446</v>
      </c>
      <c r="L388" s="30" t="s">
        <v>2232</v>
      </c>
      <c r="M388" s="31" t="s">
        <v>2328</v>
      </c>
    </row>
    <row r="389" spans="1:13" s="30" customFormat="1" ht="45" x14ac:dyDescent="0.25">
      <c r="A389" s="31" t="s">
        <v>3135</v>
      </c>
      <c r="B389" s="32" t="s">
        <v>1872</v>
      </c>
      <c r="C389" s="31" t="b">
        <v>0</v>
      </c>
      <c r="D389" s="31">
        <v>6</v>
      </c>
      <c r="E389" s="38" t="s">
        <v>1873</v>
      </c>
      <c r="F389" s="31" t="s">
        <v>131</v>
      </c>
      <c r="G389" s="31" t="s">
        <v>3665</v>
      </c>
      <c r="H389" s="31" t="s">
        <v>3666</v>
      </c>
      <c r="I389" s="37" t="s">
        <v>3667</v>
      </c>
      <c r="J389" s="31" t="s">
        <v>2328</v>
      </c>
      <c r="K389" s="31" t="s">
        <v>446</v>
      </c>
      <c r="L389" s="30" t="s">
        <v>2232</v>
      </c>
      <c r="M389" s="31" t="s">
        <v>2328</v>
      </c>
    </row>
    <row r="390" spans="1:13" s="30" customFormat="1" ht="45" x14ac:dyDescent="0.25">
      <c r="A390" s="31" t="s">
        <v>3136</v>
      </c>
      <c r="B390" s="32" t="s">
        <v>1874</v>
      </c>
      <c r="C390" s="31" t="b">
        <v>0</v>
      </c>
      <c r="D390" s="31">
        <v>6</v>
      </c>
      <c r="E390" s="38" t="s">
        <v>1875</v>
      </c>
      <c r="F390" s="31" t="s">
        <v>131</v>
      </c>
      <c r="G390" s="31" t="s">
        <v>3665</v>
      </c>
      <c r="H390" s="31" t="s">
        <v>3666</v>
      </c>
      <c r="I390" s="37" t="s">
        <v>3667</v>
      </c>
      <c r="J390" s="31" t="s">
        <v>2328</v>
      </c>
      <c r="K390" s="31" t="s">
        <v>446</v>
      </c>
      <c r="L390" s="30" t="s">
        <v>2232</v>
      </c>
      <c r="M390" s="31" t="s">
        <v>2328</v>
      </c>
    </row>
    <row r="391" spans="1:13" s="30" customFormat="1" ht="45" x14ac:dyDescent="0.25">
      <c r="A391" s="31" t="s">
        <v>3137</v>
      </c>
      <c r="B391" s="32" t="s">
        <v>1876</v>
      </c>
      <c r="C391" s="31" t="b">
        <v>0</v>
      </c>
      <c r="D391" s="31">
        <v>6</v>
      </c>
      <c r="E391" s="38" t="s">
        <v>1877</v>
      </c>
      <c r="F391" s="31" t="s">
        <v>131</v>
      </c>
      <c r="G391" s="31" t="s">
        <v>3665</v>
      </c>
      <c r="H391" s="31" t="s">
        <v>3666</v>
      </c>
      <c r="I391" s="37" t="s">
        <v>3667</v>
      </c>
      <c r="J391" s="31" t="s">
        <v>2328</v>
      </c>
      <c r="K391" s="31" t="s">
        <v>446</v>
      </c>
      <c r="L391" s="30" t="s">
        <v>2232</v>
      </c>
      <c r="M391" s="31" t="s">
        <v>2328</v>
      </c>
    </row>
    <row r="392" spans="1:13" s="30" customFormat="1" ht="45" x14ac:dyDescent="0.25">
      <c r="A392" s="31" t="s">
        <v>3138</v>
      </c>
      <c r="B392" s="32" t="s">
        <v>1878</v>
      </c>
      <c r="C392" s="31" t="b">
        <v>0</v>
      </c>
      <c r="D392" s="31">
        <v>6</v>
      </c>
      <c r="E392" s="38" t="s">
        <v>1879</v>
      </c>
      <c r="F392" s="31" t="s">
        <v>131</v>
      </c>
      <c r="G392" s="31" t="s">
        <v>3665</v>
      </c>
      <c r="H392" s="31" t="s">
        <v>3666</v>
      </c>
      <c r="I392" s="37" t="s">
        <v>3667</v>
      </c>
      <c r="J392" s="31" t="s">
        <v>2328</v>
      </c>
      <c r="K392" s="31" t="s">
        <v>446</v>
      </c>
      <c r="L392" s="30" t="s">
        <v>2232</v>
      </c>
      <c r="M392" s="31" t="s">
        <v>2328</v>
      </c>
    </row>
    <row r="393" spans="1:13" s="30" customFormat="1" ht="45" x14ac:dyDescent="0.25">
      <c r="A393" s="31" t="s">
        <v>3139</v>
      </c>
      <c r="B393" s="32" t="s">
        <v>1880</v>
      </c>
      <c r="C393" s="31" t="b">
        <v>0</v>
      </c>
      <c r="D393" s="31">
        <v>6</v>
      </c>
      <c r="E393" s="38" t="s">
        <v>1881</v>
      </c>
      <c r="F393" s="31" t="s">
        <v>131</v>
      </c>
      <c r="G393" s="31" t="s">
        <v>3665</v>
      </c>
      <c r="H393" s="31" t="s">
        <v>3666</v>
      </c>
      <c r="I393" s="37" t="s">
        <v>3667</v>
      </c>
      <c r="J393" s="31" t="s">
        <v>2328</v>
      </c>
      <c r="K393" s="31" t="s">
        <v>446</v>
      </c>
      <c r="L393" s="30" t="s">
        <v>2232</v>
      </c>
      <c r="M393" s="31" t="s">
        <v>2328</v>
      </c>
    </row>
    <row r="394" spans="1:13" s="30" customFormat="1" ht="45" x14ac:dyDescent="0.25">
      <c r="A394" s="31" t="s">
        <v>3140</v>
      </c>
      <c r="B394" s="32" t="s">
        <v>1882</v>
      </c>
      <c r="C394" s="31" t="b">
        <v>0</v>
      </c>
      <c r="D394" s="31">
        <v>6</v>
      </c>
      <c r="E394" s="38" t="s">
        <v>1883</v>
      </c>
      <c r="F394" s="31" t="s">
        <v>131</v>
      </c>
      <c r="G394" s="31" t="s">
        <v>3665</v>
      </c>
      <c r="H394" s="31" t="s">
        <v>3666</v>
      </c>
      <c r="I394" s="37" t="s">
        <v>3667</v>
      </c>
      <c r="J394" s="31" t="s">
        <v>2328</v>
      </c>
      <c r="K394" s="31" t="s">
        <v>446</v>
      </c>
      <c r="L394" s="30" t="s">
        <v>2232</v>
      </c>
      <c r="M394" s="31" t="s">
        <v>2328</v>
      </c>
    </row>
    <row r="395" spans="1:13" s="30" customFormat="1" ht="45" x14ac:dyDescent="0.25">
      <c r="A395" s="31" t="s">
        <v>3141</v>
      </c>
      <c r="B395" s="32" t="s">
        <v>1884</v>
      </c>
      <c r="C395" s="31" t="b">
        <v>0</v>
      </c>
      <c r="D395" s="31">
        <v>6</v>
      </c>
      <c r="E395" s="38" t="s">
        <v>1885</v>
      </c>
      <c r="F395" s="31" t="s">
        <v>131</v>
      </c>
      <c r="G395" s="31" t="s">
        <v>3665</v>
      </c>
      <c r="H395" s="31" t="s">
        <v>3666</v>
      </c>
      <c r="I395" s="37" t="s">
        <v>3667</v>
      </c>
      <c r="J395" s="31" t="s">
        <v>2328</v>
      </c>
      <c r="K395" s="31" t="s">
        <v>446</v>
      </c>
      <c r="L395" s="30" t="s">
        <v>2232</v>
      </c>
      <c r="M395" s="31" t="s">
        <v>2328</v>
      </c>
    </row>
    <row r="396" spans="1:13" s="30" customFormat="1" ht="45" x14ac:dyDescent="0.25">
      <c r="A396" s="31" t="s">
        <v>3142</v>
      </c>
      <c r="B396" s="32" t="s">
        <v>1886</v>
      </c>
      <c r="C396" s="31" t="b">
        <v>0</v>
      </c>
      <c r="D396" s="31">
        <v>6</v>
      </c>
      <c r="E396" s="38" t="s">
        <v>1887</v>
      </c>
      <c r="F396" s="31" t="s">
        <v>131</v>
      </c>
      <c r="G396" s="31" t="s">
        <v>3665</v>
      </c>
      <c r="H396" s="31" t="s">
        <v>3666</v>
      </c>
      <c r="I396" s="37" t="s">
        <v>3667</v>
      </c>
      <c r="J396" s="31" t="s">
        <v>2328</v>
      </c>
      <c r="K396" s="31" t="s">
        <v>446</v>
      </c>
      <c r="L396" s="30" t="s">
        <v>2232</v>
      </c>
      <c r="M396" s="31" t="s">
        <v>2328</v>
      </c>
    </row>
    <row r="397" spans="1:13" s="30" customFormat="1" ht="45" x14ac:dyDescent="0.25">
      <c r="A397" s="31" t="s">
        <v>3143</v>
      </c>
      <c r="B397" s="32" t="s">
        <v>1888</v>
      </c>
      <c r="C397" s="31" t="b">
        <v>0</v>
      </c>
      <c r="D397" s="31">
        <v>6</v>
      </c>
      <c r="E397" s="38" t="s">
        <v>1889</v>
      </c>
      <c r="F397" s="31" t="s">
        <v>131</v>
      </c>
      <c r="G397" s="31" t="s">
        <v>3665</v>
      </c>
      <c r="H397" s="31" t="s">
        <v>3666</v>
      </c>
      <c r="I397" s="37" t="s">
        <v>3667</v>
      </c>
      <c r="J397" s="31" t="s">
        <v>2328</v>
      </c>
      <c r="K397" s="31" t="s">
        <v>446</v>
      </c>
      <c r="L397" s="30" t="s">
        <v>2232</v>
      </c>
      <c r="M397" s="31" t="s">
        <v>2328</v>
      </c>
    </row>
    <row r="398" spans="1:13" s="30" customFormat="1" ht="45" x14ac:dyDescent="0.25">
      <c r="A398" s="31" t="s">
        <v>3144</v>
      </c>
      <c r="B398" s="32" t="s">
        <v>1890</v>
      </c>
      <c r="C398" s="31" t="b">
        <v>0</v>
      </c>
      <c r="D398" s="31">
        <v>6</v>
      </c>
      <c r="E398" s="38" t="s">
        <v>1891</v>
      </c>
      <c r="F398" s="31" t="s">
        <v>131</v>
      </c>
      <c r="G398" s="31" t="s">
        <v>3665</v>
      </c>
      <c r="H398" s="31" t="s">
        <v>3666</v>
      </c>
      <c r="I398" s="37" t="s">
        <v>3667</v>
      </c>
      <c r="J398" s="31" t="s">
        <v>2328</v>
      </c>
      <c r="K398" s="31" t="s">
        <v>446</v>
      </c>
      <c r="L398" s="30" t="s">
        <v>2232</v>
      </c>
      <c r="M398" s="31" t="s">
        <v>2328</v>
      </c>
    </row>
    <row r="399" spans="1:13" s="30" customFormat="1" ht="45" x14ac:dyDescent="0.25">
      <c r="A399" s="31" t="s">
        <v>3145</v>
      </c>
      <c r="B399" s="32" t="s">
        <v>1892</v>
      </c>
      <c r="C399" s="31" t="b">
        <v>0</v>
      </c>
      <c r="D399" s="31">
        <v>6</v>
      </c>
      <c r="E399" s="38" t="s">
        <v>1893</v>
      </c>
      <c r="F399" s="31" t="s">
        <v>131</v>
      </c>
      <c r="G399" s="31" t="s">
        <v>3665</v>
      </c>
      <c r="H399" s="31" t="s">
        <v>3666</v>
      </c>
      <c r="I399" s="37" t="s">
        <v>3667</v>
      </c>
      <c r="J399" s="31" t="s">
        <v>2328</v>
      </c>
      <c r="K399" s="31" t="s">
        <v>446</v>
      </c>
      <c r="L399" s="30" t="s">
        <v>2503</v>
      </c>
      <c r="M399" s="31" t="s">
        <v>2328</v>
      </c>
    </row>
    <row r="400" spans="1:13" s="30" customFormat="1" ht="45" x14ac:dyDescent="0.25">
      <c r="A400" s="31" t="s">
        <v>3146</v>
      </c>
      <c r="B400" s="32" t="s">
        <v>1894</v>
      </c>
      <c r="C400" s="31" t="b">
        <v>0</v>
      </c>
      <c r="D400" s="31">
        <v>6</v>
      </c>
      <c r="E400" s="38" t="s">
        <v>1895</v>
      </c>
      <c r="F400" s="31" t="s">
        <v>131</v>
      </c>
      <c r="G400" s="31" t="s">
        <v>3665</v>
      </c>
      <c r="H400" s="31" t="s">
        <v>3666</v>
      </c>
      <c r="I400" s="37" t="s">
        <v>3667</v>
      </c>
      <c r="J400" s="31" t="s">
        <v>2328</v>
      </c>
      <c r="K400" s="31" t="s">
        <v>446</v>
      </c>
      <c r="L400" s="30" t="s">
        <v>2503</v>
      </c>
      <c r="M400" s="31" t="s">
        <v>2328</v>
      </c>
    </row>
    <row r="401" spans="1:13" s="30" customFormat="1" ht="45" x14ac:dyDescent="0.25">
      <c r="A401" s="31" t="s">
        <v>3147</v>
      </c>
      <c r="B401" s="32" t="s">
        <v>1896</v>
      </c>
      <c r="C401" s="31" t="b">
        <v>0</v>
      </c>
      <c r="D401" s="31">
        <v>6</v>
      </c>
      <c r="E401" s="38" t="s">
        <v>1897</v>
      </c>
      <c r="F401" s="31" t="s">
        <v>131</v>
      </c>
      <c r="G401" s="31" t="s">
        <v>3665</v>
      </c>
      <c r="H401" s="31" t="s">
        <v>3666</v>
      </c>
      <c r="I401" s="37" t="s">
        <v>3667</v>
      </c>
      <c r="J401" s="31" t="s">
        <v>2328</v>
      </c>
      <c r="K401" s="31" t="s">
        <v>446</v>
      </c>
      <c r="L401" s="30" t="s">
        <v>2503</v>
      </c>
      <c r="M401" s="31" t="s">
        <v>2328</v>
      </c>
    </row>
    <row r="402" spans="1:13" s="30" customFormat="1" ht="45" x14ac:dyDescent="0.25">
      <c r="A402" s="31" t="s">
        <v>3148</v>
      </c>
      <c r="B402" s="32" t="s">
        <v>1898</v>
      </c>
      <c r="C402" s="31" t="b">
        <v>0</v>
      </c>
      <c r="D402" s="31">
        <v>6</v>
      </c>
      <c r="E402" s="38" t="s">
        <v>1899</v>
      </c>
      <c r="F402" s="31" t="s">
        <v>131</v>
      </c>
      <c r="G402" s="31" t="s">
        <v>3665</v>
      </c>
      <c r="H402" s="31" t="s">
        <v>3666</v>
      </c>
      <c r="I402" s="37" t="s">
        <v>3667</v>
      </c>
      <c r="J402" s="31" t="s">
        <v>2328</v>
      </c>
      <c r="K402" s="31" t="s">
        <v>446</v>
      </c>
      <c r="L402" s="30" t="s">
        <v>2503</v>
      </c>
      <c r="M402" s="31" t="s">
        <v>2328</v>
      </c>
    </row>
    <row r="403" spans="1:13" s="30" customFormat="1" ht="45" x14ac:dyDescent="0.25">
      <c r="A403" s="31" t="s">
        <v>3149</v>
      </c>
      <c r="B403" s="32" t="s">
        <v>1900</v>
      </c>
      <c r="C403" s="31" t="b">
        <v>0</v>
      </c>
      <c r="D403" s="31">
        <v>6</v>
      </c>
      <c r="E403" s="38" t="s">
        <v>1901</v>
      </c>
      <c r="F403" s="31" t="s">
        <v>131</v>
      </c>
      <c r="G403" s="31" t="s">
        <v>3665</v>
      </c>
      <c r="H403" s="31" t="s">
        <v>3666</v>
      </c>
      <c r="I403" s="37" t="s">
        <v>3667</v>
      </c>
      <c r="J403" s="31" t="s">
        <v>2328</v>
      </c>
      <c r="K403" s="31" t="s">
        <v>446</v>
      </c>
      <c r="L403" s="30" t="s">
        <v>2503</v>
      </c>
      <c r="M403" s="31" t="s">
        <v>2328</v>
      </c>
    </row>
    <row r="404" spans="1:13" s="30" customFormat="1" ht="45" x14ac:dyDescent="0.25">
      <c r="A404" s="31" t="s">
        <v>3150</v>
      </c>
      <c r="B404" s="32" t="s">
        <v>1902</v>
      </c>
      <c r="C404" s="31" t="b">
        <v>0</v>
      </c>
      <c r="D404" s="31">
        <v>6</v>
      </c>
      <c r="E404" s="38" t="s">
        <v>1903</v>
      </c>
      <c r="F404" s="31" t="s">
        <v>131</v>
      </c>
      <c r="G404" s="31" t="s">
        <v>3665</v>
      </c>
      <c r="H404" s="31" t="s">
        <v>3666</v>
      </c>
      <c r="I404" s="37" t="s">
        <v>3667</v>
      </c>
      <c r="J404" s="31" t="s">
        <v>2328</v>
      </c>
      <c r="K404" s="31" t="s">
        <v>446</v>
      </c>
      <c r="L404" s="30" t="s">
        <v>2503</v>
      </c>
      <c r="M404" s="31" t="s">
        <v>2328</v>
      </c>
    </row>
    <row r="405" spans="1:13" s="30" customFormat="1" ht="45" x14ac:dyDescent="0.25">
      <c r="A405" s="31" t="s">
        <v>3151</v>
      </c>
      <c r="B405" s="32" t="s">
        <v>1904</v>
      </c>
      <c r="C405" s="31" t="b">
        <v>0</v>
      </c>
      <c r="D405" s="31">
        <v>6</v>
      </c>
      <c r="E405" s="38" t="s">
        <v>1905</v>
      </c>
      <c r="F405" s="31" t="s">
        <v>131</v>
      </c>
      <c r="G405" s="31" t="s">
        <v>3665</v>
      </c>
      <c r="H405" s="31" t="s">
        <v>3666</v>
      </c>
      <c r="I405" s="37" t="s">
        <v>3667</v>
      </c>
      <c r="J405" s="31" t="s">
        <v>2328</v>
      </c>
      <c r="K405" s="31" t="s">
        <v>446</v>
      </c>
      <c r="L405" s="30" t="s">
        <v>2232</v>
      </c>
      <c r="M405" s="31" t="s">
        <v>2328</v>
      </c>
    </row>
    <row r="406" spans="1:13" s="30" customFormat="1" ht="45" x14ac:dyDescent="0.25">
      <c r="A406" s="31" t="s">
        <v>3152</v>
      </c>
      <c r="B406" s="32" t="s">
        <v>1906</v>
      </c>
      <c r="C406" s="31" t="b">
        <v>0</v>
      </c>
      <c r="D406" s="31">
        <v>6</v>
      </c>
      <c r="E406" s="38" t="s">
        <v>1907</v>
      </c>
      <c r="F406" s="31" t="s">
        <v>131</v>
      </c>
      <c r="G406" s="31" t="s">
        <v>3665</v>
      </c>
      <c r="H406" s="31" t="s">
        <v>3666</v>
      </c>
      <c r="I406" s="37" t="s">
        <v>3667</v>
      </c>
      <c r="J406" s="31" t="s">
        <v>2328</v>
      </c>
      <c r="K406" s="31" t="s">
        <v>446</v>
      </c>
      <c r="L406" s="30" t="s">
        <v>2232</v>
      </c>
      <c r="M406" s="31" t="s">
        <v>2328</v>
      </c>
    </row>
    <row r="407" spans="1:13" s="30" customFormat="1" ht="45" x14ac:dyDescent="0.25">
      <c r="A407" s="31" t="s">
        <v>3153</v>
      </c>
      <c r="B407" s="32" t="s">
        <v>1908</v>
      </c>
      <c r="C407" s="31" t="b">
        <v>0</v>
      </c>
      <c r="D407" s="31">
        <v>6</v>
      </c>
      <c r="E407" s="38" t="s">
        <v>1909</v>
      </c>
      <c r="F407" s="31" t="s">
        <v>131</v>
      </c>
      <c r="G407" s="31" t="s">
        <v>3665</v>
      </c>
      <c r="H407" s="31" t="s">
        <v>3666</v>
      </c>
      <c r="I407" s="37" t="s">
        <v>3667</v>
      </c>
      <c r="J407" s="31" t="s">
        <v>2328</v>
      </c>
      <c r="K407" s="31" t="s">
        <v>446</v>
      </c>
      <c r="L407" s="30" t="s">
        <v>2232</v>
      </c>
      <c r="M407" s="31" t="s">
        <v>2328</v>
      </c>
    </row>
    <row r="408" spans="1:13" s="30" customFormat="1" ht="45" x14ac:dyDescent="0.25">
      <c r="A408" s="31" t="s">
        <v>3154</v>
      </c>
      <c r="B408" s="32" t="s">
        <v>1910</v>
      </c>
      <c r="C408" s="31" t="b">
        <v>0</v>
      </c>
      <c r="D408" s="31">
        <v>6</v>
      </c>
      <c r="E408" s="38" t="s">
        <v>1911</v>
      </c>
      <c r="F408" s="31" t="s">
        <v>131</v>
      </c>
      <c r="G408" s="31" t="s">
        <v>3665</v>
      </c>
      <c r="H408" s="31" t="s">
        <v>3666</v>
      </c>
      <c r="I408" s="37" t="s">
        <v>3667</v>
      </c>
      <c r="J408" s="31" t="s">
        <v>2328</v>
      </c>
      <c r="K408" s="31" t="s">
        <v>446</v>
      </c>
      <c r="L408" s="30" t="s">
        <v>2232</v>
      </c>
      <c r="M408" s="31" t="s">
        <v>2328</v>
      </c>
    </row>
    <row r="409" spans="1:13" s="30" customFormat="1" ht="45" x14ac:dyDescent="0.25">
      <c r="A409" s="31" t="s">
        <v>3155</v>
      </c>
      <c r="B409" s="32" t="s">
        <v>1912</v>
      </c>
      <c r="C409" s="31" t="b">
        <v>0</v>
      </c>
      <c r="D409" s="31">
        <v>6</v>
      </c>
      <c r="E409" s="38" t="s">
        <v>1913</v>
      </c>
      <c r="F409" s="31" t="s">
        <v>131</v>
      </c>
      <c r="G409" s="31" t="s">
        <v>3665</v>
      </c>
      <c r="H409" s="31" t="s">
        <v>3666</v>
      </c>
      <c r="I409" s="37" t="s">
        <v>3667</v>
      </c>
      <c r="J409" s="31" t="s">
        <v>2328</v>
      </c>
      <c r="K409" s="31" t="s">
        <v>446</v>
      </c>
      <c r="L409" s="30" t="s">
        <v>2232</v>
      </c>
      <c r="M409" s="31" t="s">
        <v>2328</v>
      </c>
    </row>
    <row r="410" spans="1:13" s="30" customFormat="1" ht="45" x14ac:dyDescent="0.25">
      <c r="A410" s="31" t="s">
        <v>3156</v>
      </c>
      <c r="B410" s="32" t="s">
        <v>1914</v>
      </c>
      <c r="C410" s="31" t="b">
        <v>0</v>
      </c>
      <c r="D410" s="31">
        <v>6</v>
      </c>
      <c r="E410" s="38" t="s">
        <v>1915</v>
      </c>
      <c r="F410" s="31" t="s">
        <v>131</v>
      </c>
      <c r="G410" s="31" t="s">
        <v>3665</v>
      </c>
      <c r="H410" s="31" t="s">
        <v>3666</v>
      </c>
      <c r="I410" s="37" t="s">
        <v>3667</v>
      </c>
      <c r="J410" s="31" t="s">
        <v>2328</v>
      </c>
      <c r="K410" s="31" t="s">
        <v>446</v>
      </c>
      <c r="L410" s="30" t="s">
        <v>2232</v>
      </c>
      <c r="M410" s="31" t="s">
        <v>2328</v>
      </c>
    </row>
    <row r="411" spans="1:13" s="30" customFormat="1" ht="45" x14ac:dyDescent="0.25">
      <c r="A411" s="31" t="s">
        <v>3157</v>
      </c>
      <c r="B411" s="32" t="s">
        <v>1916</v>
      </c>
      <c r="C411" s="31" t="b">
        <v>0</v>
      </c>
      <c r="D411" s="31">
        <v>6</v>
      </c>
      <c r="E411" s="38" t="s">
        <v>1917</v>
      </c>
      <c r="F411" s="31" t="s">
        <v>131</v>
      </c>
      <c r="G411" s="31" t="s">
        <v>3665</v>
      </c>
      <c r="H411" s="31" t="s">
        <v>3666</v>
      </c>
      <c r="I411" s="37" t="s">
        <v>3667</v>
      </c>
      <c r="J411" s="31" t="s">
        <v>2328</v>
      </c>
      <c r="K411" s="31" t="s">
        <v>446</v>
      </c>
      <c r="L411" s="30" t="s">
        <v>2232</v>
      </c>
      <c r="M411" s="31" t="s">
        <v>2328</v>
      </c>
    </row>
    <row r="412" spans="1:13" s="30" customFormat="1" ht="45" x14ac:dyDescent="0.25">
      <c r="A412" s="31" t="s">
        <v>3158</v>
      </c>
      <c r="B412" s="32" t="s">
        <v>1918</v>
      </c>
      <c r="C412" s="31" t="b">
        <v>0</v>
      </c>
      <c r="D412" s="31">
        <v>6</v>
      </c>
      <c r="E412" s="38" t="s">
        <v>1919</v>
      </c>
      <c r="F412" s="31" t="s">
        <v>131</v>
      </c>
      <c r="G412" s="31" t="s">
        <v>3665</v>
      </c>
      <c r="H412" s="31" t="s">
        <v>3666</v>
      </c>
      <c r="I412" s="37" t="s">
        <v>3667</v>
      </c>
      <c r="J412" s="31" t="s">
        <v>2328</v>
      </c>
      <c r="K412" s="31" t="s">
        <v>446</v>
      </c>
      <c r="L412" s="30" t="s">
        <v>2232</v>
      </c>
      <c r="M412" s="31" t="s">
        <v>2328</v>
      </c>
    </row>
    <row r="413" spans="1:13" s="30" customFormat="1" ht="45" x14ac:dyDescent="0.25">
      <c r="A413" s="31" t="s">
        <v>3159</v>
      </c>
      <c r="B413" s="32" t="s">
        <v>1920</v>
      </c>
      <c r="C413" s="31" t="b">
        <v>0</v>
      </c>
      <c r="D413" s="31">
        <v>6</v>
      </c>
      <c r="E413" s="38" t="s">
        <v>1921</v>
      </c>
      <c r="F413" s="31" t="s">
        <v>131</v>
      </c>
      <c r="G413" s="31" t="s">
        <v>3665</v>
      </c>
      <c r="H413" s="31" t="s">
        <v>3666</v>
      </c>
      <c r="I413" s="37" t="s">
        <v>3667</v>
      </c>
      <c r="J413" s="31" t="s">
        <v>2328</v>
      </c>
      <c r="K413" s="31" t="s">
        <v>446</v>
      </c>
      <c r="L413" s="30" t="s">
        <v>2232</v>
      </c>
      <c r="M413" s="31" t="s">
        <v>2328</v>
      </c>
    </row>
    <row r="414" spans="1:13" s="30" customFormat="1" ht="45" x14ac:dyDescent="0.25">
      <c r="A414" s="31" t="s">
        <v>3160</v>
      </c>
      <c r="B414" s="32" t="s">
        <v>1922</v>
      </c>
      <c r="C414" s="31" t="b">
        <v>0</v>
      </c>
      <c r="D414" s="31">
        <v>6</v>
      </c>
      <c r="E414" s="38" t="s">
        <v>1923</v>
      </c>
      <c r="F414" s="31" t="s">
        <v>131</v>
      </c>
      <c r="G414" s="31" t="s">
        <v>3665</v>
      </c>
      <c r="H414" s="31" t="s">
        <v>3666</v>
      </c>
      <c r="I414" s="37" t="s">
        <v>3667</v>
      </c>
      <c r="J414" s="31" t="s">
        <v>2328</v>
      </c>
      <c r="K414" s="31" t="s">
        <v>446</v>
      </c>
      <c r="L414" s="30" t="s">
        <v>2232</v>
      </c>
      <c r="M414" s="31" t="s">
        <v>2328</v>
      </c>
    </row>
    <row r="415" spans="1:13" s="30" customFormat="1" ht="60" x14ac:dyDescent="0.25">
      <c r="A415" s="31" t="s">
        <v>3161</v>
      </c>
      <c r="B415" s="32" t="s">
        <v>1924</v>
      </c>
      <c r="C415" s="31" t="b">
        <v>0</v>
      </c>
      <c r="D415" s="31">
        <v>6</v>
      </c>
      <c r="E415" s="38" t="s">
        <v>1925</v>
      </c>
      <c r="F415" s="31" t="s">
        <v>131</v>
      </c>
      <c r="G415" s="31" t="s">
        <v>3665</v>
      </c>
      <c r="H415" s="31" t="s">
        <v>3666</v>
      </c>
      <c r="I415" s="37" t="s">
        <v>3667</v>
      </c>
      <c r="J415" s="31" t="s">
        <v>3642</v>
      </c>
      <c r="K415" s="31" t="s">
        <v>446</v>
      </c>
      <c r="L415" s="30" t="s">
        <v>2503</v>
      </c>
      <c r="M415" s="31" t="s">
        <v>2328</v>
      </c>
    </row>
    <row r="416" spans="1:13" s="30" customFormat="1" ht="45" x14ac:dyDescent="0.25">
      <c r="A416" s="31" t="s">
        <v>3162</v>
      </c>
      <c r="B416" s="32" t="s">
        <v>1926</v>
      </c>
      <c r="C416" s="31" t="b">
        <v>0</v>
      </c>
      <c r="D416" s="31">
        <v>6</v>
      </c>
      <c r="E416" s="38" t="s">
        <v>1927</v>
      </c>
      <c r="F416" s="31" t="s">
        <v>131</v>
      </c>
      <c r="G416" s="31" t="s">
        <v>3665</v>
      </c>
      <c r="H416" s="31" t="s">
        <v>3666</v>
      </c>
      <c r="I416" s="37" t="s">
        <v>3667</v>
      </c>
      <c r="J416" s="31" t="s">
        <v>2328</v>
      </c>
      <c r="K416" s="31" t="s">
        <v>446</v>
      </c>
      <c r="L416" s="30" t="s">
        <v>2503</v>
      </c>
      <c r="M416" s="31" t="s">
        <v>2328</v>
      </c>
    </row>
    <row r="417" spans="1:13" s="30" customFormat="1" ht="45" x14ac:dyDescent="0.25">
      <c r="A417" s="31" t="s">
        <v>3163</v>
      </c>
      <c r="B417" s="32" t="s">
        <v>1928</v>
      </c>
      <c r="C417" s="31" t="b">
        <v>0</v>
      </c>
      <c r="D417" s="31">
        <v>6</v>
      </c>
      <c r="E417" s="38" t="s">
        <v>1929</v>
      </c>
      <c r="F417" s="31" t="s">
        <v>131</v>
      </c>
      <c r="G417" s="31" t="s">
        <v>3665</v>
      </c>
      <c r="H417" s="31" t="s">
        <v>3666</v>
      </c>
      <c r="I417" s="37" t="s">
        <v>3667</v>
      </c>
      <c r="J417" s="31" t="s">
        <v>2328</v>
      </c>
      <c r="K417" s="31" t="s">
        <v>446</v>
      </c>
      <c r="L417" s="30" t="s">
        <v>2503</v>
      </c>
      <c r="M417" s="31" t="s">
        <v>2328</v>
      </c>
    </row>
    <row r="418" spans="1:13" s="30" customFormat="1" ht="45" x14ac:dyDescent="0.25">
      <c r="A418" s="31" t="s">
        <v>3164</v>
      </c>
      <c r="B418" s="32" t="s">
        <v>1930</v>
      </c>
      <c r="C418" s="31" t="b">
        <v>0</v>
      </c>
      <c r="D418" s="31">
        <v>6</v>
      </c>
      <c r="E418" s="38" t="s">
        <v>1931</v>
      </c>
      <c r="F418" s="31" t="s">
        <v>131</v>
      </c>
      <c r="G418" s="31" t="s">
        <v>3665</v>
      </c>
      <c r="H418" s="31" t="s">
        <v>3666</v>
      </c>
      <c r="I418" s="37" t="s">
        <v>3667</v>
      </c>
      <c r="J418" s="31" t="s">
        <v>2328</v>
      </c>
      <c r="K418" s="31" t="s">
        <v>446</v>
      </c>
      <c r="L418" s="30" t="s">
        <v>2503</v>
      </c>
      <c r="M418" s="31" t="s">
        <v>2328</v>
      </c>
    </row>
    <row r="419" spans="1:13" s="30" customFormat="1" ht="45" x14ac:dyDescent="0.25">
      <c r="A419" s="31" t="s">
        <v>3165</v>
      </c>
      <c r="B419" s="32" t="s">
        <v>1932</v>
      </c>
      <c r="C419" s="31" t="b">
        <v>0</v>
      </c>
      <c r="D419" s="31">
        <v>6</v>
      </c>
      <c r="E419" s="38" t="s">
        <v>1933</v>
      </c>
      <c r="F419" s="31" t="s">
        <v>131</v>
      </c>
      <c r="G419" s="31" t="s">
        <v>3665</v>
      </c>
      <c r="H419" s="31" t="s">
        <v>3666</v>
      </c>
      <c r="I419" s="37" t="s">
        <v>3667</v>
      </c>
      <c r="J419" s="31" t="s">
        <v>2328</v>
      </c>
      <c r="K419" s="31" t="s">
        <v>446</v>
      </c>
      <c r="L419" s="30" t="s">
        <v>2503</v>
      </c>
      <c r="M419" s="31" t="s">
        <v>2328</v>
      </c>
    </row>
    <row r="420" spans="1:13" s="30" customFormat="1" ht="45" x14ac:dyDescent="0.25">
      <c r="A420" s="31" t="s">
        <v>3166</v>
      </c>
      <c r="B420" s="32" t="s">
        <v>1934</v>
      </c>
      <c r="C420" s="31" t="b">
        <v>0</v>
      </c>
      <c r="D420" s="31">
        <v>6</v>
      </c>
      <c r="E420" s="38" t="s">
        <v>1935</v>
      </c>
      <c r="F420" s="31" t="s">
        <v>131</v>
      </c>
      <c r="G420" s="31" t="s">
        <v>3665</v>
      </c>
      <c r="H420" s="31" t="s">
        <v>3666</v>
      </c>
      <c r="I420" s="37" t="s">
        <v>3667</v>
      </c>
      <c r="J420" s="31" t="s">
        <v>2328</v>
      </c>
      <c r="K420" s="31" t="s">
        <v>446</v>
      </c>
      <c r="L420" s="30" t="s">
        <v>2503</v>
      </c>
      <c r="M420" s="31" t="s">
        <v>2328</v>
      </c>
    </row>
    <row r="421" spans="1:13" s="30" customFormat="1" ht="45" x14ac:dyDescent="0.25">
      <c r="A421" s="31" t="s">
        <v>3167</v>
      </c>
      <c r="B421" s="32" t="s">
        <v>1936</v>
      </c>
      <c r="C421" s="31" t="b">
        <v>0</v>
      </c>
      <c r="D421" s="31">
        <v>6</v>
      </c>
      <c r="E421" s="38" t="s">
        <v>1937</v>
      </c>
      <c r="F421" s="31" t="s">
        <v>131</v>
      </c>
      <c r="G421" s="31" t="s">
        <v>3665</v>
      </c>
      <c r="H421" s="31" t="s">
        <v>3666</v>
      </c>
      <c r="I421" s="37" t="s">
        <v>3667</v>
      </c>
      <c r="J421" s="31" t="s">
        <v>2328</v>
      </c>
      <c r="K421" s="31" t="s">
        <v>446</v>
      </c>
      <c r="L421" s="30" t="s">
        <v>2232</v>
      </c>
      <c r="M421" s="31" t="s">
        <v>2328</v>
      </c>
    </row>
    <row r="422" spans="1:13" s="30" customFormat="1" ht="75" x14ac:dyDescent="0.25">
      <c r="A422" s="31" t="s">
        <v>3168</v>
      </c>
      <c r="B422" s="32" t="s">
        <v>1938</v>
      </c>
      <c r="C422" s="31" t="b">
        <v>0</v>
      </c>
      <c r="D422" s="31">
        <v>6</v>
      </c>
      <c r="E422" s="38" t="s">
        <v>3643</v>
      </c>
      <c r="F422" s="31" t="s">
        <v>131</v>
      </c>
      <c r="G422" s="31" t="s">
        <v>3665</v>
      </c>
      <c r="H422" s="31" t="s">
        <v>3666</v>
      </c>
      <c r="I422" s="37" t="s">
        <v>3667</v>
      </c>
      <c r="J422" s="31" t="s">
        <v>3644</v>
      </c>
      <c r="K422" s="31" t="s">
        <v>446</v>
      </c>
      <c r="L422" s="30" t="s">
        <v>2235</v>
      </c>
      <c r="M422" s="31" t="s">
        <v>2303</v>
      </c>
    </row>
    <row r="423" spans="1:13" s="30" customFormat="1" ht="90" x14ac:dyDescent="0.25">
      <c r="A423" s="31" t="s">
        <v>3169</v>
      </c>
      <c r="B423" s="32" t="s">
        <v>1939</v>
      </c>
      <c r="C423" s="31" t="b">
        <v>0</v>
      </c>
      <c r="D423" s="31">
        <v>6</v>
      </c>
      <c r="E423" s="38" t="s">
        <v>3645</v>
      </c>
      <c r="F423" s="31" t="s">
        <v>131</v>
      </c>
      <c r="G423" s="31" t="s">
        <v>3665</v>
      </c>
      <c r="H423" s="31" t="s">
        <v>3666</v>
      </c>
      <c r="I423" s="37" t="s">
        <v>3667</v>
      </c>
      <c r="J423" s="31" t="s">
        <v>3646</v>
      </c>
      <c r="K423" s="31" t="s">
        <v>446</v>
      </c>
      <c r="L423" s="30" t="s">
        <v>2235</v>
      </c>
      <c r="M423" s="31" t="s">
        <v>3328</v>
      </c>
    </row>
    <row r="424" spans="1:13" s="30" customFormat="1" ht="75" x14ac:dyDescent="0.25">
      <c r="A424" s="31" t="s">
        <v>3170</v>
      </c>
      <c r="B424" s="32" t="s">
        <v>1940</v>
      </c>
      <c r="C424" s="31" t="b">
        <v>0</v>
      </c>
      <c r="D424" s="31">
        <v>6</v>
      </c>
      <c r="E424" s="38" t="s">
        <v>2304</v>
      </c>
      <c r="F424" s="31" t="s">
        <v>131</v>
      </c>
      <c r="G424" s="31" t="s">
        <v>3665</v>
      </c>
      <c r="H424" s="31" t="s">
        <v>3666</v>
      </c>
      <c r="I424" s="37" t="s">
        <v>3667</v>
      </c>
      <c r="J424" s="31" t="s">
        <v>2328</v>
      </c>
      <c r="K424" s="31" t="s">
        <v>446</v>
      </c>
      <c r="L424" s="30" t="s">
        <v>2503</v>
      </c>
      <c r="M424" s="31" t="s">
        <v>2328</v>
      </c>
    </row>
    <row r="425" spans="1:13" s="30" customFormat="1" ht="75" x14ac:dyDescent="0.25">
      <c r="A425" s="31" t="s">
        <v>3171</v>
      </c>
      <c r="B425" s="32" t="s">
        <v>1941</v>
      </c>
      <c r="C425" s="31" t="b">
        <v>0</v>
      </c>
      <c r="D425" s="31">
        <v>6</v>
      </c>
      <c r="E425" s="38" t="s">
        <v>3329</v>
      </c>
      <c r="F425" s="31" t="s">
        <v>131</v>
      </c>
      <c r="G425" s="31" t="s">
        <v>3665</v>
      </c>
      <c r="H425" s="31" t="s">
        <v>3666</v>
      </c>
      <c r="I425" s="37" t="s">
        <v>3667</v>
      </c>
      <c r="J425" s="31" t="s">
        <v>2328</v>
      </c>
      <c r="K425" s="31" t="s">
        <v>446</v>
      </c>
      <c r="L425" s="30" t="s">
        <v>2503</v>
      </c>
      <c r="M425" s="31" t="s">
        <v>2328</v>
      </c>
    </row>
    <row r="426" spans="1:13" s="30" customFormat="1" ht="75" x14ac:dyDescent="0.25">
      <c r="A426" s="31" t="s">
        <v>3172</v>
      </c>
      <c r="B426" s="32" t="s">
        <v>1942</v>
      </c>
      <c r="C426" s="31" t="b">
        <v>0</v>
      </c>
      <c r="D426" s="31">
        <v>6</v>
      </c>
      <c r="E426" s="38" t="s">
        <v>3647</v>
      </c>
      <c r="F426" s="31" t="s">
        <v>131</v>
      </c>
      <c r="G426" s="31" t="s">
        <v>3665</v>
      </c>
      <c r="H426" s="31" t="s">
        <v>3666</v>
      </c>
      <c r="I426" s="37" t="s">
        <v>3667</v>
      </c>
      <c r="J426" s="31" t="s">
        <v>3648</v>
      </c>
      <c r="K426" s="31" t="s">
        <v>446</v>
      </c>
      <c r="L426" s="30" t="s">
        <v>2235</v>
      </c>
      <c r="M426" s="31" t="s">
        <v>2305</v>
      </c>
    </row>
    <row r="427" spans="1:13" s="30" customFormat="1" ht="75" x14ac:dyDescent="0.25">
      <c r="A427" s="31" t="s">
        <v>3173</v>
      </c>
      <c r="B427" s="32" t="s">
        <v>1943</v>
      </c>
      <c r="C427" s="31" t="b">
        <v>0</v>
      </c>
      <c r="D427" s="31">
        <v>6</v>
      </c>
      <c r="E427" s="38" t="s">
        <v>3649</v>
      </c>
      <c r="F427" s="31" t="s">
        <v>131</v>
      </c>
      <c r="G427" s="31" t="s">
        <v>3665</v>
      </c>
      <c r="H427" s="31" t="s">
        <v>3666</v>
      </c>
      <c r="I427" s="37" t="s">
        <v>3667</v>
      </c>
      <c r="J427" s="31" t="s">
        <v>3650</v>
      </c>
      <c r="K427" s="31" t="s">
        <v>446</v>
      </c>
      <c r="L427" s="30" t="s">
        <v>2235</v>
      </c>
      <c r="M427" s="31" t="s">
        <v>3330</v>
      </c>
    </row>
    <row r="428" spans="1:13" s="30" customFormat="1" ht="90" x14ac:dyDescent="0.25">
      <c r="A428" s="31" t="s">
        <v>3174</v>
      </c>
      <c r="B428" s="32" t="s">
        <v>1944</v>
      </c>
      <c r="C428" s="31" t="b">
        <v>0</v>
      </c>
      <c r="D428" s="31">
        <v>6</v>
      </c>
      <c r="E428" s="38" t="s">
        <v>3651</v>
      </c>
      <c r="F428" s="31" t="s">
        <v>131</v>
      </c>
      <c r="G428" s="31" t="s">
        <v>3665</v>
      </c>
      <c r="H428" s="31" t="s">
        <v>3666</v>
      </c>
      <c r="I428" s="37" t="s">
        <v>3667</v>
      </c>
      <c r="J428" s="31" t="s">
        <v>3652</v>
      </c>
      <c r="K428" s="31" t="s">
        <v>446</v>
      </c>
      <c r="L428" s="30" t="s">
        <v>2235</v>
      </c>
      <c r="M428" s="31" t="s">
        <v>2306</v>
      </c>
    </row>
    <row r="429" spans="1:13" s="30" customFormat="1" ht="90" x14ac:dyDescent="0.25">
      <c r="A429" s="31" t="s">
        <v>3175</v>
      </c>
      <c r="B429" s="32" t="s">
        <v>1945</v>
      </c>
      <c r="C429" s="31" t="b">
        <v>0</v>
      </c>
      <c r="D429" s="31">
        <v>6</v>
      </c>
      <c r="E429" s="38" t="s">
        <v>3653</v>
      </c>
      <c r="F429" s="31" t="s">
        <v>131</v>
      </c>
      <c r="G429" s="31" t="s">
        <v>3665</v>
      </c>
      <c r="H429" s="31" t="s">
        <v>3666</v>
      </c>
      <c r="I429" s="37" t="s">
        <v>3667</v>
      </c>
      <c r="J429" s="31" t="s">
        <v>3654</v>
      </c>
      <c r="K429" s="31" t="s">
        <v>446</v>
      </c>
      <c r="L429" s="30" t="s">
        <v>2235</v>
      </c>
      <c r="M429" s="31" t="s">
        <v>3331</v>
      </c>
    </row>
    <row r="430" spans="1:13" s="30" customFormat="1" ht="75" x14ac:dyDescent="0.25">
      <c r="A430" s="31" t="s">
        <v>3176</v>
      </c>
      <c r="B430" s="32" t="s">
        <v>1946</v>
      </c>
      <c r="C430" s="31" t="b">
        <v>0</v>
      </c>
      <c r="D430" s="31">
        <v>6</v>
      </c>
      <c r="E430" s="38" t="s">
        <v>3655</v>
      </c>
      <c r="F430" s="31" t="s">
        <v>131</v>
      </c>
      <c r="G430" s="31" t="s">
        <v>3665</v>
      </c>
      <c r="H430" s="31" t="s">
        <v>3666</v>
      </c>
      <c r="I430" s="37" t="s">
        <v>3667</v>
      </c>
      <c r="J430" s="31" t="s">
        <v>3656</v>
      </c>
      <c r="K430" s="31" t="s">
        <v>446</v>
      </c>
      <c r="L430" s="30" t="s">
        <v>2235</v>
      </c>
      <c r="M430" s="31" t="s">
        <v>2307</v>
      </c>
    </row>
    <row r="431" spans="1:13" s="30" customFormat="1" ht="75" x14ac:dyDescent="0.25">
      <c r="A431" s="31" t="s">
        <v>3177</v>
      </c>
      <c r="B431" s="32" t="s">
        <v>1947</v>
      </c>
      <c r="C431" s="31" t="b">
        <v>0</v>
      </c>
      <c r="D431" s="31">
        <v>6</v>
      </c>
      <c r="E431" s="38" t="s">
        <v>3657</v>
      </c>
      <c r="F431" s="31" t="s">
        <v>131</v>
      </c>
      <c r="G431" s="31" t="s">
        <v>3665</v>
      </c>
      <c r="H431" s="31" t="s">
        <v>3666</v>
      </c>
      <c r="I431" s="37" t="s">
        <v>3667</v>
      </c>
      <c r="J431" s="31" t="s">
        <v>3658</v>
      </c>
      <c r="K431" s="31" t="s">
        <v>446</v>
      </c>
      <c r="L431" s="30" t="s">
        <v>2235</v>
      </c>
      <c r="M431" s="31" t="s">
        <v>3332</v>
      </c>
    </row>
    <row r="432" spans="1:13" s="30" customFormat="1" ht="75" x14ac:dyDescent="0.25">
      <c r="A432" s="31" t="s">
        <v>3178</v>
      </c>
      <c r="B432" s="32" t="s">
        <v>1948</v>
      </c>
      <c r="C432" s="31" t="b">
        <v>0</v>
      </c>
      <c r="D432" s="31">
        <v>6</v>
      </c>
      <c r="E432" s="38" t="s">
        <v>2308</v>
      </c>
      <c r="F432" s="31" t="s">
        <v>131</v>
      </c>
      <c r="G432" s="31" t="s">
        <v>3665</v>
      </c>
      <c r="H432" s="31" t="s">
        <v>3666</v>
      </c>
      <c r="I432" s="37" t="s">
        <v>3667</v>
      </c>
      <c r="J432" s="31" t="s">
        <v>2328</v>
      </c>
      <c r="K432" s="31" t="s">
        <v>446</v>
      </c>
      <c r="L432" s="30" t="s">
        <v>2503</v>
      </c>
      <c r="M432" s="31" t="s">
        <v>2328</v>
      </c>
    </row>
    <row r="433" spans="1:13" s="30" customFormat="1" ht="75" x14ac:dyDescent="0.25">
      <c r="A433" s="31" t="s">
        <v>3179</v>
      </c>
      <c r="B433" s="32" t="s">
        <v>1949</v>
      </c>
      <c r="C433" s="31" t="b">
        <v>0</v>
      </c>
      <c r="D433" s="31">
        <v>6</v>
      </c>
      <c r="E433" s="38" t="s">
        <v>3333</v>
      </c>
      <c r="F433" s="31" t="s">
        <v>131</v>
      </c>
      <c r="G433" s="31" t="s">
        <v>3665</v>
      </c>
      <c r="H433" s="31" t="s">
        <v>3666</v>
      </c>
      <c r="I433" s="37" t="s">
        <v>3667</v>
      </c>
      <c r="J433" s="31" t="s">
        <v>2328</v>
      </c>
      <c r="K433" s="31" t="s">
        <v>446</v>
      </c>
      <c r="L433" s="30" t="s">
        <v>2503</v>
      </c>
      <c r="M433" s="31" t="s">
        <v>2328</v>
      </c>
    </row>
    <row r="434" spans="1:13" s="30" customFormat="1" ht="90" x14ac:dyDescent="0.25">
      <c r="A434" s="31" t="s">
        <v>3180</v>
      </c>
      <c r="B434" s="32" t="s">
        <v>1950</v>
      </c>
      <c r="C434" s="31" t="b">
        <v>0</v>
      </c>
      <c r="D434" s="31">
        <v>6</v>
      </c>
      <c r="E434" s="38" t="s">
        <v>2309</v>
      </c>
      <c r="F434" s="31" t="s">
        <v>131</v>
      </c>
      <c r="G434" s="31" t="s">
        <v>3665</v>
      </c>
      <c r="H434" s="31" t="s">
        <v>3666</v>
      </c>
      <c r="I434" s="37" t="s">
        <v>3667</v>
      </c>
      <c r="J434" s="31" t="s">
        <v>2328</v>
      </c>
      <c r="K434" s="31" t="s">
        <v>446</v>
      </c>
      <c r="L434" s="30" t="s">
        <v>2503</v>
      </c>
      <c r="M434" s="31" t="s">
        <v>2328</v>
      </c>
    </row>
    <row r="435" spans="1:13" s="30" customFormat="1" ht="90" x14ac:dyDescent="0.25">
      <c r="A435" s="31" t="s">
        <v>3181</v>
      </c>
      <c r="B435" s="32" t="s">
        <v>1951</v>
      </c>
      <c r="C435" s="31" t="b">
        <v>0</v>
      </c>
      <c r="D435" s="31">
        <v>6</v>
      </c>
      <c r="E435" s="38" t="s">
        <v>3334</v>
      </c>
      <c r="F435" s="31" t="s">
        <v>131</v>
      </c>
      <c r="G435" s="31" t="s">
        <v>3665</v>
      </c>
      <c r="H435" s="31" t="s">
        <v>3666</v>
      </c>
      <c r="I435" s="37" t="s">
        <v>3667</v>
      </c>
      <c r="J435" s="31" t="s">
        <v>2328</v>
      </c>
      <c r="K435" s="31" t="s">
        <v>446</v>
      </c>
      <c r="L435" s="30" t="s">
        <v>2503</v>
      </c>
      <c r="M435" s="31" t="s">
        <v>2328</v>
      </c>
    </row>
    <row r="436" spans="1:13" s="30" customFormat="1" ht="90" x14ac:dyDescent="0.25">
      <c r="A436" s="31" t="s">
        <v>3182</v>
      </c>
      <c r="B436" s="32" t="s">
        <v>1952</v>
      </c>
      <c r="C436" s="31" t="b">
        <v>0</v>
      </c>
      <c r="D436" s="31">
        <v>6</v>
      </c>
      <c r="E436" s="38" t="s">
        <v>2310</v>
      </c>
      <c r="F436" s="31" t="s">
        <v>131</v>
      </c>
      <c r="G436" s="31" t="s">
        <v>3665</v>
      </c>
      <c r="H436" s="31" t="s">
        <v>3666</v>
      </c>
      <c r="I436" s="37" t="s">
        <v>3667</v>
      </c>
      <c r="J436" s="31" t="s">
        <v>2328</v>
      </c>
      <c r="K436" s="31" t="s">
        <v>446</v>
      </c>
      <c r="L436" s="30" t="s">
        <v>2503</v>
      </c>
      <c r="M436" s="31" t="s">
        <v>2328</v>
      </c>
    </row>
    <row r="437" spans="1:13" s="30" customFormat="1" ht="90" x14ac:dyDescent="0.25">
      <c r="A437" s="31" t="s">
        <v>3183</v>
      </c>
      <c r="B437" s="32" t="s">
        <v>1953</v>
      </c>
      <c r="C437" s="31" t="b">
        <v>0</v>
      </c>
      <c r="D437" s="31">
        <v>6</v>
      </c>
      <c r="E437" s="38" t="s">
        <v>3335</v>
      </c>
      <c r="F437" s="31" t="s">
        <v>131</v>
      </c>
      <c r="G437" s="31" t="s">
        <v>3665</v>
      </c>
      <c r="H437" s="31" t="s">
        <v>3666</v>
      </c>
      <c r="I437" s="37" t="s">
        <v>3667</v>
      </c>
      <c r="J437" s="31" t="s">
        <v>2328</v>
      </c>
      <c r="K437" s="31" t="s">
        <v>446</v>
      </c>
      <c r="L437" s="30" t="s">
        <v>2503</v>
      </c>
      <c r="M437" s="31" t="s">
        <v>2328</v>
      </c>
    </row>
    <row r="438" spans="1:13" s="30" customFormat="1" ht="90" x14ac:dyDescent="0.25">
      <c r="A438" s="31" t="s">
        <v>3184</v>
      </c>
      <c r="B438" s="32" t="s">
        <v>1954</v>
      </c>
      <c r="C438" s="31" t="b">
        <v>0</v>
      </c>
      <c r="D438" s="31">
        <v>6</v>
      </c>
      <c r="E438" s="38" t="s">
        <v>2311</v>
      </c>
      <c r="F438" s="31" t="s">
        <v>131</v>
      </c>
      <c r="G438" s="31" t="s">
        <v>3665</v>
      </c>
      <c r="H438" s="31" t="s">
        <v>3666</v>
      </c>
      <c r="I438" s="37" t="s">
        <v>3667</v>
      </c>
      <c r="J438" s="31" t="s">
        <v>2328</v>
      </c>
      <c r="K438" s="31" t="s">
        <v>446</v>
      </c>
      <c r="L438" s="30" t="s">
        <v>2503</v>
      </c>
      <c r="M438" s="31" t="s">
        <v>2328</v>
      </c>
    </row>
    <row r="439" spans="1:13" s="30" customFormat="1" ht="90" x14ac:dyDescent="0.25">
      <c r="A439" s="31" t="s">
        <v>3185</v>
      </c>
      <c r="B439" s="32" t="s">
        <v>1955</v>
      </c>
      <c r="C439" s="31" t="b">
        <v>0</v>
      </c>
      <c r="D439" s="31">
        <v>6</v>
      </c>
      <c r="E439" s="38" t="s">
        <v>3336</v>
      </c>
      <c r="F439" s="31" t="s">
        <v>131</v>
      </c>
      <c r="G439" s="31" t="s">
        <v>3665</v>
      </c>
      <c r="H439" s="31" t="s">
        <v>3666</v>
      </c>
      <c r="I439" s="37" t="s">
        <v>3667</v>
      </c>
      <c r="J439" s="31" t="s">
        <v>2328</v>
      </c>
      <c r="K439" s="31" t="s">
        <v>446</v>
      </c>
      <c r="L439" s="30" t="s">
        <v>2503</v>
      </c>
      <c r="M439" s="31" t="s">
        <v>2328</v>
      </c>
    </row>
    <row r="440" spans="1:13" s="30" customFormat="1" ht="90" x14ac:dyDescent="0.25">
      <c r="A440" s="31" t="s">
        <v>3186</v>
      </c>
      <c r="B440" s="32" t="s">
        <v>1956</v>
      </c>
      <c r="C440" s="31" t="b">
        <v>0</v>
      </c>
      <c r="D440" s="31">
        <v>6</v>
      </c>
      <c r="E440" s="38" t="s">
        <v>2312</v>
      </c>
      <c r="F440" s="31" t="s">
        <v>131</v>
      </c>
      <c r="G440" s="31" t="s">
        <v>3665</v>
      </c>
      <c r="H440" s="31" t="s">
        <v>3666</v>
      </c>
      <c r="I440" s="37" t="s">
        <v>3667</v>
      </c>
      <c r="J440" s="31" t="s">
        <v>2328</v>
      </c>
      <c r="K440" s="31" t="s">
        <v>446</v>
      </c>
      <c r="L440" s="30" t="s">
        <v>2503</v>
      </c>
      <c r="M440" s="31" t="s">
        <v>2328</v>
      </c>
    </row>
    <row r="441" spans="1:13" s="30" customFormat="1" ht="90" x14ac:dyDescent="0.25">
      <c r="A441" s="31" t="s">
        <v>3187</v>
      </c>
      <c r="B441" s="32" t="s">
        <v>1957</v>
      </c>
      <c r="C441" s="31" t="b">
        <v>0</v>
      </c>
      <c r="D441" s="31">
        <v>6</v>
      </c>
      <c r="E441" s="38" t="s">
        <v>3337</v>
      </c>
      <c r="F441" s="31" t="s">
        <v>131</v>
      </c>
      <c r="G441" s="31" t="s">
        <v>3665</v>
      </c>
      <c r="H441" s="31" t="s">
        <v>3666</v>
      </c>
      <c r="I441" s="37" t="s">
        <v>3667</v>
      </c>
      <c r="J441" s="31" t="s">
        <v>2328</v>
      </c>
      <c r="K441" s="31" t="s">
        <v>446</v>
      </c>
      <c r="L441" s="30" t="s">
        <v>2503</v>
      </c>
      <c r="M441" s="31" t="s">
        <v>2328</v>
      </c>
    </row>
    <row r="442" spans="1:13" s="30" customFormat="1" ht="60" x14ac:dyDescent="0.25">
      <c r="A442" s="31" t="s">
        <v>3188</v>
      </c>
      <c r="B442" s="32" t="s">
        <v>1958</v>
      </c>
      <c r="C442" s="31" t="b">
        <v>1</v>
      </c>
      <c r="D442" s="31">
        <v>2</v>
      </c>
      <c r="E442" s="34" t="s">
        <v>3376</v>
      </c>
      <c r="F442" s="31" t="s">
        <v>3443</v>
      </c>
      <c r="G442" s="31" t="s">
        <v>3665</v>
      </c>
      <c r="H442" s="31" t="s">
        <v>3666</v>
      </c>
      <c r="I442" s="37" t="s">
        <v>3667</v>
      </c>
      <c r="J442" s="31" t="s">
        <v>2328</v>
      </c>
      <c r="K442" s="31" t="s">
        <v>446</v>
      </c>
      <c r="L442" s="30" t="s">
        <v>2232</v>
      </c>
      <c r="M442" s="31" t="s">
        <v>2328</v>
      </c>
    </row>
    <row r="443" spans="1:13" s="30" customFormat="1" ht="45" x14ac:dyDescent="0.25">
      <c r="A443" s="31" t="s">
        <v>2328</v>
      </c>
      <c r="B443" s="32" t="s">
        <v>1959</v>
      </c>
      <c r="C443" s="31" t="b">
        <v>0</v>
      </c>
      <c r="D443" s="31">
        <v>4</v>
      </c>
      <c r="E443" s="35" t="s">
        <v>1960</v>
      </c>
      <c r="F443" s="31" t="s">
        <v>139</v>
      </c>
      <c r="G443" s="31" t="s">
        <v>3665</v>
      </c>
      <c r="H443" s="31" t="s">
        <v>3666</v>
      </c>
      <c r="I443" s="37" t="s">
        <v>3667</v>
      </c>
      <c r="J443" s="31" t="s">
        <v>2328</v>
      </c>
      <c r="K443" s="31" t="s">
        <v>448</v>
      </c>
      <c r="L443" s="30" t="s">
        <v>2232</v>
      </c>
      <c r="M443" s="31" t="s">
        <v>2328</v>
      </c>
    </row>
    <row r="444" spans="1:13" s="30" customFormat="1" ht="45" x14ac:dyDescent="0.25">
      <c r="A444" s="31" t="s">
        <v>3189</v>
      </c>
      <c r="B444" s="32" t="s">
        <v>1961</v>
      </c>
      <c r="C444" s="31" t="b">
        <v>0</v>
      </c>
      <c r="D444" s="31">
        <v>4</v>
      </c>
      <c r="E444" s="35" t="s">
        <v>1962</v>
      </c>
      <c r="F444" s="31" t="s">
        <v>131</v>
      </c>
      <c r="G444" s="31" t="s">
        <v>3665</v>
      </c>
      <c r="H444" s="31" t="s">
        <v>3666</v>
      </c>
      <c r="I444" s="37" t="s">
        <v>3667</v>
      </c>
      <c r="J444" s="31" t="s">
        <v>2328</v>
      </c>
      <c r="K444" s="31" t="s">
        <v>448</v>
      </c>
      <c r="L444" s="30" t="s">
        <v>2232</v>
      </c>
      <c r="M444" s="31" t="s">
        <v>2328</v>
      </c>
    </row>
    <row r="445" spans="1:13" s="30" customFormat="1" ht="45" x14ac:dyDescent="0.25">
      <c r="A445" s="31" t="s">
        <v>3190</v>
      </c>
      <c r="B445" s="32" t="s">
        <v>1963</v>
      </c>
      <c r="C445" s="31" t="b">
        <v>0</v>
      </c>
      <c r="D445" s="31">
        <v>4</v>
      </c>
      <c r="E445" s="35" t="s">
        <v>1964</v>
      </c>
      <c r="F445" s="31" t="s">
        <v>131</v>
      </c>
      <c r="G445" s="31" t="s">
        <v>3665</v>
      </c>
      <c r="H445" s="31" t="s">
        <v>3666</v>
      </c>
      <c r="I445" s="37" t="s">
        <v>3667</v>
      </c>
      <c r="J445" s="31" t="s">
        <v>2328</v>
      </c>
      <c r="K445" s="31" t="s">
        <v>448</v>
      </c>
      <c r="L445" s="30" t="s">
        <v>2232</v>
      </c>
      <c r="M445" s="31" t="s">
        <v>2328</v>
      </c>
    </row>
    <row r="446" spans="1:13" s="30" customFormat="1" ht="45" x14ac:dyDescent="0.25">
      <c r="A446" s="31" t="s">
        <v>3191</v>
      </c>
      <c r="B446" s="32" t="s">
        <v>1965</v>
      </c>
      <c r="C446" s="31" t="b">
        <v>0</v>
      </c>
      <c r="D446" s="31">
        <v>4</v>
      </c>
      <c r="E446" s="35" t="s">
        <v>1966</v>
      </c>
      <c r="F446" s="31" t="s">
        <v>131</v>
      </c>
      <c r="G446" s="31" t="s">
        <v>3665</v>
      </c>
      <c r="H446" s="31" t="s">
        <v>3666</v>
      </c>
      <c r="I446" s="37" t="s">
        <v>3667</v>
      </c>
      <c r="J446" s="31" t="s">
        <v>2328</v>
      </c>
      <c r="K446" s="31" t="s">
        <v>448</v>
      </c>
      <c r="L446" s="30" t="s">
        <v>2232</v>
      </c>
      <c r="M446" s="31" t="s">
        <v>2328</v>
      </c>
    </row>
    <row r="447" spans="1:13" s="30" customFormat="1" ht="45" x14ac:dyDescent="0.25">
      <c r="A447" s="31" t="s">
        <v>3192</v>
      </c>
      <c r="B447" s="32" t="s">
        <v>1967</v>
      </c>
      <c r="C447" s="31" t="b">
        <v>0</v>
      </c>
      <c r="D447" s="31">
        <v>4</v>
      </c>
      <c r="E447" s="35" t="s">
        <v>1968</v>
      </c>
      <c r="F447" s="31" t="s">
        <v>131</v>
      </c>
      <c r="G447" s="31" t="s">
        <v>3665</v>
      </c>
      <c r="H447" s="31" t="s">
        <v>3666</v>
      </c>
      <c r="I447" s="37" t="s">
        <v>3667</v>
      </c>
      <c r="J447" s="31" t="s">
        <v>2328</v>
      </c>
      <c r="K447" s="31" t="s">
        <v>448</v>
      </c>
      <c r="L447" s="30" t="s">
        <v>2232</v>
      </c>
      <c r="M447" s="31" t="s">
        <v>2328</v>
      </c>
    </row>
    <row r="448" spans="1:13" s="30" customFormat="1" ht="45" x14ac:dyDescent="0.25">
      <c r="A448" s="31" t="s">
        <v>3193</v>
      </c>
      <c r="B448" s="32" t="s">
        <v>1969</v>
      </c>
      <c r="C448" s="31" t="b">
        <v>0</v>
      </c>
      <c r="D448" s="31">
        <v>4</v>
      </c>
      <c r="E448" s="35" t="s">
        <v>1970</v>
      </c>
      <c r="F448" s="31" t="s">
        <v>131</v>
      </c>
      <c r="G448" s="31" t="s">
        <v>3665</v>
      </c>
      <c r="H448" s="31" t="s">
        <v>3666</v>
      </c>
      <c r="I448" s="37" t="s">
        <v>3667</v>
      </c>
      <c r="J448" s="31" t="s">
        <v>2328</v>
      </c>
      <c r="K448" s="31" t="s">
        <v>448</v>
      </c>
      <c r="L448" s="30" t="s">
        <v>2232</v>
      </c>
      <c r="M448" s="31" t="s">
        <v>2328</v>
      </c>
    </row>
    <row r="449" spans="1:13" s="30" customFormat="1" ht="45" x14ac:dyDescent="0.25">
      <c r="A449" s="31" t="s">
        <v>3194</v>
      </c>
      <c r="B449" s="32" t="s">
        <v>1971</v>
      </c>
      <c r="C449" s="31" t="b">
        <v>0</v>
      </c>
      <c r="D449" s="31">
        <v>4</v>
      </c>
      <c r="E449" s="35" t="s">
        <v>1972</v>
      </c>
      <c r="F449" s="31" t="s">
        <v>131</v>
      </c>
      <c r="G449" s="31" t="s">
        <v>3665</v>
      </c>
      <c r="H449" s="31" t="s">
        <v>3666</v>
      </c>
      <c r="I449" s="37" t="s">
        <v>3667</v>
      </c>
      <c r="J449" s="31" t="s">
        <v>2328</v>
      </c>
      <c r="K449" s="31" t="s">
        <v>448</v>
      </c>
      <c r="L449" s="30" t="s">
        <v>2232</v>
      </c>
      <c r="M449" s="31" t="s">
        <v>2328</v>
      </c>
    </row>
    <row r="450" spans="1:13" s="30" customFormat="1" ht="45" x14ac:dyDescent="0.25">
      <c r="A450" s="31" t="s">
        <v>3195</v>
      </c>
      <c r="B450" s="32" t="s">
        <v>1973</v>
      </c>
      <c r="C450" s="31" t="b">
        <v>0</v>
      </c>
      <c r="D450" s="31">
        <v>4</v>
      </c>
      <c r="E450" s="35" t="s">
        <v>1974</v>
      </c>
      <c r="F450" s="31" t="s">
        <v>131</v>
      </c>
      <c r="G450" s="31" t="s">
        <v>3665</v>
      </c>
      <c r="H450" s="31" t="s">
        <v>3666</v>
      </c>
      <c r="I450" s="37" t="s">
        <v>3667</v>
      </c>
      <c r="J450" s="31" t="s">
        <v>2328</v>
      </c>
      <c r="K450" s="31" t="s">
        <v>448</v>
      </c>
      <c r="L450" s="30" t="s">
        <v>2232</v>
      </c>
      <c r="M450" s="31" t="s">
        <v>2328</v>
      </c>
    </row>
    <row r="451" spans="1:13" s="30" customFormat="1" ht="45" x14ac:dyDescent="0.25">
      <c r="A451" s="31" t="s">
        <v>3196</v>
      </c>
      <c r="B451" s="32" t="s">
        <v>1975</v>
      </c>
      <c r="C451" s="31" t="b">
        <v>0</v>
      </c>
      <c r="D451" s="31">
        <v>4</v>
      </c>
      <c r="E451" s="35" t="s">
        <v>1976</v>
      </c>
      <c r="F451" s="31" t="s">
        <v>131</v>
      </c>
      <c r="G451" s="31" t="s">
        <v>3665</v>
      </c>
      <c r="H451" s="31" t="s">
        <v>3666</v>
      </c>
      <c r="I451" s="37" t="s">
        <v>3667</v>
      </c>
      <c r="J451" s="31" t="s">
        <v>2328</v>
      </c>
      <c r="K451" s="31" t="s">
        <v>448</v>
      </c>
      <c r="L451" s="30" t="s">
        <v>2232</v>
      </c>
      <c r="M451" s="31" t="s">
        <v>2328</v>
      </c>
    </row>
    <row r="452" spans="1:13" s="30" customFormat="1" ht="45" x14ac:dyDescent="0.25">
      <c r="A452" s="31" t="s">
        <v>3197</v>
      </c>
      <c r="B452" s="32" t="s">
        <v>1977</v>
      </c>
      <c r="C452" s="31" t="b">
        <v>0</v>
      </c>
      <c r="D452" s="31">
        <v>4</v>
      </c>
      <c r="E452" s="35" t="s">
        <v>1978</v>
      </c>
      <c r="F452" s="31" t="s">
        <v>131</v>
      </c>
      <c r="G452" s="31" t="s">
        <v>3665</v>
      </c>
      <c r="H452" s="31" t="s">
        <v>3666</v>
      </c>
      <c r="I452" s="37" t="s">
        <v>3667</v>
      </c>
      <c r="J452" s="31" t="s">
        <v>2328</v>
      </c>
      <c r="K452" s="31" t="s">
        <v>448</v>
      </c>
      <c r="L452" s="30" t="s">
        <v>2232</v>
      </c>
      <c r="M452" s="31" t="s">
        <v>2328</v>
      </c>
    </row>
    <row r="453" spans="1:13" s="30" customFormat="1" ht="45" x14ac:dyDescent="0.25">
      <c r="A453" s="31" t="s">
        <v>3198</v>
      </c>
      <c r="B453" s="32" t="s">
        <v>1979</v>
      </c>
      <c r="C453" s="31" t="b">
        <v>0</v>
      </c>
      <c r="D453" s="31">
        <v>4</v>
      </c>
      <c r="E453" s="35" t="s">
        <v>1980</v>
      </c>
      <c r="F453" s="31" t="s">
        <v>131</v>
      </c>
      <c r="G453" s="31" t="s">
        <v>3665</v>
      </c>
      <c r="H453" s="31" t="s">
        <v>3666</v>
      </c>
      <c r="I453" s="37" t="s">
        <v>3667</v>
      </c>
      <c r="J453" s="31" t="s">
        <v>2328</v>
      </c>
      <c r="K453" s="31" t="s">
        <v>448</v>
      </c>
      <c r="L453" s="30" t="s">
        <v>2232</v>
      </c>
      <c r="M453" s="31" t="s">
        <v>2328</v>
      </c>
    </row>
    <row r="454" spans="1:13" s="30" customFormat="1" ht="45" x14ac:dyDescent="0.25">
      <c r="A454" s="31" t="s">
        <v>3199</v>
      </c>
      <c r="B454" s="32" t="s">
        <v>1981</v>
      </c>
      <c r="C454" s="31" t="b">
        <v>0</v>
      </c>
      <c r="D454" s="31">
        <v>4</v>
      </c>
      <c r="E454" s="35" t="s">
        <v>1982</v>
      </c>
      <c r="F454" s="31" t="s">
        <v>131</v>
      </c>
      <c r="G454" s="31" t="s">
        <v>3665</v>
      </c>
      <c r="H454" s="31" t="s">
        <v>3666</v>
      </c>
      <c r="I454" s="37" t="s">
        <v>3667</v>
      </c>
      <c r="J454" s="31" t="s">
        <v>2328</v>
      </c>
      <c r="K454" s="31" t="s">
        <v>448</v>
      </c>
      <c r="L454" s="30" t="s">
        <v>2232</v>
      </c>
      <c r="M454" s="31" t="s">
        <v>2328</v>
      </c>
    </row>
    <row r="455" spans="1:13" s="30" customFormat="1" ht="45" x14ac:dyDescent="0.25">
      <c r="A455" s="31" t="s">
        <v>3200</v>
      </c>
      <c r="B455" s="32" t="s">
        <v>1983</v>
      </c>
      <c r="C455" s="31" t="b">
        <v>0</v>
      </c>
      <c r="D455" s="31">
        <v>4</v>
      </c>
      <c r="E455" s="35" t="s">
        <v>1984</v>
      </c>
      <c r="F455" s="31" t="s">
        <v>131</v>
      </c>
      <c r="G455" s="31" t="s">
        <v>3665</v>
      </c>
      <c r="H455" s="31" t="s">
        <v>3666</v>
      </c>
      <c r="I455" s="37" t="s">
        <v>3667</v>
      </c>
      <c r="J455" s="31" t="s">
        <v>2328</v>
      </c>
      <c r="K455" s="31" t="s">
        <v>448</v>
      </c>
      <c r="L455" s="30" t="s">
        <v>2232</v>
      </c>
      <c r="M455" s="31" t="s">
        <v>2328</v>
      </c>
    </row>
    <row r="456" spans="1:13" s="30" customFormat="1" ht="45" x14ac:dyDescent="0.25">
      <c r="A456" s="31" t="s">
        <v>3201</v>
      </c>
      <c r="B456" s="32" t="s">
        <v>1985</v>
      </c>
      <c r="C456" s="31" t="b">
        <v>0</v>
      </c>
      <c r="D456" s="31">
        <v>4</v>
      </c>
      <c r="E456" s="35" t="s">
        <v>1986</v>
      </c>
      <c r="F456" s="31" t="s">
        <v>131</v>
      </c>
      <c r="G456" s="31" t="s">
        <v>3665</v>
      </c>
      <c r="H456" s="31" t="s">
        <v>3666</v>
      </c>
      <c r="I456" s="37" t="s">
        <v>3667</v>
      </c>
      <c r="J456" s="31" t="s">
        <v>2328</v>
      </c>
      <c r="K456" s="31" t="s">
        <v>448</v>
      </c>
      <c r="L456" s="30" t="s">
        <v>2232</v>
      </c>
      <c r="M456" s="31" t="s">
        <v>2328</v>
      </c>
    </row>
    <row r="457" spans="1:13" s="30" customFormat="1" ht="45" x14ac:dyDescent="0.25">
      <c r="A457" s="31" t="s">
        <v>3202</v>
      </c>
      <c r="B457" s="32" t="s">
        <v>1987</v>
      </c>
      <c r="C457" s="31" t="b">
        <v>0</v>
      </c>
      <c r="D457" s="31">
        <v>4</v>
      </c>
      <c r="E457" s="35" t="s">
        <v>1988</v>
      </c>
      <c r="F457" s="31" t="s">
        <v>131</v>
      </c>
      <c r="G457" s="31" t="s">
        <v>3665</v>
      </c>
      <c r="H457" s="31" t="s">
        <v>3666</v>
      </c>
      <c r="I457" s="37" t="s">
        <v>3667</v>
      </c>
      <c r="J457" s="31" t="s">
        <v>2328</v>
      </c>
      <c r="K457" s="31" t="s">
        <v>448</v>
      </c>
      <c r="L457" s="30" t="s">
        <v>2232</v>
      </c>
      <c r="M457" s="31" t="s">
        <v>2328</v>
      </c>
    </row>
    <row r="458" spans="1:13" s="30" customFormat="1" ht="45" x14ac:dyDescent="0.25">
      <c r="A458" s="31" t="s">
        <v>3203</v>
      </c>
      <c r="B458" s="32" t="s">
        <v>1989</v>
      </c>
      <c r="C458" s="31" t="b">
        <v>0</v>
      </c>
      <c r="D458" s="31">
        <v>4</v>
      </c>
      <c r="E458" s="35" t="s">
        <v>1990</v>
      </c>
      <c r="F458" s="31" t="s">
        <v>131</v>
      </c>
      <c r="G458" s="31" t="s">
        <v>3665</v>
      </c>
      <c r="H458" s="31" t="s">
        <v>3666</v>
      </c>
      <c r="I458" s="37" t="s">
        <v>3667</v>
      </c>
      <c r="J458" s="31" t="s">
        <v>2328</v>
      </c>
      <c r="K458" s="31" t="s">
        <v>448</v>
      </c>
      <c r="L458" s="30" t="s">
        <v>2232</v>
      </c>
      <c r="M458" s="31" t="s">
        <v>2328</v>
      </c>
    </row>
    <row r="459" spans="1:13" s="30" customFormat="1" ht="45" x14ac:dyDescent="0.25">
      <c r="A459" s="31" t="s">
        <v>3204</v>
      </c>
      <c r="B459" s="32" t="s">
        <v>1991</v>
      </c>
      <c r="C459" s="31" t="b">
        <v>0</v>
      </c>
      <c r="D459" s="31">
        <v>4</v>
      </c>
      <c r="E459" s="35" t="s">
        <v>1992</v>
      </c>
      <c r="F459" s="31" t="s">
        <v>131</v>
      </c>
      <c r="G459" s="31" t="s">
        <v>3665</v>
      </c>
      <c r="H459" s="31" t="s">
        <v>3666</v>
      </c>
      <c r="I459" s="37" t="s">
        <v>3667</v>
      </c>
      <c r="J459" s="31" t="s">
        <v>2328</v>
      </c>
      <c r="K459" s="31" t="s">
        <v>448</v>
      </c>
      <c r="L459" s="30" t="s">
        <v>2232</v>
      </c>
      <c r="M459" s="31" t="s">
        <v>2328</v>
      </c>
    </row>
    <row r="460" spans="1:13" s="30" customFormat="1" ht="45" x14ac:dyDescent="0.25">
      <c r="A460" s="31" t="s">
        <v>3205</v>
      </c>
      <c r="B460" s="32" t="s">
        <v>1993</v>
      </c>
      <c r="C460" s="31" t="b">
        <v>0</v>
      </c>
      <c r="D460" s="31">
        <v>4</v>
      </c>
      <c r="E460" s="35" t="s">
        <v>1994</v>
      </c>
      <c r="F460" s="31" t="s">
        <v>131</v>
      </c>
      <c r="G460" s="31" t="s">
        <v>3665</v>
      </c>
      <c r="H460" s="31" t="s">
        <v>3666</v>
      </c>
      <c r="I460" s="37" t="s">
        <v>3667</v>
      </c>
      <c r="J460" s="31" t="s">
        <v>2328</v>
      </c>
      <c r="K460" s="31" t="s">
        <v>448</v>
      </c>
      <c r="L460" s="30" t="s">
        <v>2232</v>
      </c>
      <c r="M460" s="31" t="s">
        <v>2328</v>
      </c>
    </row>
    <row r="461" spans="1:13" s="30" customFormat="1" ht="45" x14ac:dyDescent="0.25">
      <c r="A461" s="31" t="s">
        <v>3206</v>
      </c>
      <c r="B461" s="32" t="s">
        <v>1995</v>
      </c>
      <c r="C461" s="31" t="b">
        <v>0</v>
      </c>
      <c r="D461" s="31">
        <v>4</v>
      </c>
      <c r="E461" s="35" t="s">
        <v>1996</v>
      </c>
      <c r="F461" s="31" t="s">
        <v>131</v>
      </c>
      <c r="G461" s="31" t="s">
        <v>3665</v>
      </c>
      <c r="H461" s="31" t="s">
        <v>3666</v>
      </c>
      <c r="I461" s="37" t="s">
        <v>3667</v>
      </c>
      <c r="J461" s="31" t="s">
        <v>2328</v>
      </c>
      <c r="K461" s="31" t="s">
        <v>448</v>
      </c>
      <c r="L461" s="30" t="s">
        <v>2232</v>
      </c>
      <c r="M461" s="31" t="s">
        <v>2328</v>
      </c>
    </row>
    <row r="462" spans="1:13" s="30" customFormat="1" ht="45" x14ac:dyDescent="0.25">
      <c r="A462" s="31" t="s">
        <v>3207</v>
      </c>
      <c r="B462" s="32" t="s">
        <v>1997</v>
      </c>
      <c r="C462" s="31" t="b">
        <v>0</v>
      </c>
      <c r="D462" s="31">
        <v>4</v>
      </c>
      <c r="E462" s="35" t="s">
        <v>1998</v>
      </c>
      <c r="F462" s="31" t="s">
        <v>131</v>
      </c>
      <c r="G462" s="31" t="s">
        <v>3665</v>
      </c>
      <c r="H462" s="31" t="s">
        <v>3666</v>
      </c>
      <c r="I462" s="37" t="s">
        <v>3667</v>
      </c>
      <c r="J462" s="31" t="s">
        <v>2328</v>
      </c>
      <c r="K462" s="31" t="s">
        <v>448</v>
      </c>
      <c r="L462" s="30" t="s">
        <v>2232</v>
      </c>
      <c r="M462" s="31" t="s">
        <v>2328</v>
      </c>
    </row>
    <row r="463" spans="1:13" s="30" customFormat="1" ht="45" x14ac:dyDescent="0.25">
      <c r="A463" s="31" t="s">
        <v>3208</v>
      </c>
      <c r="B463" s="32" t="s">
        <v>1999</v>
      </c>
      <c r="C463" s="31" t="b">
        <v>0</v>
      </c>
      <c r="D463" s="31">
        <v>4</v>
      </c>
      <c r="E463" s="35" t="s">
        <v>2000</v>
      </c>
      <c r="F463" s="31" t="s">
        <v>131</v>
      </c>
      <c r="G463" s="31" t="s">
        <v>3665</v>
      </c>
      <c r="H463" s="31" t="s">
        <v>3666</v>
      </c>
      <c r="I463" s="37" t="s">
        <v>3667</v>
      </c>
      <c r="J463" s="31" t="s">
        <v>2328</v>
      </c>
      <c r="K463" s="31" t="s">
        <v>448</v>
      </c>
      <c r="L463" s="30" t="s">
        <v>2232</v>
      </c>
      <c r="M463" s="31" t="s">
        <v>2328</v>
      </c>
    </row>
    <row r="464" spans="1:13" s="30" customFormat="1" ht="45" x14ac:dyDescent="0.25">
      <c r="A464" s="31" t="s">
        <v>3209</v>
      </c>
      <c r="B464" s="32" t="s">
        <v>2001</v>
      </c>
      <c r="C464" s="31" t="b">
        <v>0</v>
      </c>
      <c r="D464" s="31">
        <v>4</v>
      </c>
      <c r="E464" s="35" t="s">
        <v>2002</v>
      </c>
      <c r="F464" s="31" t="s">
        <v>131</v>
      </c>
      <c r="G464" s="31" t="s">
        <v>3665</v>
      </c>
      <c r="H464" s="31" t="s">
        <v>3666</v>
      </c>
      <c r="I464" s="37" t="s">
        <v>3667</v>
      </c>
      <c r="J464" s="31" t="s">
        <v>2328</v>
      </c>
      <c r="K464" s="31" t="s">
        <v>448</v>
      </c>
      <c r="L464" s="30" t="s">
        <v>2232</v>
      </c>
      <c r="M464" s="31" t="s">
        <v>2328</v>
      </c>
    </row>
    <row r="465" spans="1:13" s="30" customFormat="1" ht="45" x14ac:dyDescent="0.25">
      <c r="A465" s="31" t="s">
        <v>3210</v>
      </c>
      <c r="B465" s="32" t="s">
        <v>2003</v>
      </c>
      <c r="C465" s="31" t="b">
        <v>0</v>
      </c>
      <c r="D465" s="31">
        <v>4</v>
      </c>
      <c r="E465" s="35" t="s">
        <v>2004</v>
      </c>
      <c r="F465" s="31" t="s">
        <v>131</v>
      </c>
      <c r="G465" s="31" t="s">
        <v>3665</v>
      </c>
      <c r="H465" s="31" t="s">
        <v>3666</v>
      </c>
      <c r="I465" s="37" t="s">
        <v>3667</v>
      </c>
      <c r="J465" s="31" t="s">
        <v>2328</v>
      </c>
      <c r="K465" s="31" t="s">
        <v>448</v>
      </c>
      <c r="L465" s="30" t="s">
        <v>2232</v>
      </c>
      <c r="M465" s="31" t="s">
        <v>2328</v>
      </c>
    </row>
    <row r="466" spans="1:13" s="30" customFormat="1" ht="45" x14ac:dyDescent="0.25">
      <c r="A466" s="31" t="s">
        <v>3211</v>
      </c>
      <c r="B466" s="32" t="s">
        <v>2005</v>
      </c>
      <c r="C466" s="31" t="b">
        <v>0</v>
      </c>
      <c r="D466" s="31">
        <v>4</v>
      </c>
      <c r="E466" s="35" t="s">
        <v>2006</v>
      </c>
      <c r="F466" s="31" t="s">
        <v>131</v>
      </c>
      <c r="G466" s="31" t="s">
        <v>3665</v>
      </c>
      <c r="H466" s="31" t="s">
        <v>3666</v>
      </c>
      <c r="I466" s="37" t="s">
        <v>3667</v>
      </c>
      <c r="J466" s="31" t="s">
        <v>2328</v>
      </c>
      <c r="K466" s="31" t="s">
        <v>448</v>
      </c>
      <c r="L466" s="30" t="s">
        <v>2232</v>
      </c>
      <c r="M466" s="31" t="s">
        <v>2328</v>
      </c>
    </row>
    <row r="467" spans="1:13" s="30" customFormat="1" ht="45" x14ac:dyDescent="0.25">
      <c r="A467" s="31" t="s">
        <v>3212</v>
      </c>
      <c r="B467" s="32" t="s">
        <v>2007</v>
      </c>
      <c r="C467" s="31" t="b">
        <v>0</v>
      </c>
      <c r="D467" s="31">
        <v>4</v>
      </c>
      <c r="E467" s="35" t="s">
        <v>2008</v>
      </c>
      <c r="F467" s="31" t="s">
        <v>131</v>
      </c>
      <c r="G467" s="31" t="s">
        <v>3665</v>
      </c>
      <c r="H467" s="31" t="s">
        <v>3666</v>
      </c>
      <c r="I467" s="37" t="s">
        <v>3667</v>
      </c>
      <c r="J467" s="31" t="s">
        <v>2328</v>
      </c>
      <c r="K467" s="31" t="s">
        <v>448</v>
      </c>
      <c r="L467" s="30" t="s">
        <v>2232</v>
      </c>
      <c r="M467" s="31" t="s">
        <v>2328</v>
      </c>
    </row>
    <row r="468" spans="1:13" s="30" customFormat="1" ht="45" x14ac:dyDescent="0.25">
      <c r="A468" s="31" t="s">
        <v>3213</v>
      </c>
      <c r="B468" s="32" t="s">
        <v>2009</v>
      </c>
      <c r="C468" s="31" t="b">
        <v>0</v>
      </c>
      <c r="D468" s="31">
        <v>4</v>
      </c>
      <c r="E468" s="35" t="s">
        <v>2010</v>
      </c>
      <c r="F468" s="31" t="s">
        <v>131</v>
      </c>
      <c r="G468" s="31" t="s">
        <v>3665</v>
      </c>
      <c r="H468" s="31" t="s">
        <v>3666</v>
      </c>
      <c r="I468" s="37" t="s">
        <v>3667</v>
      </c>
      <c r="J468" s="31" t="s">
        <v>2328</v>
      </c>
      <c r="K468" s="31" t="s">
        <v>448</v>
      </c>
      <c r="L468" s="30" t="s">
        <v>2232</v>
      </c>
      <c r="M468" s="31" t="s">
        <v>2328</v>
      </c>
    </row>
    <row r="469" spans="1:13" s="30" customFormat="1" ht="45" x14ac:dyDescent="0.25">
      <c r="A469" s="31" t="s">
        <v>3214</v>
      </c>
      <c r="B469" s="32" t="s">
        <v>2011</v>
      </c>
      <c r="C469" s="31" t="b">
        <v>0</v>
      </c>
      <c r="D469" s="31">
        <v>4</v>
      </c>
      <c r="E469" s="35" t="s">
        <v>2012</v>
      </c>
      <c r="F469" s="31" t="s">
        <v>131</v>
      </c>
      <c r="G469" s="31" t="s">
        <v>3665</v>
      </c>
      <c r="H469" s="31" t="s">
        <v>3666</v>
      </c>
      <c r="I469" s="37" t="s">
        <v>3667</v>
      </c>
      <c r="J469" s="31" t="s">
        <v>2328</v>
      </c>
      <c r="K469" s="31" t="s">
        <v>448</v>
      </c>
      <c r="L469" s="30" t="s">
        <v>2232</v>
      </c>
      <c r="M469" s="31" t="s">
        <v>2328</v>
      </c>
    </row>
    <row r="470" spans="1:13" s="30" customFormat="1" ht="45" x14ac:dyDescent="0.25">
      <c r="A470" s="31" t="s">
        <v>3215</v>
      </c>
      <c r="B470" s="32" t="s">
        <v>2013</v>
      </c>
      <c r="C470" s="31" t="b">
        <v>0</v>
      </c>
      <c r="D470" s="31">
        <v>4</v>
      </c>
      <c r="E470" s="35" t="s">
        <v>2014</v>
      </c>
      <c r="F470" s="31" t="s">
        <v>131</v>
      </c>
      <c r="G470" s="31" t="s">
        <v>3665</v>
      </c>
      <c r="H470" s="31" t="s">
        <v>3666</v>
      </c>
      <c r="I470" s="37" t="s">
        <v>3667</v>
      </c>
      <c r="J470" s="31" t="s">
        <v>2328</v>
      </c>
      <c r="K470" s="31" t="s">
        <v>448</v>
      </c>
      <c r="L470" s="30" t="s">
        <v>2232</v>
      </c>
      <c r="M470" s="31" t="s">
        <v>2328</v>
      </c>
    </row>
    <row r="471" spans="1:13" s="30" customFormat="1" ht="45" x14ac:dyDescent="0.25">
      <c r="A471" s="31" t="s">
        <v>3216</v>
      </c>
      <c r="B471" s="32" t="s">
        <v>2015</v>
      </c>
      <c r="C471" s="31" t="b">
        <v>0</v>
      </c>
      <c r="D471" s="31">
        <v>4</v>
      </c>
      <c r="E471" s="35" t="s">
        <v>2016</v>
      </c>
      <c r="F471" s="31" t="s">
        <v>131</v>
      </c>
      <c r="G471" s="31" t="s">
        <v>3665</v>
      </c>
      <c r="H471" s="31" t="s">
        <v>3666</v>
      </c>
      <c r="I471" s="37" t="s">
        <v>3667</v>
      </c>
      <c r="J471" s="31" t="s">
        <v>2328</v>
      </c>
      <c r="K471" s="31" t="s">
        <v>448</v>
      </c>
      <c r="L471" s="30" t="s">
        <v>2232</v>
      </c>
      <c r="M471" s="31" t="s">
        <v>2328</v>
      </c>
    </row>
    <row r="472" spans="1:13" s="30" customFormat="1" ht="45" x14ac:dyDescent="0.25">
      <c r="A472" s="31" t="s">
        <v>3217</v>
      </c>
      <c r="B472" s="32" t="s">
        <v>2017</v>
      </c>
      <c r="C472" s="31" t="b">
        <v>0</v>
      </c>
      <c r="D472" s="31">
        <v>4</v>
      </c>
      <c r="E472" s="35" t="s">
        <v>2018</v>
      </c>
      <c r="F472" s="31" t="s">
        <v>131</v>
      </c>
      <c r="G472" s="31" t="s">
        <v>3665</v>
      </c>
      <c r="H472" s="31" t="s">
        <v>3666</v>
      </c>
      <c r="I472" s="37" t="s">
        <v>3667</v>
      </c>
      <c r="J472" s="31" t="s">
        <v>2328</v>
      </c>
      <c r="K472" s="31" t="s">
        <v>448</v>
      </c>
      <c r="L472" s="30" t="s">
        <v>2232</v>
      </c>
      <c r="M472" s="31" t="s">
        <v>2328</v>
      </c>
    </row>
    <row r="473" spans="1:13" s="30" customFormat="1" ht="45" x14ac:dyDescent="0.25">
      <c r="A473" s="31" t="s">
        <v>3218</v>
      </c>
      <c r="B473" s="32" t="s">
        <v>2019</v>
      </c>
      <c r="C473" s="31" t="b">
        <v>0</v>
      </c>
      <c r="D473" s="31">
        <v>4</v>
      </c>
      <c r="E473" s="35" t="s">
        <v>2020</v>
      </c>
      <c r="F473" s="31" t="s">
        <v>131</v>
      </c>
      <c r="G473" s="31" t="s">
        <v>3665</v>
      </c>
      <c r="H473" s="31" t="s">
        <v>3666</v>
      </c>
      <c r="I473" s="37" t="s">
        <v>3667</v>
      </c>
      <c r="J473" s="31" t="s">
        <v>2328</v>
      </c>
      <c r="K473" s="31" t="s">
        <v>448</v>
      </c>
      <c r="L473" s="30" t="s">
        <v>2232</v>
      </c>
      <c r="M473" s="31" t="s">
        <v>2328</v>
      </c>
    </row>
    <row r="474" spans="1:13" s="30" customFormat="1" ht="45" x14ac:dyDescent="0.25">
      <c r="A474" s="31" t="s">
        <v>3219</v>
      </c>
      <c r="B474" s="32" t="s">
        <v>2021</v>
      </c>
      <c r="C474" s="31" t="b">
        <v>0</v>
      </c>
      <c r="D474" s="31">
        <v>4</v>
      </c>
      <c r="E474" s="35" t="s">
        <v>2022</v>
      </c>
      <c r="F474" s="31" t="s">
        <v>131</v>
      </c>
      <c r="G474" s="31" t="s">
        <v>3665</v>
      </c>
      <c r="H474" s="31" t="s">
        <v>3666</v>
      </c>
      <c r="I474" s="37" t="s">
        <v>3667</v>
      </c>
      <c r="J474" s="31" t="s">
        <v>2328</v>
      </c>
      <c r="K474" s="31" t="s">
        <v>448</v>
      </c>
      <c r="L474" s="30" t="s">
        <v>2232</v>
      </c>
      <c r="M474" s="31" t="s">
        <v>2328</v>
      </c>
    </row>
    <row r="475" spans="1:13" s="30" customFormat="1" ht="45" x14ac:dyDescent="0.25">
      <c r="A475" s="31" t="s">
        <v>3220</v>
      </c>
      <c r="B475" s="32" t="s">
        <v>2023</v>
      </c>
      <c r="C475" s="31" t="b">
        <v>0</v>
      </c>
      <c r="D475" s="31">
        <v>4</v>
      </c>
      <c r="E475" s="35" t="s">
        <v>2024</v>
      </c>
      <c r="F475" s="31" t="s">
        <v>131</v>
      </c>
      <c r="G475" s="31" t="s">
        <v>3665</v>
      </c>
      <c r="H475" s="31" t="s">
        <v>3666</v>
      </c>
      <c r="I475" s="37" t="s">
        <v>3667</v>
      </c>
      <c r="J475" s="31" t="s">
        <v>2328</v>
      </c>
      <c r="K475" s="31" t="s">
        <v>448</v>
      </c>
      <c r="L475" s="30" t="s">
        <v>2232</v>
      </c>
      <c r="M475" s="31" t="s">
        <v>2328</v>
      </c>
    </row>
    <row r="476" spans="1:13" s="30" customFormat="1" ht="45" x14ac:dyDescent="0.25">
      <c r="A476" s="31" t="s">
        <v>3221</v>
      </c>
      <c r="B476" s="32" t="s">
        <v>2025</v>
      </c>
      <c r="C476" s="31" t="b">
        <v>0</v>
      </c>
      <c r="D476" s="31">
        <v>4</v>
      </c>
      <c r="E476" s="35" t="s">
        <v>2026</v>
      </c>
      <c r="F476" s="31" t="s">
        <v>131</v>
      </c>
      <c r="G476" s="31" t="s">
        <v>3665</v>
      </c>
      <c r="H476" s="31" t="s">
        <v>3666</v>
      </c>
      <c r="I476" s="37" t="s">
        <v>3667</v>
      </c>
      <c r="J476" s="31" t="s">
        <v>2328</v>
      </c>
      <c r="K476" s="31" t="s">
        <v>448</v>
      </c>
      <c r="L476" s="30" t="s">
        <v>2232</v>
      </c>
      <c r="M476" s="31" t="s">
        <v>2328</v>
      </c>
    </row>
    <row r="477" spans="1:13" s="30" customFormat="1" ht="45" x14ac:dyDescent="0.25">
      <c r="A477" s="31" t="s">
        <v>3222</v>
      </c>
      <c r="B477" s="32" t="s">
        <v>2027</v>
      </c>
      <c r="C477" s="31" t="b">
        <v>0</v>
      </c>
      <c r="D477" s="31">
        <v>4</v>
      </c>
      <c r="E477" s="35" t="s">
        <v>2028</v>
      </c>
      <c r="F477" s="31" t="s">
        <v>131</v>
      </c>
      <c r="G477" s="31" t="s">
        <v>3665</v>
      </c>
      <c r="H477" s="31" t="s">
        <v>3666</v>
      </c>
      <c r="I477" s="37" t="s">
        <v>3667</v>
      </c>
      <c r="J477" s="31" t="s">
        <v>2328</v>
      </c>
      <c r="K477" s="31" t="s">
        <v>448</v>
      </c>
      <c r="L477" s="30" t="s">
        <v>2232</v>
      </c>
      <c r="M477" s="31" t="s">
        <v>2328</v>
      </c>
    </row>
    <row r="478" spans="1:13" s="30" customFormat="1" ht="45" x14ac:dyDescent="0.25">
      <c r="A478" s="31" t="s">
        <v>3223</v>
      </c>
      <c r="B478" s="32" t="s">
        <v>2029</v>
      </c>
      <c r="C478" s="31" t="b">
        <v>0</v>
      </c>
      <c r="D478" s="31">
        <v>4</v>
      </c>
      <c r="E478" s="35" t="s">
        <v>2030</v>
      </c>
      <c r="F478" s="31" t="s">
        <v>131</v>
      </c>
      <c r="G478" s="31" t="s">
        <v>3665</v>
      </c>
      <c r="H478" s="31" t="s">
        <v>3666</v>
      </c>
      <c r="I478" s="37" t="s">
        <v>3667</v>
      </c>
      <c r="J478" s="31" t="s">
        <v>2328</v>
      </c>
      <c r="K478" s="31" t="s">
        <v>448</v>
      </c>
      <c r="L478" s="30" t="s">
        <v>2232</v>
      </c>
      <c r="M478" s="31" t="s">
        <v>2328</v>
      </c>
    </row>
    <row r="479" spans="1:13" s="30" customFormat="1" ht="45" x14ac:dyDescent="0.25">
      <c r="A479" s="31" t="s">
        <v>3224</v>
      </c>
      <c r="B479" s="32" t="s">
        <v>2031</v>
      </c>
      <c r="C479" s="31" t="b">
        <v>0</v>
      </c>
      <c r="D479" s="31">
        <v>4</v>
      </c>
      <c r="E479" s="35" t="s">
        <v>2032</v>
      </c>
      <c r="F479" s="31" t="s">
        <v>131</v>
      </c>
      <c r="G479" s="31" t="s">
        <v>3665</v>
      </c>
      <c r="H479" s="31" t="s">
        <v>3666</v>
      </c>
      <c r="I479" s="37" t="s">
        <v>3667</v>
      </c>
      <c r="J479" s="31" t="s">
        <v>2328</v>
      </c>
      <c r="K479" s="31" t="s">
        <v>448</v>
      </c>
      <c r="L479" s="30" t="s">
        <v>2232</v>
      </c>
      <c r="M479" s="31" t="s">
        <v>2328</v>
      </c>
    </row>
    <row r="480" spans="1:13" s="30" customFormat="1" ht="45" x14ac:dyDescent="0.25">
      <c r="A480" s="31" t="s">
        <v>3225</v>
      </c>
      <c r="B480" s="32" t="s">
        <v>2033</v>
      </c>
      <c r="C480" s="31" t="b">
        <v>0</v>
      </c>
      <c r="D480" s="31">
        <v>4</v>
      </c>
      <c r="E480" s="35" t="s">
        <v>2034</v>
      </c>
      <c r="F480" s="31" t="s">
        <v>131</v>
      </c>
      <c r="G480" s="31" t="s">
        <v>3665</v>
      </c>
      <c r="H480" s="31" t="s">
        <v>3666</v>
      </c>
      <c r="I480" s="37" t="s">
        <v>3667</v>
      </c>
      <c r="J480" s="31" t="s">
        <v>2328</v>
      </c>
      <c r="K480" s="31" t="s">
        <v>448</v>
      </c>
      <c r="L480" s="30" t="s">
        <v>2232</v>
      </c>
      <c r="M480" s="31" t="s">
        <v>2328</v>
      </c>
    </row>
    <row r="481" spans="1:13" s="30" customFormat="1" ht="45" x14ac:dyDescent="0.25">
      <c r="A481" s="31" t="s">
        <v>3226</v>
      </c>
      <c r="B481" s="32" t="s">
        <v>2035</v>
      </c>
      <c r="C481" s="31" t="b">
        <v>0</v>
      </c>
      <c r="D481" s="31">
        <v>4</v>
      </c>
      <c r="E481" s="35" t="s">
        <v>2036</v>
      </c>
      <c r="F481" s="31" t="s">
        <v>131</v>
      </c>
      <c r="G481" s="31" t="s">
        <v>3665</v>
      </c>
      <c r="H481" s="31" t="s">
        <v>3666</v>
      </c>
      <c r="I481" s="37" t="s">
        <v>3667</v>
      </c>
      <c r="J481" s="31" t="s">
        <v>2328</v>
      </c>
      <c r="K481" s="31" t="s">
        <v>448</v>
      </c>
      <c r="L481" s="30" t="s">
        <v>2232</v>
      </c>
      <c r="M481" s="31" t="s">
        <v>2328</v>
      </c>
    </row>
    <row r="482" spans="1:13" s="30" customFormat="1" ht="45" x14ac:dyDescent="0.25">
      <c r="A482" s="31" t="s">
        <v>3227</v>
      </c>
      <c r="B482" s="32" t="s">
        <v>2037</v>
      </c>
      <c r="C482" s="31" t="b">
        <v>0</v>
      </c>
      <c r="D482" s="31">
        <v>4</v>
      </c>
      <c r="E482" s="35" t="s">
        <v>2038</v>
      </c>
      <c r="F482" s="31" t="s">
        <v>131</v>
      </c>
      <c r="G482" s="31" t="s">
        <v>3665</v>
      </c>
      <c r="H482" s="31" t="s">
        <v>3666</v>
      </c>
      <c r="I482" s="37" t="s">
        <v>3667</v>
      </c>
      <c r="J482" s="31" t="s">
        <v>2328</v>
      </c>
      <c r="K482" s="31" t="s">
        <v>448</v>
      </c>
      <c r="L482" s="30" t="s">
        <v>2232</v>
      </c>
      <c r="M482" s="31" t="s">
        <v>2328</v>
      </c>
    </row>
    <row r="483" spans="1:13" s="30" customFormat="1" ht="45" x14ac:dyDescent="0.25">
      <c r="A483" s="31" t="s">
        <v>3228</v>
      </c>
      <c r="B483" s="32" t="s">
        <v>2039</v>
      </c>
      <c r="C483" s="31" t="b">
        <v>0</v>
      </c>
      <c r="D483" s="31">
        <v>4</v>
      </c>
      <c r="E483" s="35" t="s">
        <v>2040</v>
      </c>
      <c r="F483" s="31" t="s">
        <v>131</v>
      </c>
      <c r="G483" s="31" t="s">
        <v>3665</v>
      </c>
      <c r="H483" s="31" t="s">
        <v>3666</v>
      </c>
      <c r="I483" s="37" t="s">
        <v>3667</v>
      </c>
      <c r="J483" s="31" t="s">
        <v>2328</v>
      </c>
      <c r="K483" s="31" t="s">
        <v>448</v>
      </c>
      <c r="L483" s="30" t="s">
        <v>2232</v>
      </c>
      <c r="M483" s="31" t="s">
        <v>2328</v>
      </c>
    </row>
    <row r="484" spans="1:13" s="30" customFormat="1" ht="45" x14ac:dyDescent="0.25">
      <c r="A484" s="31" t="s">
        <v>3229</v>
      </c>
      <c r="B484" s="32" t="s">
        <v>2041</v>
      </c>
      <c r="C484" s="31" t="b">
        <v>0</v>
      </c>
      <c r="D484" s="31">
        <v>4</v>
      </c>
      <c r="E484" s="35" t="s">
        <v>2042</v>
      </c>
      <c r="F484" s="31" t="s">
        <v>131</v>
      </c>
      <c r="G484" s="31" t="s">
        <v>3665</v>
      </c>
      <c r="H484" s="31" t="s">
        <v>3666</v>
      </c>
      <c r="I484" s="37" t="s">
        <v>3667</v>
      </c>
      <c r="J484" s="31" t="s">
        <v>2328</v>
      </c>
      <c r="K484" s="31" t="s">
        <v>448</v>
      </c>
      <c r="L484" s="30" t="s">
        <v>2232</v>
      </c>
      <c r="M484" s="31" t="s">
        <v>2328</v>
      </c>
    </row>
    <row r="485" spans="1:13" s="30" customFormat="1" ht="45" x14ac:dyDescent="0.25">
      <c r="A485" s="31" t="s">
        <v>3230</v>
      </c>
      <c r="B485" s="32" t="s">
        <v>2043</v>
      </c>
      <c r="C485" s="31" t="b">
        <v>0</v>
      </c>
      <c r="D485" s="31">
        <v>4</v>
      </c>
      <c r="E485" s="35" t="s">
        <v>2044</v>
      </c>
      <c r="F485" s="31" t="s">
        <v>131</v>
      </c>
      <c r="G485" s="31" t="s">
        <v>3665</v>
      </c>
      <c r="H485" s="31" t="s">
        <v>3666</v>
      </c>
      <c r="I485" s="37" t="s">
        <v>3667</v>
      </c>
      <c r="J485" s="31" t="s">
        <v>2328</v>
      </c>
      <c r="K485" s="31" t="s">
        <v>448</v>
      </c>
      <c r="L485" s="30" t="s">
        <v>2232</v>
      </c>
      <c r="M485" s="31" t="s">
        <v>2328</v>
      </c>
    </row>
    <row r="486" spans="1:13" s="30" customFormat="1" ht="45" x14ac:dyDescent="0.25">
      <c r="A486" s="31" t="s">
        <v>3231</v>
      </c>
      <c r="B486" s="32" t="s">
        <v>2045</v>
      </c>
      <c r="C486" s="31" t="b">
        <v>0</v>
      </c>
      <c r="D486" s="31">
        <v>4</v>
      </c>
      <c r="E486" s="35" t="s">
        <v>2046</v>
      </c>
      <c r="F486" s="31" t="s">
        <v>131</v>
      </c>
      <c r="G486" s="31" t="s">
        <v>3665</v>
      </c>
      <c r="H486" s="31" t="s">
        <v>3666</v>
      </c>
      <c r="I486" s="37" t="s">
        <v>3667</v>
      </c>
      <c r="J486" s="31" t="s">
        <v>2328</v>
      </c>
      <c r="K486" s="31" t="s">
        <v>448</v>
      </c>
      <c r="L486" s="30" t="s">
        <v>2232</v>
      </c>
      <c r="M486" s="31" t="s">
        <v>2328</v>
      </c>
    </row>
    <row r="487" spans="1:13" s="30" customFormat="1" ht="45" x14ac:dyDescent="0.25">
      <c r="A487" s="31" t="s">
        <v>3232</v>
      </c>
      <c r="B487" s="32" t="s">
        <v>2047</v>
      </c>
      <c r="C487" s="31" t="b">
        <v>0</v>
      </c>
      <c r="D487" s="31">
        <v>4</v>
      </c>
      <c r="E487" s="35" t="s">
        <v>2048</v>
      </c>
      <c r="F487" s="31" t="s">
        <v>131</v>
      </c>
      <c r="G487" s="31" t="s">
        <v>3665</v>
      </c>
      <c r="H487" s="31" t="s">
        <v>3666</v>
      </c>
      <c r="I487" s="37" t="s">
        <v>3667</v>
      </c>
      <c r="J487" s="31" t="s">
        <v>2328</v>
      </c>
      <c r="K487" s="31" t="s">
        <v>448</v>
      </c>
      <c r="L487" s="30" t="s">
        <v>2232</v>
      </c>
      <c r="M487" s="31" t="s">
        <v>2328</v>
      </c>
    </row>
    <row r="488" spans="1:13" s="30" customFormat="1" ht="45" x14ac:dyDescent="0.25">
      <c r="A488" s="31" t="s">
        <v>3233</v>
      </c>
      <c r="B488" s="32" t="s">
        <v>2049</v>
      </c>
      <c r="C488" s="31" t="b">
        <v>1</v>
      </c>
      <c r="D488" s="31">
        <v>2</v>
      </c>
      <c r="E488" s="34" t="s">
        <v>3377</v>
      </c>
      <c r="F488" s="31" t="s">
        <v>3443</v>
      </c>
      <c r="G488" s="31" t="s">
        <v>3665</v>
      </c>
      <c r="H488" s="31" t="s">
        <v>3666</v>
      </c>
      <c r="I488" s="37" t="s">
        <v>3667</v>
      </c>
      <c r="J488" s="31" t="s">
        <v>2328</v>
      </c>
      <c r="K488" s="31" t="s">
        <v>450</v>
      </c>
      <c r="L488" s="30" t="s">
        <v>2232</v>
      </c>
      <c r="M488" s="31" t="s">
        <v>2328</v>
      </c>
    </row>
    <row r="489" spans="1:13" s="30" customFormat="1" ht="45" x14ac:dyDescent="0.25">
      <c r="A489" s="31" t="s">
        <v>2328</v>
      </c>
      <c r="B489" s="32" t="s">
        <v>2051</v>
      </c>
      <c r="C489" s="31" t="b">
        <v>0</v>
      </c>
      <c r="D489" s="31">
        <v>4</v>
      </c>
      <c r="E489" s="35" t="s">
        <v>2052</v>
      </c>
      <c r="F489" s="31" t="s">
        <v>139</v>
      </c>
      <c r="G489" s="31" t="s">
        <v>3665</v>
      </c>
      <c r="H489" s="31" t="s">
        <v>3666</v>
      </c>
      <c r="I489" s="37" t="s">
        <v>3667</v>
      </c>
      <c r="J489" s="31" t="s">
        <v>2328</v>
      </c>
      <c r="K489" s="31" t="s">
        <v>450</v>
      </c>
      <c r="L489" s="30" t="s">
        <v>2232</v>
      </c>
      <c r="M489" s="31" t="s">
        <v>2328</v>
      </c>
    </row>
    <row r="490" spans="1:13" s="30" customFormat="1" ht="45" x14ac:dyDescent="0.25">
      <c r="A490" s="31" t="s">
        <v>3234</v>
      </c>
      <c r="B490" s="32" t="s">
        <v>2053</v>
      </c>
      <c r="C490" s="31" t="b">
        <v>0</v>
      </c>
      <c r="D490" s="31">
        <v>4</v>
      </c>
      <c r="E490" s="35" t="s">
        <v>2054</v>
      </c>
      <c r="F490" s="31" t="s">
        <v>131</v>
      </c>
      <c r="G490" s="31" t="s">
        <v>3665</v>
      </c>
      <c r="H490" s="31" t="s">
        <v>3666</v>
      </c>
      <c r="I490" s="37" t="s">
        <v>3667</v>
      </c>
      <c r="J490" s="31" t="s">
        <v>2328</v>
      </c>
      <c r="K490" s="31" t="s">
        <v>450</v>
      </c>
      <c r="L490" s="30" t="s">
        <v>2232</v>
      </c>
      <c r="M490" s="31" t="s">
        <v>2328</v>
      </c>
    </row>
    <row r="491" spans="1:13" s="30" customFormat="1" ht="45" x14ac:dyDescent="0.25">
      <c r="A491" s="31" t="s">
        <v>3235</v>
      </c>
      <c r="B491" s="32" t="s">
        <v>2055</v>
      </c>
      <c r="C491" s="31" t="b">
        <v>0</v>
      </c>
      <c r="D491" s="31">
        <v>4</v>
      </c>
      <c r="E491" s="35" t="s">
        <v>2056</v>
      </c>
      <c r="F491" s="31" t="s">
        <v>131</v>
      </c>
      <c r="G491" s="31" t="s">
        <v>3665</v>
      </c>
      <c r="H491" s="31" t="s">
        <v>3666</v>
      </c>
      <c r="I491" s="37" t="s">
        <v>3667</v>
      </c>
      <c r="J491" s="31" t="s">
        <v>2328</v>
      </c>
      <c r="K491" s="31" t="s">
        <v>450</v>
      </c>
      <c r="L491" s="30" t="s">
        <v>2232</v>
      </c>
      <c r="M491" s="31" t="s">
        <v>2328</v>
      </c>
    </row>
    <row r="492" spans="1:13" s="30" customFormat="1" ht="45" x14ac:dyDescent="0.25">
      <c r="A492" s="31" t="s">
        <v>2328</v>
      </c>
      <c r="B492" s="32" t="s">
        <v>2057</v>
      </c>
      <c r="C492" s="31" t="b">
        <v>0</v>
      </c>
      <c r="D492" s="31">
        <v>4</v>
      </c>
      <c r="E492" s="35" t="s">
        <v>2058</v>
      </c>
      <c r="F492" s="31" t="s">
        <v>139</v>
      </c>
      <c r="G492" s="31" t="s">
        <v>3665</v>
      </c>
      <c r="H492" s="31" t="s">
        <v>3666</v>
      </c>
      <c r="I492" s="37" t="s">
        <v>3667</v>
      </c>
      <c r="J492" s="31" t="s">
        <v>2328</v>
      </c>
      <c r="K492" s="31" t="s">
        <v>450</v>
      </c>
      <c r="L492" s="30" t="s">
        <v>2232</v>
      </c>
      <c r="M492" s="31" t="s">
        <v>2328</v>
      </c>
    </row>
    <row r="493" spans="1:13" s="30" customFormat="1" ht="60" x14ac:dyDescent="0.25">
      <c r="A493" s="31" t="s">
        <v>3236</v>
      </c>
      <c r="B493" s="32" t="s">
        <v>2059</v>
      </c>
      <c r="C493" s="31" t="b">
        <v>0</v>
      </c>
      <c r="D493" s="31">
        <v>4</v>
      </c>
      <c r="E493" s="35" t="s">
        <v>2060</v>
      </c>
      <c r="F493" s="31" t="s">
        <v>131</v>
      </c>
      <c r="G493" s="31" t="s">
        <v>3665</v>
      </c>
      <c r="H493" s="31" t="s">
        <v>3666</v>
      </c>
      <c r="I493" s="37" t="s">
        <v>3667</v>
      </c>
      <c r="J493" s="31" t="s">
        <v>2328</v>
      </c>
      <c r="K493" s="31" t="s">
        <v>450</v>
      </c>
      <c r="L493" s="30" t="s">
        <v>2232</v>
      </c>
      <c r="M493" s="31" t="s">
        <v>2328</v>
      </c>
    </row>
    <row r="494" spans="1:13" s="30" customFormat="1" ht="409.15" customHeight="1" x14ac:dyDescent="0.25">
      <c r="A494" s="31" t="s">
        <v>3237</v>
      </c>
      <c r="B494" s="32" t="s">
        <v>2061</v>
      </c>
      <c r="C494" s="31" t="b">
        <v>0</v>
      </c>
      <c r="D494" s="31">
        <v>4</v>
      </c>
      <c r="E494" s="35" t="s">
        <v>2062</v>
      </c>
      <c r="F494" s="31" t="s">
        <v>131</v>
      </c>
      <c r="G494" s="31" t="s">
        <v>3665</v>
      </c>
      <c r="H494" s="31" t="s">
        <v>3666</v>
      </c>
      <c r="I494" s="37" t="s">
        <v>3667</v>
      </c>
      <c r="J494" s="31" t="s">
        <v>2328</v>
      </c>
      <c r="K494" s="31" t="s">
        <v>450</v>
      </c>
      <c r="L494" s="30" t="s">
        <v>2232</v>
      </c>
      <c r="M494" s="31" t="s">
        <v>2328</v>
      </c>
    </row>
    <row r="495" spans="1:13" s="30" customFormat="1" ht="409.15" customHeight="1" x14ac:dyDescent="0.25">
      <c r="A495" s="31" t="s">
        <v>2328</v>
      </c>
      <c r="B495" s="32" t="s">
        <v>2063</v>
      </c>
      <c r="C495" s="31" t="b">
        <v>1</v>
      </c>
      <c r="D495" s="31">
        <v>0</v>
      </c>
      <c r="E495" s="33" t="s">
        <v>2375</v>
      </c>
      <c r="F495" s="31" t="s">
        <v>3443</v>
      </c>
      <c r="G495" s="31" t="s">
        <v>3665</v>
      </c>
      <c r="H495" s="31" t="s">
        <v>3666</v>
      </c>
      <c r="I495" s="37" t="s">
        <v>3667</v>
      </c>
      <c r="J495" s="31" t="s">
        <v>2328</v>
      </c>
      <c r="K495" s="31" t="s">
        <v>452</v>
      </c>
      <c r="L495" s="30" t="s">
        <v>2232</v>
      </c>
      <c r="M495" s="31" t="s">
        <v>2328</v>
      </c>
    </row>
    <row r="496" spans="1:13" s="30" customFormat="1" ht="409.15" customHeight="1" x14ac:dyDescent="0.25">
      <c r="A496" s="31" t="s">
        <v>2328</v>
      </c>
      <c r="B496" s="32" t="s">
        <v>2064</v>
      </c>
      <c r="C496" s="31" t="b">
        <v>1</v>
      </c>
      <c r="D496" s="31">
        <v>2</v>
      </c>
      <c r="E496" s="34" t="s">
        <v>2376</v>
      </c>
      <c r="F496" s="31" t="s">
        <v>3443</v>
      </c>
      <c r="G496" s="31" t="s">
        <v>3665</v>
      </c>
      <c r="H496" s="31" t="s">
        <v>3666</v>
      </c>
      <c r="I496" s="37" t="s">
        <v>3667</v>
      </c>
      <c r="J496" s="31" t="s">
        <v>2328</v>
      </c>
      <c r="K496" s="31" t="s">
        <v>454</v>
      </c>
      <c r="L496" s="30" t="s">
        <v>2232</v>
      </c>
      <c r="M496" s="31" t="s">
        <v>2328</v>
      </c>
    </row>
    <row r="497" spans="1:18" s="30" customFormat="1" ht="409.15" customHeight="1" x14ac:dyDescent="0.25">
      <c r="A497" s="31" t="s">
        <v>3238</v>
      </c>
      <c r="B497" s="32" t="s">
        <v>2065</v>
      </c>
      <c r="C497" s="31" t="b">
        <v>1</v>
      </c>
      <c r="D497" s="31">
        <v>4</v>
      </c>
      <c r="E497" s="35" t="s">
        <v>3553</v>
      </c>
      <c r="F497" s="31" t="s">
        <v>3443</v>
      </c>
      <c r="G497" s="31" t="s">
        <v>3665</v>
      </c>
      <c r="H497" s="31" t="s">
        <v>3666</v>
      </c>
      <c r="I497" s="37" t="s">
        <v>3667</v>
      </c>
      <c r="J497" s="31" t="s">
        <v>2328</v>
      </c>
      <c r="K497" s="31" t="s">
        <v>456</v>
      </c>
      <c r="L497" s="30" t="s">
        <v>2232</v>
      </c>
      <c r="M497" s="31" t="s">
        <v>2328</v>
      </c>
    </row>
    <row r="498" spans="1:18" s="30" customFormat="1" ht="147" customHeight="1" x14ac:dyDescent="0.25">
      <c r="A498" s="31" t="s">
        <v>3239</v>
      </c>
      <c r="B498" s="32" t="s">
        <v>2067</v>
      </c>
      <c r="C498" s="31" t="b">
        <v>0</v>
      </c>
      <c r="D498" s="31">
        <v>4</v>
      </c>
      <c r="E498" s="35" t="s">
        <v>2068</v>
      </c>
      <c r="F498" s="31" t="s">
        <v>131</v>
      </c>
      <c r="G498" s="31" t="s">
        <v>3665</v>
      </c>
      <c r="H498" s="31" t="s">
        <v>3666</v>
      </c>
      <c r="I498" s="37" t="s">
        <v>3667</v>
      </c>
      <c r="J498" s="31" t="s">
        <v>2328</v>
      </c>
      <c r="K498" s="31" t="s">
        <v>456</v>
      </c>
      <c r="L498" s="30" t="s">
        <v>2232</v>
      </c>
      <c r="M498" s="31" t="s">
        <v>2328</v>
      </c>
    </row>
    <row r="499" spans="1:18" ht="45" x14ac:dyDescent="0.25">
      <c r="A499" s="31" t="s">
        <v>3240</v>
      </c>
      <c r="B499" s="32" t="s">
        <v>2069</v>
      </c>
      <c r="C499" s="31" t="b">
        <v>0</v>
      </c>
      <c r="D499" s="31">
        <v>4</v>
      </c>
      <c r="E499" s="35" t="s">
        <v>2070</v>
      </c>
      <c r="F499" s="31" t="s">
        <v>131</v>
      </c>
      <c r="G499" s="31" t="s">
        <v>3665</v>
      </c>
      <c r="H499" s="31" t="s">
        <v>3666</v>
      </c>
      <c r="I499" s="37" t="s">
        <v>3667</v>
      </c>
      <c r="J499" s="31" t="s">
        <v>2328</v>
      </c>
      <c r="K499" s="31" t="s">
        <v>456</v>
      </c>
      <c r="L499" s="30" t="s">
        <v>2232</v>
      </c>
      <c r="M499" s="31" t="s">
        <v>2328</v>
      </c>
      <c r="N499" s="30"/>
    </row>
    <row r="500" spans="1:18" ht="45" x14ac:dyDescent="0.25">
      <c r="A500" s="31" t="s">
        <v>3241</v>
      </c>
      <c r="B500" s="32" t="s">
        <v>2071</v>
      </c>
      <c r="C500" s="31" t="b">
        <v>0</v>
      </c>
      <c r="D500" s="31">
        <v>4</v>
      </c>
      <c r="E500" s="35" t="s">
        <v>2072</v>
      </c>
      <c r="F500" s="31" t="s">
        <v>131</v>
      </c>
      <c r="G500" s="31" t="s">
        <v>3665</v>
      </c>
      <c r="H500" s="31" t="s">
        <v>3666</v>
      </c>
      <c r="I500" s="37" t="s">
        <v>3667</v>
      </c>
      <c r="J500" s="31" t="s">
        <v>2328</v>
      </c>
      <c r="K500" s="31" t="s">
        <v>456</v>
      </c>
      <c r="L500" s="30" t="s">
        <v>2232</v>
      </c>
      <c r="M500" s="31" t="s">
        <v>2328</v>
      </c>
      <c r="N500" s="30"/>
    </row>
    <row r="501" spans="1:18" ht="45" x14ac:dyDescent="0.25">
      <c r="A501" s="31" t="s">
        <v>3242</v>
      </c>
      <c r="B501" s="32" t="s">
        <v>2073</v>
      </c>
      <c r="C501" s="31" t="b">
        <v>1</v>
      </c>
      <c r="D501" s="31">
        <v>4</v>
      </c>
      <c r="E501" s="35" t="s">
        <v>3554</v>
      </c>
      <c r="F501" s="31" t="s">
        <v>3443</v>
      </c>
      <c r="G501" s="31" t="s">
        <v>3665</v>
      </c>
      <c r="H501" s="31" t="s">
        <v>3666</v>
      </c>
      <c r="I501" s="37" t="s">
        <v>3667</v>
      </c>
      <c r="J501" s="31" t="s">
        <v>2328</v>
      </c>
      <c r="K501" s="31" t="s">
        <v>458</v>
      </c>
      <c r="L501" s="30" t="s">
        <v>2232</v>
      </c>
      <c r="M501" s="31" t="s">
        <v>2328</v>
      </c>
      <c r="N501" s="30"/>
    </row>
    <row r="502" spans="1:18" ht="45" x14ac:dyDescent="0.25">
      <c r="A502" s="31" t="s">
        <v>3243</v>
      </c>
      <c r="B502" s="32" t="s">
        <v>2075</v>
      </c>
      <c r="C502" s="31" t="b">
        <v>0</v>
      </c>
      <c r="D502" s="31">
        <v>4</v>
      </c>
      <c r="E502" s="35" t="s">
        <v>2076</v>
      </c>
      <c r="F502" s="31" t="s">
        <v>131</v>
      </c>
      <c r="G502" s="31" t="s">
        <v>3665</v>
      </c>
      <c r="H502" s="31" t="s">
        <v>3666</v>
      </c>
      <c r="I502" s="37" t="s">
        <v>3667</v>
      </c>
      <c r="J502" s="31" t="s">
        <v>2328</v>
      </c>
      <c r="K502" s="31" t="s">
        <v>458</v>
      </c>
      <c r="L502" s="30" t="s">
        <v>2232</v>
      </c>
      <c r="M502" s="31" t="s">
        <v>2328</v>
      </c>
      <c r="N502" s="30"/>
    </row>
    <row r="503" spans="1:18" ht="45" x14ac:dyDescent="0.25">
      <c r="A503" s="31" t="s">
        <v>3244</v>
      </c>
      <c r="B503" s="32" t="s">
        <v>2077</v>
      </c>
      <c r="C503" s="31" t="b">
        <v>0</v>
      </c>
      <c r="D503" s="31">
        <v>4</v>
      </c>
      <c r="E503" s="35" t="s">
        <v>51</v>
      </c>
      <c r="F503" s="31" t="s">
        <v>131</v>
      </c>
      <c r="G503" s="31" t="s">
        <v>3665</v>
      </c>
      <c r="H503" s="31" t="s">
        <v>3666</v>
      </c>
      <c r="I503" s="37" t="s">
        <v>3667</v>
      </c>
      <c r="J503" s="31" t="s">
        <v>2328</v>
      </c>
      <c r="K503" s="31" t="s">
        <v>458</v>
      </c>
      <c r="L503" s="30" t="s">
        <v>2232</v>
      </c>
      <c r="M503" s="31" t="s">
        <v>2328</v>
      </c>
      <c r="N503" s="30"/>
    </row>
    <row r="504" spans="1:18" ht="45" x14ac:dyDescent="0.25">
      <c r="A504" s="31" t="s">
        <v>3245</v>
      </c>
      <c r="B504" s="32" t="s">
        <v>2078</v>
      </c>
      <c r="C504" s="31" t="b">
        <v>0</v>
      </c>
      <c r="D504" s="31">
        <v>4</v>
      </c>
      <c r="E504" s="35" t="s">
        <v>50</v>
      </c>
      <c r="F504" s="31" t="s">
        <v>131</v>
      </c>
      <c r="G504" s="31" t="s">
        <v>3665</v>
      </c>
      <c r="H504" s="31" t="s">
        <v>3666</v>
      </c>
      <c r="I504" s="37" t="s">
        <v>3667</v>
      </c>
      <c r="J504" s="31" t="s">
        <v>2328</v>
      </c>
      <c r="K504" s="31" t="s">
        <v>458</v>
      </c>
      <c r="L504" s="30" t="s">
        <v>2232</v>
      </c>
      <c r="M504" s="31" t="s">
        <v>2328</v>
      </c>
      <c r="N504" s="30"/>
    </row>
    <row r="505" spans="1:18" ht="45" x14ac:dyDescent="0.25">
      <c r="A505" s="31" t="s">
        <v>3246</v>
      </c>
      <c r="B505" s="32" t="s">
        <v>2079</v>
      </c>
      <c r="C505" s="31" t="b">
        <v>0</v>
      </c>
      <c r="D505" s="31">
        <v>4</v>
      </c>
      <c r="E505" s="35" t="s">
        <v>49</v>
      </c>
      <c r="F505" s="31" t="s">
        <v>131</v>
      </c>
      <c r="G505" s="31" t="s">
        <v>3665</v>
      </c>
      <c r="H505" s="31" t="s">
        <v>3666</v>
      </c>
      <c r="I505" s="37" t="s">
        <v>3667</v>
      </c>
      <c r="J505" s="31" t="s">
        <v>2328</v>
      </c>
      <c r="K505" s="31" t="s">
        <v>458</v>
      </c>
      <c r="L505" s="30" t="s">
        <v>2232</v>
      </c>
      <c r="M505" s="31" t="s">
        <v>2328</v>
      </c>
      <c r="N505" s="30"/>
    </row>
    <row r="506" spans="1:18" ht="45" x14ac:dyDescent="0.25">
      <c r="A506" s="31" t="s">
        <v>3247</v>
      </c>
      <c r="B506" s="32" t="s">
        <v>2080</v>
      </c>
      <c r="C506" s="31" t="b">
        <v>0</v>
      </c>
      <c r="D506" s="31">
        <v>4</v>
      </c>
      <c r="E506" s="35" t="s">
        <v>48</v>
      </c>
      <c r="F506" s="31" t="s">
        <v>131</v>
      </c>
      <c r="G506" s="31" t="s">
        <v>3665</v>
      </c>
      <c r="H506" s="31" t="s">
        <v>3666</v>
      </c>
      <c r="I506" s="37" t="s">
        <v>3667</v>
      </c>
      <c r="J506" s="31" t="s">
        <v>2328</v>
      </c>
      <c r="K506" s="31" t="s">
        <v>458</v>
      </c>
      <c r="L506" s="30" t="s">
        <v>2232</v>
      </c>
      <c r="M506" s="31" t="s">
        <v>2328</v>
      </c>
      <c r="N506" s="30"/>
    </row>
    <row r="507" spans="1:18" ht="45" x14ac:dyDescent="0.25">
      <c r="A507" s="31" t="s">
        <v>3248</v>
      </c>
      <c r="B507" s="32" t="s">
        <v>2081</v>
      </c>
      <c r="C507" s="31" t="b">
        <v>0</v>
      </c>
      <c r="D507" s="31">
        <v>4</v>
      </c>
      <c r="E507" s="35" t="s">
        <v>47</v>
      </c>
      <c r="F507" s="31" t="s">
        <v>131</v>
      </c>
      <c r="G507" s="31" t="s">
        <v>3665</v>
      </c>
      <c r="H507" s="31" t="s">
        <v>3666</v>
      </c>
      <c r="I507" s="37" t="s">
        <v>3667</v>
      </c>
      <c r="J507" s="31" t="s">
        <v>2328</v>
      </c>
      <c r="K507" s="31" t="s">
        <v>458</v>
      </c>
      <c r="L507" s="30" t="s">
        <v>2232</v>
      </c>
      <c r="M507" s="31" t="s">
        <v>2328</v>
      </c>
      <c r="N507" s="30"/>
      <c r="R507" s="30"/>
    </row>
    <row r="508" spans="1:18" ht="45" x14ac:dyDescent="0.25">
      <c r="A508" s="31" t="s">
        <v>3249</v>
      </c>
      <c r="B508" s="32" t="s">
        <v>2082</v>
      </c>
      <c r="C508" s="31" t="b">
        <v>0</v>
      </c>
      <c r="D508" s="31">
        <v>4</v>
      </c>
      <c r="E508" s="35" t="s">
        <v>46</v>
      </c>
      <c r="F508" s="31" t="s">
        <v>131</v>
      </c>
      <c r="G508" s="31" t="s">
        <v>3665</v>
      </c>
      <c r="H508" s="31" t="s">
        <v>3666</v>
      </c>
      <c r="I508" s="37" t="s">
        <v>3667</v>
      </c>
      <c r="J508" s="31" t="s">
        <v>2328</v>
      </c>
      <c r="K508" s="31" t="s">
        <v>458</v>
      </c>
      <c r="L508" s="30" t="s">
        <v>2232</v>
      </c>
      <c r="M508" s="31" t="s">
        <v>2328</v>
      </c>
      <c r="N508" s="30"/>
    </row>
    <row r="509" spans="1:18" ht="45" x14ac:dyDescent="0.25">
      <c r="A509" s="31" t="s">
        <v>2328</v>
      </c>
      <c r="B509" s="32" t="s">
        <v>2083</v>
      </c>
      <c r="C509" s="31" t="b">
        <v>1</v>
      </c>
      <c r="D509" s="31">
        <v>2</v>
      </c>
      <c r="E509" s="34" t="s">
        <v>2377</v>
      </c>
      <c r="F509" s="31" t="s">
        <v>3443</v>
      </c>
      <c r="G509" s="31" t="s">
        <v>3665</v>
      </c>
      <c r="H509" s="31" t="s">
        <v>3666</v>
      </c>
      <c r="I509" s="37" t="s">
        <v>3667</v>
      </c>
      <c r="J509" s="31" t="s">
        <v>2328</v>
      </c>
      <c r="K509" s="31" t="s">
        <v>460</v>
      </c>
      <c r="L509" s="30" t="s">
        <v>2232</v>
      </c>
      <c r="M509" s="31" t="s">
        <v>2328</v>
      </c>
      <c r="N509" s="30"/>
    </row>
    <row r="510" spans="1:18" ht="75" x14ac:dyDescent="0.25">
      <c r="A510" s="31" t="s">
        <v>2328</v>
      </c>
      <c r="B510" s="32" t="s">
        <v>2084</v>
      </c>
      <c r="C510" s="31" t="b">
        <v>0</v>
      </c>
      <c r="D510" s="31">
        <v>4</v>
      </c>
      <c r="E510" s="35" t="s">
        <v>2086</v>
      </c>
      <c r="F510" s="31" t="s">
        <v>139</v>
      </c>
      <c r="G510" s="31" t="s">
        <v>3665</v>
      </c>
      <c r="H510" s="31" t="s">
        <v>3666</v>
      </c>
      <c r="I510" s="37" t="s">
        <v>3667</v>
      </c>
      <c r="J510" s="31" t="s">
        <v>2328</v>
      </c>
      <c r="K510" s="31" t="s">
        <v>460</v>
      </c>
      <c r="L510" s="30" t="s">
        <v>2232</v>
      </c>
      <c r="M510" s="31" t="s">
        <v>2328</v>
      </c>
      <c r="N510" s="30"/>
    </row>
    <row r="511" spans="1:18" ht="45" x14ac:dyDescent="0.25">
      <c r="A511" s="31" t="s">
        <v>2328</v>
      </c>
      <c r="B511" s="32" t="s">
        <v>2087</v>
      </c>
      <c r="C511" s="31" t="b">
        <v>1</v>
      </c>
      <c r="D511" s="31">
        <v>4</v>
      </c>
      <c r="E511" s="35" t="s">
        <v>3555</v>
      </c>
      <c r="F511" s="31" t="s">
        <v>3443</v>
      </c>
      <c r="G511" s="31" t="s">
        <v>3665</v>
      </c>
      <c r="H511" s="31" t="s">
        <v>3666</v>
      </c>
      <c r="I511" s="37" t="s">
        <v>3667</v>
      </c>
      <c r="J511" s="31" t="s">
        <v>2328</v>
      </c>
      <c r="K511" s="31" t="s">
        <v>460</v>
      </c>
      <c r="L511" s="30" t="s">
        <v>2232</v>
      </c>
      <c r="M511" s="31" t="s">
        <v>2328</v>
      </c>
      <c r="N511" s="30"/>
    </row>
    <row r="512" spans="1:18" ht="60" x14ac:dyDescent="0.25">
      <c r="A512" s="31" t="s">
        <v>3250</v>
      </c>
      <c r="B512" s="32" t="s">
        <v>2088</v>
      </c>
      <c r="C512" s="31" t="b">
        <v>0</v>
      </c>
      <c r="D512" s="31">
        <v>6</v>
      </c>
      <c r="E512" s="38" t="s">
        <v>2089</v>
      </c>
      <c r="F512" s="31" t="s">
        <v>131</v>
      </c>
      <c r="G512" s="31" t="s">
        <v>3665</v>
      </c>
      <c r="H512" s="31" t="s">
        <v>3666</v>
      </c>
      <c r="I512" s="37" t="s">
        <v>3667</v>
      </c>
      <c r="J512" s="31" t="s">
        <v>2328</v>
      </c>
      <c r="K512" s="31" t="s">
        <v>460</v>
      </c>
      <c r="L512" s="30" t="s">
        <v>2232</v>
      </c>
      <c r="M512" s="31" t="s">
        <v>2328</v>
      </c>
      <c r="N512" s="30"/>
      <c r="R512" s="9"/>
    </row>
    <row r="513" spans="1:18" ht="45" x14ac:dyDescent="0.25">
      <c r="A513" s="31" t="s">
        <v>2328</v>
      </c>
      <c r="B513" s="32" t="s">
        <v>2090</v>
      </c>
      <c r="C513" s="31" t="b">
        <v>1</v>
      </c>
      <c r="D513" s="31">
        <v>4</v>
      </c>
      <c r="E513" s="35" t="s">
        <v>3378</v>
      </c>
      <c r="F513" s="31" t="s">
        <v>3443</v>
      </c>
      <c r="G513" s="31" t="s">
        <v>3665</v>
      </c>
      <c r="H513" s="31" t="s">
        <v>3666</v>
      </c>
      <c r="I513" s="37" t="s">
        <v>3667</v>
      </c>
      <c r="J513" s="31" t="s">
        <v>2328</v>
      </c>
      <c r="K513" s="31" t="s">
        <v>460</v>
      </c>
      <c r="L513" s="30" t="s">
        <v>2232</v>
      </c>
      <c r="M513" s="31" t="s">
        <v>2328</v>
      </c>
      <c r="N513" s="30"/>
    </row>
    <row r="514" spans="1:18" ht="60" x14ac:dyDescent="0.25">
      <c r="A514" s="31" t="s">
        <v>3251</v>
      </c>
      <c r="B514" s="32" t="s">
        <v>2092</v>
      </c>
      <c r="C514" s="31" t="b">
        <v>0</v>
      </c>
      <c r="D514" s="31">
        <v>6</v>
      </c>
      <c r="E514" s="38" t="s">
        <v>2093</v>
      </c>
      <c r="F514" s="31" t="s">
        <v>131</v>
      </c>
      <c r="G514" s="31" t="s">
        <v>3665</v>
      </c>
      <c r="H514" s="31" t="s">
        <v>3666</v>
      </c>
      <c r="I514" s="37" t="s">
        <v>3667</v>
      </c>
      <c r="J514" s="31" t="s">
        <v>2328</v>
      </c>
      <c r="K514" s="31" t="s">
        <v>460</v>
      </c>
      <c r="L514" s="30" t="s">
        <v>2232</v>
      </c>
      <c r="M514" s="31" t="s">
        <v>2328</v>
      </c>
      <c r="N514" s="30"/>
    </row>
    <row r="515" spans="1:18" ht="45" x14ac:dyDescent="0.25">
      <c r="A515" s="31" t="s">
        <v>2328</v>
      </c>
      <c r="B515" s="32" t="s">
        <v>2094</v>
      </c>
      <c r="C515" s="31" t="b">
        <v>1</v>
      </c>
      <c r="D515" s="31">
        <v>4</v>
      </c>
      <c r="E515" s="35" t="s">
        <v>3556</v>
      </c>
      <c r="F515" s="31" t="s">
        <v>3443</v>
      </c>
      <c r="G515" s="31" t="s">
        <v>3665</v>
      </c>
      <c r="H515" s="31" t="s">
        <v>3666</v>
      </c>
      <c r="I515" s="37" t="s">
        <v>3667</v>
      </c>
      <c r="J515" s="31" t="s">
        <v>2328</v>
      </c>
      <c r="K515" s="31" t="s">
        <v>460</v>
      </c>
      <c r="L515" s="30" t="s">
        <v>2232</v>
      </c>
      <c r="M515" s="31" t="s">
        <v>2328</v>
      </c>
      <c r="N515" s="30"/>
      <c r="R515" s="9"/>
    </row>
    <row r="516" spans="1:18" ht="60" x14ac:dyDescent="0.25">
      <c r="A516" s="31" t="s">
        <v>3252</v>
      </c>
      <c r="B516" s="32" t="s">
        <v>2095</v>
      </c>
      <c r="C516" s="31" t="b">
        <v>0</v>
      </c>
      <c r="D516" s="31">
        <v>6</v>
      </c>
      <c r="E516" s="38" t="s">
        <v>2096</v>
      </c>
      <c r="F516" s="31" t="s">
        <v>131</v>
      </c>
      <c r="G516" s="31" t="s">
        <v>3665</v>
      </c>
      <c r="H516" s="31" t="s">
        <v>3666</v>
      </c>
      <c r="I516" s="37" t="s">
        <v>3667</v>
      </c>
      <c r="J516" s="31" t="s">
        <v>2328</v>
      </c>
      <c r="K516" s="31" t="s">
        <v>460</v>
      </c>
      <c r="L516" s="30" t="s">
        <v>2232</v>
      </c>
      <c r="M516" s="31" t="s">
        <v>2328</v>
      </c>
      <c r="N516" s="30"/>
    </row>
    <row r="517" spans="1:18" ht="45" x14ac:dyDescent="0.25">
      <c r="A517" s="31" t="s">
        <v>2328</v>
      </c>
      <c r="B517" s="32" t="s">
        <v>2097</v>
      </c>
      <c r="C517" s="31" t="b">
        <v>0</v>
      </c>
      <c r="D517" s="31">
        <v>6</v>
      </c>
      <c r="E517" s="38" t="s">
        <v>2098</v>
      </c>
      <c r="F517" s="31" t="s">
        <v>139</v>
      </c>
      <c r="G517" s="31" t="s">
        <v>3665</v>
      </c>
      <c r="H517" s="31" t="s">
        <v>3666</v>
      </c>
      <c r="I517" s="37" t="s">
        <v>3667</v>
      </c>
      <c r="J517" s="31" t="s">
        <v>2328</v>
      </c>
      <c r="K517" s="31" t="s">
        <v>460</v>
      </c>
      <c r="L517" s="30" t="s">
        <v>2232</v>
      </c>
      <c r="M517" s="31" t="s">
        <v>2328</v>
      </c>
      <c r="N517" s="30"/>
    </row>
    <row r="518" spans="1:18" ht="90" x14ac:dyDescent="0.25">
      <c r="A518" s="31" t="s">
        <v>3253</v>
      </c>
      <c r="B518" s="32" t="s">
        <v>2099</v>
      </c>
      <c r="C518" s="31" t="b">
        <v>0</v>
      </c>
      <c r="D518" s="31">
        <v>6</v>
      </c>
      <c r="E518" s="38" t="s">
        <v>2313</v>
      </c>
      <c r="F518" s="31" t="s">
        <v>131</v>
      </c>
      <c r="G518" s="31" t="s">
        <v>3665</v>
      </c>
      <c r="H518" s="31" t="s">
        <v>3666</v>
      </c>
      <c r="I518" s="37" t="s">
        <v>3667</v>
      </c>
      <c r="J518" s="31" t="s">
        <v>2328</v>
      </c>
      <c r="K518" s="31" t="s">
        <v>460</v>
      </c>
      <c r="L518" s="30" t="s">
        <v>2232</v>
      </c>
      <c r="M518" s="31" t="s">
        <v>2328</v>
      </c>
      <c r="N518" s="30"/>
    </row>
    <row r="519" spans="1:18" ht="120" x14ac:dyDescent="0.25">
      <c r="A519" s="31" t="s">
        <v>3254</v>
      </c>
      <c r="B519" s="32" t="s">
        <v>2100</v>
      </c>
      <c r="C519" s="31" t="b">
        <v>0</v>
      </c>
      <c r="D519" s="31">
        <v>6</v>
      </c>
      <c r="E519" s="38" t="s">
        <v>2314</v>
      </c>
      <c r="F519" s="31" t="s">
        <v>131</v>
      </c>
      <c r="G519" s="31" t="s">
        <v>3665</v>
      </c>
      <c r="H519" s="31" t="s">
        <v>3666</v>
      </c>
      <c r="I519" s="37" t="s">
        <v>3667</v>
      </c>
      <c r="J519" s="31" t="s">
        <v>2328</v>
      </c>
      <c r="K519" s="31" t="s">
        <v>460</v>
      </c>
      <c r="L519" s="30" t="s">
        <v>2232</v>
      </c>
      <c r="M519" s="31" t="s">
        <v>2328</v>
      </c>
      <c r="N519" s="30"/>
      <c r="R519" s="9"/>
    </row>
    <row r="520" spans="1:18" ht="105" x14ac:dyDescent="0.25">
      <c r="A520" s="31" t="s">
        <v>3255</v>
      </c>
      <c r="B520" s="32" t="s">
        <v>2101</v>
      </c>
      <c r="C520" s="31" t="b">
        <v>0</v>
      </c>
      <c r="D520" s="31">
        <v>6</v>
      </c>
      <c r="E520" s="38" t="s">
        <v>2408</v>
      </c>
      <c r="F520" s="31" t="s">
        <v>131</v>
      </c>
      <c r="G520" s="31" t="s">
        <v>3665</v>
      </c>
      <c r="H520" s="31" t="s">
        <v>3666</v>
      </c>
      <c r="I520" s="37" t="s">
        <v>3667</v>
      </c>
      <c r="J520" s="31" t="s">
        <v>2328</v>
      </c>
      <c r="K520" s="31" t="s">
        <v>460</v>
      </c>
      <c r="L520" s="30" t="s">
        <v>2232</v>
      </c>
      <c r="M520" s="31" t="s">
        <v>2328</v>
      </c>
      <c r="N520" s="30"/>
    </row>
    <row r="521" spans="1:18" ht="45" x14ac:dyDescent="0.25">
      <c r="A521" s="31" t="s">
        <v>3256</v>
      </c>
      <c r="B521" s="32" t="s">
        <v>2102</v>
      </c>
      <c r="C521" s="31" t="b">
        <v>0</v>
      </c>
      <c r="D521" s="31">
        <v>6</v>
      </c>
      <c r="E521" s="38" t="s">
        <v>2103</v>
      </c>
      <c r="F521" s="31" t="s">
        <v>131</v>
      </c>
      <c r="G521" s="31" t="s">
        <v>3665</v>
      </c>
      <c r="H521" s="31" t="s">
        <v>3666</v>
      </c>
      <c r="I521" s="37" t="s">
        <v>3667</v>
      </c>
      <c r="J521" s="31" t="s">
        <v>2328</v>
      </c>
      <c r="K521" s="31" t="s">
        <v>460</v>
      </c>
      <c r="L521" s="30" t="s">
        <v>2232</v>
      </c>
      <c r="M521" s="31" t="s">
        <v>2328</v>
      </c>
      <c r="N521" s="30"/>
    </row>
    <row r="522" spans="1:18" ht="45" x14ac:dyDescent="0.25">
      <c r="A522" s="31" t="s">
        <v>2328</v>
      </c>
      <c r="B522" s="32" t="s">
        <v>2107</v>
      </c>
      <c r="C522" s="31" t="b">
        <v>1</v>
      </c>
      <c r="D522" s="31">
        <v>4</v>
      </c>
      <c r="E522" s="35" t="s">
        <v>3557</v>
      </c>
      <c r="F522" s="31" t="s">
        <v>3443</v>
      </c>
      <c r="G522" s="31" t="s">
        <v>3665</v>
      </c>
      <c r="H522" s="31" t="s">
        <v>3666</v>
      </c>
      <c r="I522" s="37" t="s">
        <v>3667</v>
      </c>
      <c r="J522" s="31" t="s">
        <v>2328</v>
      </c>
      <c r="K522" s="31" t="s">
        <v>460</v>
      </c>
      <c r="L522" s="30" t="s">
        <v>2232</v>
      </c>
      <c r="M522" s="31" t="s">
        <v>2328</v>
      </c>
      <c r="N522" s="30"/>
    </row>
    <row r="523" spans="1:18" ht="60" x14ac:dyDescent="0.25">
      <c r="A523" s="31" t="s">
        <v>3258</v>
      </c>
      <c r="B523" s="32" t="s">
        <v>2108</v>
      </c>
      <c r="C523" s="31" t="b">
        <v>0</v>
      </c>
      <c r="D523" s="31">
        <v>6</v>
      </c>
      <c r="E523" s="38" t="s">
        <v>2109</v>
      </c>
      <c r="F523" s="31" t="s">
        <v>131</v>
      </c>
      <c r="G523" s="31" t="s">
        <v>3665</v>
      </c>
      <c r="H523" s="31" t="s">
        <v>3666</v>
      </c>
      <c r="I523" s="37" t="s">
        <v>3667</v>
      </c>
      <c r="J523" s="31" t="s">
        <v>2328</v>
      </c>
      <c r="K523" s="31" t="s">
        <v>460</v>
      </c>
      <c r="L523" s="30" t="s">
        <v>2232</v>
      </c>
      <c r="M523" s="31" t="s">
        <v>2328</v>
      </c>
      <c r="N523" s="30"/>
    </row>
    <row r="524" spans="1:18" ht="45" x14ac:dyDescent="0.25">
      <c r="A524" s="31" t="s">
        <v>2328</v>
      </c>
      <c r="B524" s="32" t="s">
        <v>2110</v>
      </c>
      <c r="C524" s="31" t="b">
        <v>0</v>
      </c>
      <c r="D524" s="31">
        <v>6</v>
      </c>
      <c r="E524" s="38" t="s">
        <v>2111</v>
      </c>
      <c r="F524" s="31" t="s">
        <v>139</v>
      </c>
      <c r="G524" s="31" t="s">
        <v>3665</v>
      </c>
      <c r="H524" s="31" t="s">
        <v>3666</v>
      </c>
      <c r="I524" s="37" t="s">
        <v>3667</v>
      </c>
      <c r="J524" s="31" t="s">
        <v>2328</v>
      </c>
      <c r="K524" s="31" t="s">
        <v>460</v>
      </c>
      <c r="L524" s="30" t="s">
        <v>2232</v>
      </c>
      <c r="M524" s="31" t="s">
        <v>2328</v>
      </c>
      <c r="N524" s="30"/>
      <c r="R524" s="9"/>
    </row>
    <row r="525" spans="1:18" ht="75" x14ac:dyDescent="0.25">
      <c r="A525" s="31" t="s">
        <v>3259</v>
      </c>
      <c r="B525" s="32" t="s">
        <v>2112</v>
      </c>
      <c r="C525" s="31" t="b">
        <v>0</v>
      </c>
      <c r="D525" s="31">
        <v>6</v>
      </c>
      <c r="E525" s="38" t="s">
        <v>2316</v>
      </c>
      <c r="F525" s="31" t="s">
        <v>131</v>
      </c>
      <c r="G525" s="31" t="s">
        <v>3665</v>
      </c>
      <c r="H525" s="31" t="s">
        <v>3666</v>
      </c>
      <c r="I525" s="37" t="s">
        <v>3667</v>
      </c>
      <c r="J525" s="31" t="s">
        <v>2328</v>
      </c>
      <c r="K525" s="31" t="s">
        <v>460</v>
      </c>
      <c r="L525" s="30" t="s">
        <v>2232</v>
      </c>
      <c r="M525" s="31" t="s">
        <v>2328</v>
      </c>
      <c r="N525" s="30"/>
      <c r="R525" s="9"/>
    </row>
    <row r="526" spans="1:18" ht="105" x14ac:dyDescent="0.25">
      <c r="A526" s="31" t="s">
        <v>3260</v>
      </c>
      <c r="B526" s="32" t="s">
        <v>2113</v>
      </c>
      <c r="C526" s="31" t="b">
        <v>0</v>
      </c>
      <c r="D526" s="31">
        <v>6</v>
      </c>
      <c r="E526" s="38" t="s">
        <v>2317</v>
      </c>
      <c r="F526" s="31" t="s">
        <v>131</v>
      </c>
      <c r="G526" s="31" t="s">
        <v>3665</v>
      </c>
      <c r="H526" s="31" t="s">
        <v>3666</v>
      </c>
      <c r="I526" s="37" t="s">
        <v>3667</v>
      </c>
      <c r="J526" s="31" t="s">
        <v>2328</v>
      </c>
      <c r="K526" s="31" t="s">
        <v>460</v>
      </c>
      <c r="L526" s="30" t="s">
        <v>2232</v>
      </c>
      <c r="M526" s="31" t="s">
        <v>2328</v>
      </c>
      <c r="N526" s="30"/>
    </row>
    <row r="527" spans="1:18" ht="105" x14ac:dyDescent="0.25">
      <c r="A527" s="31" t="s">
        <v>3261</v>
      </c>
      <c r="B527" s="32" t="s">
        <v>2114</v>
      </c>
      <c r="C527" s="31" t="b">
        <v>0</v>
      </c>
      <c r="D527" s="31">
        <v>6</v>
      </c>
      <c r="E527" s="38" t="s">
        <v>2409</v>
      </c>
      <c r="F527" s="31" t="s">
        <v>131</v>
      </c>
      <c r="G527" s="31" t="s">
        <v>3665</v>
      </c>
      <c r="H527" s="31" t="s">
        <v>3666</v>
      </c>
      <c r="I527" s="37" t="s">
        <v>3667</v>
      </c>
      <c r="J527" s="31" t="s">
        <v>2328</v>
      </c>
      <c r="K527" s="31" t="s">
        <v>460</v>
      </c>
      <c r="L527" s="30" t="s">
        <v>2232</v>
      </c>
      <c r="M527" s="31" t="s">
        <v>2328</v>
      </c>
      <c r="N527" s="30"/>
    </row>
    <row r="528" spans="1:18" ht="90" x14ac:dyDescent="0.25">
      <c r="A528" s="31" t="s">
        <v>3257</v>
      </c>
      <c r="B528" s="32" t="s">
        <v>2106</v>
      </c>
      <c r="C528" s="31" t="b">
        <v>0</v>
      </c>
      <c r="D528" s="31">
        <v>6</v>
      </c>
      <c r="E528" s="38" t="s">
        <v>2315</v>
      </c>
      <c r="F528" s="31" t="s">
        <v>131</v>
      </c>
      <c r="G528" s="31" t="s">
        <v>3665</v>
      </c>
      <c r="H528" s="31" t="s">
        <v>3666</v>
      </c>
      <c r="I528" s="37" t="s">
        <v>3667</v>
      </c>
      <c r="J528" s="31" t="s">
        <v>2328</v>
      </c>
      <c r="K528" s="31" t="s">
        <v>460</v>
      </c>
      <c r="L528" s="30" t="s">
        <v>2232</v>
      </c>
      <c r="M528" s="31" t="s">
        <v>2328</v>
      </c>
      <c r="N528" s="30"/>
      <c r="R528" s="9"/>
    </row>
    <row r="529" spans="1:18" ht="45" x14ac:dyDescent="0.25">
      <c r="A529" s="31" t="s">
        <v>2328</v>
      </c>
      <c r="B529" s="32" t="s">
        <v>2115</v>
      </c>
      <c r="C529" s="31" t="b">
        <v>1</v>
      </c>
      <c r="D529" s="31">
        <v>0</v>
      </c>
      <c r="E529" s="33" t="s">
        <v>2378</v>
      </c>
      <c r="F529" s="31" t="s">
        <v>3443</v>
      </c>
      <c r="G529" s="31" t="s">
        <v>3665</v>
      </c>
      <c r="H529" s="31" t="s">
        <v>3666</v>
      </c>
      <c r="I529" s="37" t="s">
        <v>3667</v>
      </c>
      <c r="J529" s="31" t="s">
        <v>2328</v>
      </c>
      <c r="K529" s="31" t="s">
        <v>464</v>
      </c>
      <c r="L529" s="30" t="s">
        <v>2232</v>
      </c>
      <c r="M529" s="31" t="s">
        <v>2328</v>
      </c>
      <c r="N529" s="30"/>
    </row>
    <row r="530" spans="1:18" ht="45" x14ac:dyDescent="0.25">
      <c r="A530" s="31" t="s">
        <v>3262</v>
      </c>
      <c r="B530" s="32" t="s">
        <v>2116</v>
      </c>
      <c r="C530" s="31" t="b">
        <v>0</v>
      </c>
      <c r="D530" s="31">
        <v>2</v>
      </c>
      <c r="E530" s="34" t="s">
        <v>44</v>
      </c>
      <c r="F530" s="31" t="s">
        <v>131</v>
      </c>
      <c r="G530" s="31" t="s">
        <v>3665</v>
      </c>
      <c r="H530" s="31" t="s">
        <v>3666</v>
      </c>
      <c r="I530" s="37" t="s">
        <v>3667</v>
      </c>
      <c r="J530" s="31" t="s">
        <v>2328</v>
      </c>
      <c r="K530" s="31" t="s">
        <v>464</v>
      </c>
      <c r="L530" s="30" t="s">
        <v>2232</v>
      </c>
      <c r="M530" s="31" t="s">
        <v>2328</v>
      </c>
      <c r="N530" s="30"/>
    </row>
    <row r="531" spans="1:18" ht="45" x14ac:dyDescent="0.25">
      <c r="A531" s="31" t="s">
        <v>3263</v>
      </c>
      <c r="B531" s="32" t="s">
        <v>2117</v>
      </c>
      <c r="C531" s="31" t="b">
        <v>0</v>
      </c>
      <c r="D531" s="31">
        <v>2</v>
      </c>
      <c r="E531" s="34" t="s">
        <v>2118</v>
      </c>
      <c r="F531" s="31" t="s">
        <v>131</v>
      </c>
      <c r="G531" s="31" t="s">
        <v>3665</v>
      </c>
      <c r="H531" s="31" t="s">
        <v>3666</v>
      </c>
      <c r="I531" s="37" t="s">
        <v>3667</v>
      </c>
      <c r="J531" s="31" t="s">
        <v>2328</v>
      </c>
      <c r="K531" s="31" t="s">
        <v>464</v>
      </c>
      <c r="L531" s="30" t="s">
        <v>2232</v>
      </c>
      <c r="M531" s="31" t="s">
        <v>2328</v>
      </c>
      <c r="N531" s="30"/>
      <c r="R531" s="9"/>
    </row>
    <row r="532" spans="1:18" ht="45" x14ac:dyDescent="0.25">
      <c r="A532" s="31" t="s">
        <v>2328</v>
      </c>
      <c r="B532" s="32" t="s">
        <v>2125</v>
      </c>
      <c r="C532" s="31" t="b">
        <v>1</v>
      </c>
      <c r="D532" s="31">
        <v>0</v>
      </c>
      <c r="E532" s="33" t="s">
        <v>2379</v>
      </c>
      <c r="F532" s="31" t="s">
        <v>3443</v>
      </c>
      <c r="G532" s="31" t="s">
        <v>3665</v>
      </c>
      <c r="H532" s="31" t="s">
        <v>3666</v>
      </c>
      <c r="I532" s="37" t="s">
        <v>3667</v>
      </c>
      <c r="J532" s="31" t="s">
        <v>2328</v>
      </c>
      <c r="K532" s="31" t="s">
        <v>468</v>
      </c>
      <c r="L532" s="30" t="s">
        <v>2232</v>
      </c>
      <c r="M532" s="31" t="s">
        <v>2328</v>
      </c>
      <c r="N532" s="30"/>
      <c r="R532" s="9"/>
    </row>
    <row r="533" spans="1:18" ht="45" x14ac:dyDescent="0.25">
      <c r="A533" s="31" t="s">
        <v>2328</v>
      </c>
      <c r="B533" s="32" t="s">
        <v>2126</v>
      </c>
      <c r="C533" s="31" t="b">
        <v>1</v>
      </c>
      <c r="D533" s="31">
        <v>2</v>
      </c>
      <c r="E533" s="34" t="s">
        <v>2380</v>
      </c>
      <c r="F533" s="31" t="s">
        <v>3443</v>
      </c>
      <c r="G533" s="31" t="s">
        <v>3665</v>
      </c>
      <c r="H533" s="31" t="s">
        <v>3666</v>
      </c>
      <c r="I533" s="37" t="s">
        <v>3667</v>
      </c>
      <c r="J533" s="31" t="s">
        <v>2328</v>
      </c>
      <c r="K533" s="31" t="s">
        <v>472</v>
      </c>
      <c r="L533" s="30" t="s">
        <v>2232</v>
      </c>
      <c r="M533" s="31" t="s">
        <v>2328</v>
      </c>
      <c r="N533" s="30"/>
    </row>
    <row r="534" spans="1:18" ht="45" x14ac:dyDescent="0.25">
      <c r="A534" s="31" t="s">
        <v>3264</v>
      </c>
      <c r="B534" s="32" t="s">
        <v>2127</v>
      </c>
      <c r="C534" s="31" t="b">
        <v>0</v>
      </c>
      <c r="D534" s="31">
        <v>4</v>
      </c>
      <c r="E534" s="35" t="s">
        <v>83</v>
      </c>
      <c r="F534" s="31" t="s">
        <v>131</v>
      </c>
      <c r="G534" s="31" t="s">
        <v>3665</v>
      </c>
      <c r="H534" s="31" t="s">
        <v>3666</v>
      </c>
      <c r="I534" s="37" t="s">
        <v>3667</v>
      </c>
      <c r="J534" s="31" t="s">
        <v>2328</v>
      </c>
      <c r="K534" s="31" t="s">
        <v>472</v>
      </c>
      <c r="L534" s="30" t="s">
        <v>2232</v>
      </c>
      <c r="M534" s="31" t="s">
        <v>2328</v>
      </c>
      <c r="N534" s="30"/>
    </row>
    <row r="535" spans="1:18" ht="45" x14ac:dyDescent="0.25">
      <c r="A535" s="31" t="s">
        <v>3265</v>
      </c>
      <c r="B535" s="32" t="s">
        <v>2128</v>
      </c>
      <c r="C535" s="31" t="b">
        <v>0</v>
      </c>
      <c r="D535" s="31">
        <v>4</v>
      </c>
      <c r="E535" s="35" t="s">
        <v>82</v>
      </c>
      <c r="F535" s="31" t="s">
        <v>131</v>
      </c>
      <c r="G535" s="31" t="s">
        <v>3665</v>
      </c>
      <c r="H535" s="31" t="s">
        <v>3666</v>
      </c>
      <c r="I535" s="37" t="s">
        <v>3667</v>
      </c>
      <c r="J535" s="31" t="s">
        <v>2328</v>
      </c>
      <c r="K535" s="31" t="s">
        <v>472</v>
      </c>
      <c r="L535" s="30" t="s">
        <v>2232</v>
      </c>
      <c r="M535" s="31" t="s">
        <v>2328</v>
      </c>
      <c r="N535" s="30"/>
      <c r="R535" s="9"/>
    </row>
    <row r="536" spans="1:18" ht="45" x14ac:dyDescent="0.25">
      <c r="A536" s="31" t="s">
        <v>3266</v>
      </c>
      <c r="B536" s="32" t="s">
        <v>2129</v>
      </c>
      <c r="C536" s="31" t="b">
        <v>0</v>
      </c>
      <c r="D536" s="31">
        <v>4</v>
      </c>
      <c r="E536" s="35" t="s">
        <v>81</v>
      </c>
      <c r="F536" s="31" t="s">
        <v>131</v>
      </c>
      <c r="G536" s="31" t="s">
        <v>3665</v>
      </c>
      <c r="H536" s="31" t="s">
        <v>3666</v>
      </c>
      <c r="I536" s="37" t="s">
        <v>3667</v>
      </c>
      <c r="J536" s="31" t="s">
        <v>2328</v>
      </c>
      <c r="K536" s="31" t="s">
        <v>472</v>
      </c>
      <c r="L536" s="30" t="s">
        <v>2232</v>
      </c>
      <c r="M536" s="31" t="s">
        <v>2328</v>
      </c>
      <c r="N536" s="30"/>
    </row>
    <row r="537" spans="1:18" ht="45" x14ac:dyDescent="0.25">
      <c r="A537" s="31" t="s">
        <v>3267</v>
      </c>
      <c r="B537" s="32" t="s">
        <v>2130</v>
      </c>
      <c r="C537" s="31" t="b">
        <v>0</v>
      </c>
      <c r="D537" s="31">
        <v>4</v>
      </c>
      <c r="E537" s="35" t="s">
        <v>80</v>
      </c>
      <c r="F537" s="31" t="s">
        <v>131</v>
      </c>
      <c r="G537" s="31" t="s">
        <v>3665</v>
      </c>
      <c r="H537" s="31" t="s">
        <v>3666</v>
      </c>
      <c r="I537" s="37" t="s">
        <v>3667</v>
      </c>
      <c r="J537" s="31" t="s">
        <v>2328</v>
      </c>
      <c r="K537" s="31" t="s">
        <v>472</v>
      </c>
      <c r="L537" s="30" t="s">
        <v>2232</v>
      </c>
      <c r="M537" s="31" t="s">
        <v>2328</v>
      </c>
      <c r="N537" s="30"/>
    </row>
    <row r="538" spans="1:18" ht="45" x14ac:dyDescent="0.25">
      <c r="A538" s="31" t="s">
        <v>2328</v>
      </c>
      <c r="B538" s="32" t="s">
        <v>2131</v>
      </c>
      <c r="C538" s="31" t="b">
        <v>1</v>
      </c>
      <c r="D538" s="31">
        <v>2</v>
      </c>
      <c r="E538" s="34" t="s">
        <v>2381</v>
      </c>
      <c r="F538" s="31" t="s">
        <v>3443</v>
      </c>
      <c r="G538" s="31" t="s">
        <v>3665</v>
      </c>
      <c r="H538" s="31" t="s">
        <v>3666</v>
      </c>
      <c r="I538" s="37" t="s">
        <v>3667</v>
      </c>
      <c r="J538" s="31" t="s">
        <v>2328</v>
      </c>
      <c r="K538" s="31" t="s">
        <v>474</v>
      </c>
      <c r="L538" s="30" t="s">
        <v>2232</v>
      </c>
      <c r="M538" s="31" t="s">
        <v>2328</v>
      </c>
      <c r="N538" s="30"/>
      <c r="R538" s="9"/>
    </row>
    <row r="539" spans="1:18" ht="45" x14ac:dyDescent="0.25">
      <c r="A539" s="31" t="s">
        <v>3268</v>
      </c>
      <c r="B539" s="32" t="s">
        <v>2132</v>
      </c>
      <c r="C539" s="31" t="b">
        <v>0</v>
      </c>
      <c r="D539" s="31">
        <v>4</v>
      </c>
      <c r="E539" s="35" t="s">
        <v>78</v>
      </c>
      <c r="F539" s="31" t="s">
        <v>131</v>
      </c>
      <c r="G539" s="31" t="s">
        <v>3665</v>
      </c>
      <c r="H539" s="31" t="s">
        <v>3666</v>
      </c>
      <c r="I539" s="37" t="s">
        <v>3667</v>
      </c>
      <c r="J539" s="31" t="s">
        <v>2328</v>
      </c>
      <c r="K539" s="31" t="s">
        <v>474</v>
      </c>
      <c r="L539" s="30" t="s">
        <v>2232</v>
      </c>
      <c r="M539" s="31" t="s">
        <v>2328</v>
      </c>
      <c r="N539" s="30"/>
    </row>
    <row r="540" spans="1:18" ht="45" x14ac:dyDescent="0.25">
      <c r="A540" s="31" t="s">
        <v>3269</v>
      </c>
      <c r="B540" s="32" t="s">
        <v>2133</v>
      </c>
      <c r="C540" s="31" t="b">
        <v>0</v>
      </c>
      <c r="D540" s="31">
        <v>4</v>
      </c>
      <c r="E540" s="35" t="s">
        <v>77</v>
      </c>
      <c r="F540" s="31" t="s">
        <v>131</v>
      </c>
      <c r="G540" s="31" t="s">
        <v>3665</v>
      </c>
      <c r="H540" s="31" t="s">
        <v>3666</v>
      </c>
      <c r="I540" s="37" t="s">
        <v>3667</v>
      </c>
      <c r="J540" s="31" t="s">
        <v>2328</v>
      </c>
      <c r="K540" s="31" t="s">
        <v>474</v>
      </c>
      <c r="L540" s="30" t="s">
        <v>2232</v>
      </c>
      <c r="M540" s="31" t="s">
        <v>2328</v>
      </c>
      <c r="N540" s="30"/>
    </row>
    <row r="541" spans="1:18" ht="45" x14ac:dyDescent="0.25">
      <c r="A541" s="31" t="s">
        <v>3270</v>
      </c>
      <c r="B541" s="32" t="s">
        <v>2134</v>
      </c>
      <c r="C541" s="31" t="b">
        <v>0</v>
      </c>
      <c r="D541" s="31">
        <v>4</v>
      </c>
      <c r="E541" s="35" t="s">
        <v>76</v>
      </c>
      <c r="F541" s="31" t="s">
        <v>131</v>
      </c>
      <c r="G541" s="31" t="s">
        <v>3665</v>
      </c>
      <c r="H541" s="31" t="s">
        <v>3666</v>
      </c>
      <c r="I541" s="37" t="s">
        <v>3667</v>
      </c>
      <c r="J541" s="31" t="s">
        <v>2328</v>
      </c>
      <c r="K541" s="31" t="s">
        <v>474</v>
      </c>
      <c r="L541" s="30" t="s">
        <v>2232</v>
      </c>
      <c r="M541" s="31" t="s">
        <v>2328</v>
      </c>
      <c r="N541" s="30"/>
      <c r="R541" s="9"/>
    </row>
    <row r="542" spans="1:18" ht="45" x14ac:dyDescent="0.25">
      <c r="A542" s="31" t="s">
        <v>2328</v>
      </c>
      <c r="B542" s="32" t="s">
        <v>2135</v>
      </c>
      <c r="C542" s="31" t="b">
        <v>1</v>
      </c>
      <c r="D542" s="31">
        <v>2</v>
      </c>
      <c r="E542" s="34" t="s">
        <v>2382</v>
      </c>
      <c r="F542" s="31" t="s">
        <v>3443</v>
      </c>
      <c r="G542" s="31" t="s">
        <v>3665</v>
      </c>
      <c r="H542" s="31" t="s">
        <v>3666</v>
      </c>
      <c r="I542" s="37" t="s">
        <v>3667</v>
      </c>
      <c r="J542" s="31" t="s">
        <v>2328</v>
      </c>
      <c r="K542" s="31" t="s">
        <v>476</v>
      </c>
      <c r="L542" s="30" t="s">
        <v>2232</v>
      </c>
      <c r="M542" s="31" t="s">
        <v>2328</v>
      </c>
      <c r="N542" s="30"/>
    </row>
    <row r="543" spans="1:18" ht="45" x14ac:dyDescent="0.25">
      <c r="A543" s="31" t="s">
        <v>3271</v>
      </c>
      <c r="B543" s="32" t="s">
        <v>2136</v>
      </c>
      <c r="C543" s="31" t="b">
        <v>0</v>
      </c>
      <c r="D543" s="31">
        <v>4</v>
      </c>
      <c r="E543" s="35" t="s">
        <v>74</v>
      </c>
      <c r="F543" s="31" t="s">
        <v>131</v>
      </c>
      <c r="G543" s="31" t="s">
        <v>3665</v>
      </c>
      <c r="H543" s="31" t="s">
        <v>3666</v>
      </c>
      <c r="I543" s="37" t="s">
        <v>3667</v>
      </c>
      <c r="J543" s="31" t="s">
        <v>2328</v>
      </c>
      <c r="K543" s="31" t="s">
        <v>476</v>
      </c>
      <c r="L543" s="30" t="s">
        <v>2232</v>
      </c>
      <c r="M543" s="31" t="s">
        <v>2328</v>
      </c>
      <c r="N543" s="30"/>
    </row>
    <row r="544" spans="1:18" ht="45" x14ac:dyDescent="0.25">
      <c r="A544" s="31" t="s">
        <v>3272</v>
      </c>
      <c r="B544" s="32" t="s">
        <v>2137</v>
      </c>
      <c r="C544" s="31" t="b">
        <v>0</v>
      </c>
      <c r="D544" s="31">
        <v>4</v>
      </c>
      <c r="E544" s="35" t="s">
        <v>73</v>
      </c>
      <c r="F544" s="31" t="s">
        <v>131</v>
      </c>
      <c r="G544" s="31" t="s">
        <v>3665</v>
      </c>
      <c r="H544" s="31" t="s">
        <v>3666</v>
      </c>
      <c r="I544" s="37" t="s">
        <v>3667</v>
      </c>
      <c r="J544" s="31" t="s">
        <v>2328</v>
      </c>
      <c r="K544" s="31" t="s">
        <v>476</v>
      </c>
      <c r="L544" s="30" t="s">
        <v>2232</v>
      </c>
      <c r="M544" s="31" t="s">
        <v>2328</v>
      </c>
      <c r="N544" s="30"/>
    </row>
    <row r="545" spans="1:18" ht="45" x14ac:dyDescent="0.25">
      <c r="A545" s="31" t="s">
        <v>3273</v>
      </c>
      <c r="B545" s="32" t="s">
        <v>2138</v>
      </c>
      <c r="C545" s="31" t="b">
        <v>0</v>
      </c>
      <c r="D545" s="31">
        <v>4</v>
      </c>
      <c r="E545" s="35" t="s">
        <v>72</v>
      </c>
      <c r="F545" s="31" t="s">
        <v>131</v>
      </c>
      <c r="G545" s="31" t="s">
        <v>3665</v>
      </c>
      <c r="H545" s="31" t="s">
        <v>3666</v>
      </c>
      <c r="I545" s="37" t="s">
        <v>3667</v>
      </c>
      <c r="J545" s="31" t="s">
        <v>2328</v>
      </c>
      <c r="K545" s="31" t="s">
        <v>476</v>
      </c>
      <c r="L545" s="30" t="s">
        <v>2232</v>
      </c>
      <c r="M545" s="31" t="s">
        <v>2328</v>
      </c>
      <c r="N545" s="30"/>
    </row>
    <row r="546" spans="1:18" ht="45" x14ac:dyDescent="0.25">
      <c r="A546" s="31" t="s">
        <v>2328</v>
      </c>
      <c r="B546" s="32" t="s">
        <v>2139</v>
      </c>
      <c r="C546" s="31" t="b">
        <v>1</v>
      </c>
      <c r="D546" s="31">
        <v>2</v>
      </c>
      <c r="E546" s="34" t="s">
        <v>2383</v>
      </c>
      <c r="F546" s="31" t="s">
        <v>3443</v>
      </c>
      <c r="G546" s="31" t="s">
        <v>3665</v>
      </c>
      <c r="H546" s="31" t="s">
        <v>3666</v>
      </c>
      <c r="I546" s="37" t="s">
        <v>3667</v>
      </c>
      <c r="J546" s="31" t="s">
        <v>2328</v>
      </c>
      <c r="K546" s="31" t="s">
        <v>478</v>
      </c>
      <c r="L546" s="30" t="s">
        <v>2232</v>
      </c>
      <c r="M546" s="31" t="s">
        <v>2328</v>
      </c>
      <c r="N546" s="30"/>
      <c r="R546" s="9"/>
    </row>
    <row r="547" spans="1:18" ht="45" x14ac:dyDescent="0.25">
      <c r="A547" s="31" t="s">
        <v>2328</v>
      </c>
      <c r="B547" s="32" t="s">
        <v>2140</v>
      </c>
      <c r="C547" s="31" t="b">
        <v>0</v>
      </c>
      <c r="D547" s="31">
        <v>4</v>
      </c>
      <c r="E547" s="35" t="s">
        <v>2141</v>
      </c>
      <c r="F547" s="31" t="s">
        <v>139</v>
      </c>
      <c r="G547" s="31" t="s">
        <v>3665</v>
      </c>
      <c r="H547" s="31" t="s">
        <v>3666</v>
      </c>
      <c r="I547" s="37" t="s">
        <v>3667</v>
      </c>
      <c r="J547" s="31" t="s">
        <v>2328</v>
      </c>
      <c r="K547" s="31" t="s">
        <v>478</v>
      </c>
      <c r="L547" s="30" t="s">
        <v>2232</v>
      </c>
      <c r="M547" s="31" t="s">
        <v>2328</v>
      </c>
      <c r="N547" s="30"/>
    </row>
    <row r="548" spans="1:18" ht="45" x14ac:dyDescent="0.25">
      <c r="A548" s="31" t="s">
        <v>3274</v>
      </c>
      <c r="B548" s="32" t="s">
        <v>2142</v>
      </c>
      <c r="C548" s="31" t="b">
        <v>0</v>
      </c>
      <c r="D548" s="31">
        <v>4</v>
      </c>
      <c r="E548" s="35" t="s">
        <v>69</v>
      </c>
      <c r="F548" s="31" t="s">
        <v>131</v>
      </c>
      <c r="G548" s="31" t="s">
        <v>3665</v>
      </c>
      <c r="H548" s="31" t="s">
        <v>3666</v>
      </c>
      <c r="I548" s="37" t="s">
        <v>3667</v>
      </c>
      <c r="J548" s="31" t="s">
        <v>2328</v>
      </c>
      <c r="K548" s="31" t="s">
        <v>478</v>
      </c>
      <c r="L548" s="30" t="s">
        <v>2232</v>
      </c>
      <c r="M548" s="31" t="s">
        <v>2328</v>
      </c>
      <c r="N548" s="30"/>
      <c r="R548" s="9"/>
    </row>
    <row r="549" spans="1:18" ht="45" x14ac:dyDescent="0.25">
      <c r="A549" s="31" t="s">
        <v>3275</v>
      </c>
      <c r="B549" s="32" t="s">
        <v>2143</v>
      </c>
      <c r="C549" s="31" t="b">
        <v>0</v>
      </c>
      <c r="D549" s="31">
        <v>4</v>
      </c>
      <c r="E549" s="35" t="s">
        <v>68</v>
      </c>
      <c r="F549" s="31" t="s">
        <v>131</v>
      </c>
      <c r="G549" s="31" t="s">
        <v>3665</v>
      </c>
      <c r="H549" s="31" t="s">
        <v>3666</v>
      </c>
      <c r="I549" s="37" t="s">
        <v>3667</v>
      </c>
      <c r="J549" s="31" t="s">
        <v>2328</v>
      </c>
      <c r="K549" s="31" t="s">
        <v>478</v>
      </c>
      <c r="L549" s="30" t="s">
        <v>2232</v>
      </c>
      <c r="M549" s="31" t="s">
        <v>2328</v>
      </c>
      <c r="N549" s="30"/>
      <c r="R549" s="8"/>
    </row>
    <row r="550" spans="1:18" ht="45" x14ac:dyDescent="0.25">
      <c r="A550" s="31" t="s">
        <v>3276</v>
      </c>
      <c r="B550" s="32" t="s">
        <v>2144</v>
      </c>
      <c r="C550" s="31" t="b">
        <v>0</v>
      </c>
      <c r="D550" s="31">
        <v>4</v>
      </c>
      <c r="E550" s="35" t="s">
        <v>67</v>
      </c>
      <c r="F550" s="31" t="s">
        <v>131</v>
      </c>
      <c r="G550" s="31" t="s">
        <v>3665</v>
      </c>
      <c r="H550" s="31" t="s">
        <v>3666</v>
      </c>
      <c r="I550" s="37" t="s">
        <v>3667</v>
      </c>
      <c r="J550" s="31" t="s">
        <v>2328</v>
      </c>
      <c r="K550" s="31" t="s">
        <v>478</v>
      </c>
      <c r="L550" s="30" t="s">
        <v>2232</v>
      </c>
      <c r="M550" s="31" t="s">
        <v>2328</v>
      </c>
      <c r="N550" s="30"/>
    </row>
    <row r="551" spans="1:18" ht="60" x14ac:dyDescent="0.25">
      <c r="A551" s="31" t="s">
        <v>3277</v>
      </c>
      <c r="B551" s="32" t="s">
        <v>2145</v>
      </c>
      <c r="C551" s="31" t="b">
        <v>0</v>
      </c>
      <c r="D551" s="31">
        <v>4</v>
      </c>
      <c r="E551" s="35" t="s">
        <v>2318</v>
      </c>
      <c r="F551" s="31" t="s">
        <v>131</v>
      </c>
      <c r="G551" s="31" t="s">
        <v>3665</v>
      </c>
      <c r="H551" s="31" t="s">
        <v>3666</v>
      </c>
      <c r="I551" s="37" t="s">
        <v>3667</v>
      </c>
      <c r="J551" s="31" t="s">
        <v>2328</v>
      </c>
      <c r="K551" s="31" t="s">
        <v>478</v>
      </c>
      <c r="L551" s="30" t="s">
        <v>2232</v>
      </c>
      <c r="M551" s="31" t="s">
        <v>2328</v>
      </c>
      <c r="N551" s="30"/>
    </row>
    <row r="552" spans="1:18" ht="45" x14ac:dyDescent="0.25">
      <c r="A552" s="31" t="s">
        <v>3278</v>
      </c>
      <c r="B552" s="32" t="s">
        <v>2146</v>
      </c>
      <c r="C552" s="31" t="b">
        <v>0</v>
      </c>
      <c r="D552" s="31">
        <v>4</v>
      </c>
      <c r="E552" s="35" t="s">
        <v>2147</v>
      </c>
      <c r="F552" s="31" t="s">
        <v>131</v>
      </c>
      <c r="G552" s="31" t="s">
        <v>3665</v>
      </c>
      <c r="H552" s="31" t="s">
        <v>3666</v>
      </c>
      <c r="I552" s="37" t="s">
        <v>3667</v>
      </c>
      <c r="J552" s="31" t="s">
        <v>2328</v>
      </c>
      <c r="K552" s="31" t="s">
        <v>478</v>
      </c>
      <c r="L552" s="30" t="s">
        <v>2232</v>
      </c>
      <c r="M552" s="31" t="s">
        <v>2328</v>
      </c>
      <c r="N552" s="30"/>
    </row>
    <row r="553" spans="1:18" ht="45" x14ac:dyDescent="0.25">
      <c r="A553" s="31" t="s">
        <v>3279</v>
      </c>
      <c r="B553" s="32" t="s">
        <v>2148</v>
      </c>
      <c r="C553" s="31" t="b">
        <v>0</v>
      </c>
      <c r="D553" s="31">
        <v>4</v>
      </c>
      <c r="E553" s="35" t="s">
        <v>66</v>
      </c>
      <c r="F553" s="31" t="s">
        <v>131</v>
      </c>
      <c r="G553" s="31" t="s">
        <v>3665</v>
      </c>
      <c r="H553" s="31" t="s">
        <v>3666</v>
      </c>
      <c r="I553" s="37" t="s">
        <v>3667</v>
      </c>
      <c r="J553" s="31" t="s">
        <v>2328</v>
      </c>
      <c r="K553" s="31" t="s">
        <v>478</v>
      </c>
      <c r="L553" s="30" t="s">
        <v>2232</v>
      </c>
      <c r="M553" s="31" t="s">
        <v>2328</v>
      </c>
      <c r="N553" s="30"/>
    </row>
    <row r="554" spans="1:18" ht="45" x14ac:dyDescent="0.25">
      <c r="A554" s="31" t="s">
        <v>2328</v>
      </c>
      <c r="B554" s="32" t="s">
        <v>2151</v>
      </c>
      <c r="C554" s="31" t="b">
        <v>0</v>
      </c>
      <c r="D554" s="31">
        <v>4</v>
      </c>
      <c r="E554" s="35" t="s">
        <v>2141</v>
      </c>
      <c r="F554" s="31" t="s">
        <v>139</v>
      </c>
      <c r="G554" s="31" t="s">
        <v>3665</v>
      </c>
      <c r="H554" s="31" t="s">
        <v>3666</v>
      </c>
      <c r="I554" s="37" t="s">
        <v>3667</v>
      </c>
      <c r="J554" s="31" t="s">
        <v>2328</v>
      </c>
      <c r="K554" s="31" t="s">
        <v>479</v>
      </c>
      <c r="L554" s="30" t="s">
        <v>2232</v>
      </c>
      <c r="M554" s="31" t="s">
        <v>2328</v>
      </c>
      <c r="N554" s="30"/>
    </row>
    <row r="555" spans="1:18" ht="45" x14ac:dyDescent="0.25">
      <c r="A555" s="31" t="s">
        <v>3280</v>
      </c>
      <c r="B555" s="32" t="s">
        <v>2152</v>
      </c>
      <c r="C555" s="31" t="b">
        <v>0</v>
      </c>
      <c r="D555" s="31">
        <v>4</v>
      </c>
      <c r="E555" s="35" t="s">
        <v>64</v>
      </c>
      <c r="F555" s="31" t="s">
        <v>131</v>
      </c>
      <c r="G555" s="31" t="s">
        <v>3665</v>
      </c>
      <c r="H555" s="31" t="s">
        <v>3666</v>
      </c>
      <c r="I555" s="37" t="s">
        <v>3667</v>
      </c>
      <c r="J555" s="31" t="s">
        <v>2328</v>
      </c>
      <c r="K555" s="31" t="s">
        <v>479</v>
      </c>
      <c r="L555" s="30" t="s">
        <v>2232</v>
      </c>
      <c r="M555" s="31" t="s">
        <v>2328</v>
      </c>
      <c r="N555" s="30"/>
    </row>
    <row r="556" spans="1:18" ht="60" x14ac:dyDescent="0.25">
      <c r="A556" s="31" t="s">
        <v>3281</v>
      </c>
      <c r="B556" s="32" t="s">
        <v>2153</v>
      </c>
      <c r="C556" s="31" t="b">
        <v>0</v>
      </c>
      <c r="D556" s="31">
        <v>4</v>
      </c>
      <c r="E556" s="35" t="s">
        <v>2319</v>
      </c>
      <c r="F556" s="31" t="s">
        <v>131</v>
      </c>
      <c r="G556" s="31" t="s">
        <v>3665</v>
      </c>
      <c r="H556" s="31" t="s">
        <v>3666</v>
      </c>
      <c r="I556" s="37" t="s">
        <v>3667</v>
      </c>
      <c r="J556" s="31" t="s">
        <v>2328</v>
      </c>
      <c r="K556" s="31" t="s">
        <v>479</v>
      </c>
      <c r="L556" s="30" t="s">
        <v>2232</v>
      </c>
      <c r="M556" s="31" t="s">
        <v>2328</v>
      </c>
      <c r="N556" s="30"/>
    </row>
    <row r="557" spans="1:18" ht="60" x14ac:dyDescent="0.25">
      <c r="A557" s="31" t="s">
        <v>3282</v>
      </c>
      <c r="B557" s="32" t="s">
        <v>2154</v>
      </c>
      <c r="C557" s="31" t="b">
        <v>0</v>
      </c>
      <c r="D557" s="31">
        <v>4</v>
      </c>
      <c r="E557" s="35" t="s">
        <v>63</v>
      </c>
      <c r="F557" s="31" t="s">
        <v>131</v>
      </c>
      <c r="G557" s="31" t="s">
        <v>3665</v>
      </c>
      <c r="H557" s="31" t="s">
        <v>3666</v>
      </c>
      <c r="I557" s="37" t="s">
        <v>3667</v>
      </c>
      <c r="J557" s="31" t="s">
        <v>2328</v>
      </c>
      <c r="K557" s="31" t="s">
        <v>479</v>
      </c>
      <c r="L557" s="30" t="s">
        <v>2232</v>
      </c>
      <c r="M557" s="31" t="s">
        <v>2328</v>
      </c>
      <c r="N557" s="30"/>
    </row>
    <row r="558" spans="1:18" ht="75" x14ac:dyDescent="0.25">
      <c r="A558" s="31" t="s">
        <v>3283</v>
      </c>
      <c r="B558" s="32" t="s">
        <v>2155</v>
      </c>
      <c r="C558" s="31" t="b">
        <v>0</v>
      </c>
      <c r="D558" s="31">
        <v>4</v>
      </c>
      <c r="E558" s="35" t="s">
        <v>2320</v>
      </c>
      <c r="F558" s="31" t="s">
        <v>131</v>
      </c>
      <c r="G558" s="31" t="s">
        <v>3665</v>
      </c>
      <c r="H558" s="31" t="s">
        <v>3666</v>
      </c>
      <c r="I558" s="37" t="s">
        <v>3667</v>
      </c>
      <c r="J558" s="31" t="s">
        <v>2328</v>
      </c>
      <c r="K558" s="31" t="s">
        <v>479</v>
      </c>
      <c r="L558" s="30" t="s">
        <v>2232</v>
      </c>
      <c r="M558" s="31" t="s">
        <v>2328</v>
      </c>
      <c r="N558" s="30"/>
    </row>
    <row r="559" spans="1:18" ht="45" x14ac:dyDescent="0.25">
      <c r="A559" s="31" t="s">
        <v>3284</v>
      </c>
      <c r="B559" s="32" t="s">
        <v>2156</v>
      </c>
      <c r="C559" s="31" t="b">
        <v>0</v>
      </c>
      <c r="D559" s="31">
        <v>4</v>
      </c>
      <c r="E559" s="35" t="s">
        <v>2157</v>
      </c>
      <c r="F559" s="31" t="s">
        <v>131</v>
      </c>
      <c r="G559" s="31" t="s">
        <v>3665</v>
      </c>
      <c r="H559" s="31" t="s">
        <v>3666</v>
      </c>
      <c r="I559" s="37" t="s">
        <v>3667</v>
      </c>
      <c r="J559" s="31" t="s">
        <v>2328</v>
      </c>
      <c r="K559" s="31" t="s">
        <v>479</v>
      </c>
      <c r="L559" s="30" t="s">
        <v>2232</v>
      </c>
      <c r="M559" s="31" t="s">
        <v>2328</v>
      </c>
      <c r="N559" s="30"/>
    </row>
    <row r="560" spans="1:18" ht="45" x14ac:dyDescent="0.25">
      <c r="A560" s="31" t="s">
        <v>3285</v>
      </c>
      <c r="B560" s="32" t="s">
        <v>2158</v>
      </c>
      <c r="C560" s="31" t="b">
        <v>1</v>
      </c>
      <c r="D560" s="31">
        <v>2</v>
      </c>
      <c r="E560" s="34" t="s">
        <v>3558</v>
      </c>
      <c r="F560" s="31" t="s">
        <v>3443</v>
      </c>
      <c r="G560" s="31" t="s">
        <v>3665</v>
      </c>
      <c r="H560" s="31" t="s">
        <v>3666</v>
      </c>
      <c r="I560" s="37" t="s">
        <v>3667</v>
      </c>
      <c r="J560" s="31" t="s">
        <v>2328</v>
      </c>
      <c r="K560" s="31" t="s">
        <v>480</v>
      </c>
      <c r="L560" s="30" t="s">
        <v>2232</v>
      </c>
      <c r="M560" s="31" t="s">
        <v>2328</v>
      </c>
      <c r="N560" s="30"/>
    </row>
    <row r="561" spans="1:14" ht="60" x14ac:dyDescent="0.25">
      <c r="A561" s="31" t="s">
        <v>3286</v>
      </c>
      <c r="B561" s="32" t="s">
        <v>2159</v>
      </c>
      <c r="C561" s="31" t="b">
        <v>0</v>
      </c>
      <c r="D561" s="31">
        <v>4</v>
      </c>
      <c r="E561" s="35" t="s">
        <v>2160</v>
      </c>
      <c r="F561" s="31" t="s">
        <v>131</v>
      </c>
      <c r="G561" s="31" t="s">
        <v>3665</v>
      </c>
      <c r="H561" s="31" t="s">
        <v>3666</v>
      </c>
      <c r="I561" s="37" t="s">
        <v>3667</v>
      </c>
      <c r="J561" s="31" t="s">
        <v>2328</v>
      </c>
      <c r="K561" s="31" t="s">
        <v>480</v>
      </c>
      <c r="L561" s="30" t="s">
        <v>2232</v>
      </c>
      <c r="M561" s="31" t="s">
        <v>2328</v>
      </c>
      <c r="N561" s="30"/>
    </row>
    <row r="562" spans="1:14" ht="75" x14ac:dyDescent="0.25">
      <c r="A562" s="31" t="s">
        <v>3287</v>
      </c>
      <c r="B562" s="32" t="s">
        <v>2161</v>
      </c>
      <c r="C562" s="31" t="b">
        <v>0</v>
      </c>
      <c r="D562" s="31">
        <v>4</v>
      </c>
      <c r="E562" s="35" t="s">
        <v>2321</v>
      </c>
      <c r="F562" s="31" t="s">
        <v>131</v>
      </c>
      <c r="G562" s="31" t="s">
        <v>3665</v>
      </c>
      <c r="H562" s="31" t="s">
        <v>3666</v>
      </c>
      <c r="I562" s="37" t="s">
        <v>3667</v>
      </c>
      <c r="J562" s="31" t="s">
        <v>2328</v>
      </c>
      <c r="K562" s="31" t="s">
        <v>480</v>
      </c>
      <c r="L562" s="30" t="s">
        <v>2232</v>
      </c>
      <c r="M562" s="31" t="s">
        <v>2328</v>
      </c>
      <c r="N562" s="30"/>
    </row>
    <row r="563" spans="1:14" ht="60" x14ac:dyDescent="0.25">
      <c r="A563" s="31" t="s">
        <v>3288</v>
      </c>
      <c r="B563" s="32" t="s">
        <v>2162</v>
      </c>
      <c r="C563" s="31" t="b">
        <v>0</v>
      </c>
      <c r="D563" s="31">
        <v>4</v>
      </c>
      <c r="E563" s="35" t="s">
        <v>2322</v>
      </c>
      <c r="F563" s="31" t="s">
        <v>131</v>
      </c>
      <c r="G563" s="31" t="s">
        <v>3665</v>
      </c>
      <c r="H563" s="31" t="s">
        <v>3666</v>
      </c>
      <c r="I563" s="37" t="s">
        <v>3667</v>
      </c>
      <c r="J563" s="31" t="s">
        <v>2328</v>
      </c>
      <c r="K563" s="31" t="s">
        <v>480</v>
      </c>
      <c r="L563" s="30" t="s">
        <v>2232</v>
      </c>
      <c r="M563" s="31" t="s">
        <v>2328</v>
      </c>
      <c r="N563" s="30"/>
    </row>
    <row r="564" spans="1:14" ht="45" x14ac:dyDescent="0.25">
      <c r="A564" s="31" t="s">
        <v>3289</v>
      </c>
      <c r="B564" s="32" t="s">
        <v>2163</v>
      </c>
      <c r="C564" s="31" t="b">
        <v>0</v>
      </c>
      <c r="D564" s="31">
        <v>4</v>
      </c>
      <c r="E564" s="35" t="s">
        <v>2164</v>
      </c>
      <c r="F564" s="31" t="s">
        <v>131</v>
      </c>
      <c r="G564" s="31" t="s">
        <v>3665</v>
      </c>
      <c r="H564" s="31" t="s">
        <v>3666</v>
      </c>
      <c r="I564" s="37" t="s">
        <v>3667</v>
      </c>
      <c r="J564" s="31" t="s">
        <v>2328</v>
      </c>
      <c r="K564" s="31" t="s">
        <v>480</v>
      </c>
      <c r="L564" s="30" t="s">
        <v>2232</v>
      </c>
      <c r="M564" s="31" t="s">
        <v>2328</v>
      </c>
      <c r="N564" s="30"/>
    </row>
    <row r="565" spans="1:14" ht="45" x14ac:dyDescent="0.25">
      <c r="A565" s="31" t="s">
        <v>3290</v>
      </c>
      <c r="B565" s="32" t="s">
        <v>2165</v>
      </c>
      <c r="C565" s="31" t="b">
        <v>0</v>
      </c>
      <c r="D565" s="31">
        <v>4</v>
      </c>
      <c r="E565" s="35" t="s">
        <v>2166</v>
      </c>
      <c r="F565" s="31" t="s">
        <v>131</v>
      </c>
      <c r="G565" s="31" t="s">
        <v>3665</v>
      </c>
      <c r="H565" s="31" t="s">
        <v>3666</v>
      </c>
      <c r="I565" s="37" t="s">
        <v>3667</v>
      </c>
      <c r="J565" s="31" t="s">
        <v>2328</v>
      </c>
      <c r="K565" s="31" t="s">
        <v>480</v>
      </c>
      <c r="L565" s="30" t="s">
        <v>2232</v>
      </c>
      <c r="M565" s="31" t="s">
        <v>2328</v>
      </c>
      <c r="N565" s="30"/>
    </row>
    <row r="566" spans="1:14" ht="45" x14ac:dyDescent="0.25">
      <c r="A566" s="31" t="s">
        <v>2328</v>
      </c>
      <c r="B566" s="32" t="s">
        <v>2167</v>
      </c>
      <c r="C566" s="31" t="b">
        <v>1</v>
      </c>
      <c r="D566" s="31">
        <v>0</v>
      </c>
      <c r="E566" s="33" t="s">
        <v>2384</v>
      </c>
      <c r="F566" s="31" t="s">
        <v>3443</v>
      </c>
      <c r="G566" s="31" t="s">
        <v>3665</v>
      </c>
      <c r="H566" s="31" t="s">
        <v>3666</v>
      </c>
      <c r="I566" s="37" t="s">
        <v>3667</v>
      </c>
      <c r="J566" s="31" t="s">
        <v>2328</v>
      </c>
      <c r="K566" s="31" t="s">
        <v>484</v>
      </c>
      <c r="L566" s="30" t="s">
        <v>2232</v>
      </c>
      <c r="M566" s="31" t="s">
        <v>2328</v>
      </c>
      <c r="N566" s="30"/>
    </row>
    <row r="567" spans="1:14" ht="45" x14ac:dyDescent="0.25">
      <c r="A567" s="31" t="s">
        <v>3291</v>
      </c>
      <c r="B567" s="32" t="s">
        <v>2168</v>
      </c>
      <c r="C567" s="31" t="b">
        <v>0</v>
      </c>
      <c r="D567" s="31">
        <v>4</v>
      </c>
      <c r="E567" s="35" t="s">
        <v>2169</v>
      </c>
      <c r="F567" s="31" t="s">
        <v>131</v>
      </c>
      <c r="G567" s="31" t="s">
        <v>3665</v>
      </c>
      <c r="H567" s="31" t="s">
        <v>3666</v>
      </c>
      <c r="I567" s="37" t="s">
        <v>3667</v>
      </c>
      <c r="J567" s="31" t="s">
        <v>2328</v>
      </c>
      <c r="K567" s="31" t="s">
        <v>484</v>
      </c>
      <c r="L567" s="30" t="s">
        <v>2232</v>
      </c>
      <c r="M567" s="31" t="s">
        <v>2328</v>
      </c>
      <c r="N567" s="30"/>
    </row>
    <row r="568" spans="1:14" ht="45" x14ac:dyDescent="0.25">
      <c r="A568" s="31" t="s">
        <v>3292</v>
      </c>
      <c r="B568" s="32" t="s">
        <v>2170</v>
      </c>
      <c r="C568" s="31" t="b">
        <v>0</v>
      </c>
      <c r="D568" s="31">
        <v>4</v>
      </c>
      <c r="E568" s="35" t="s">
        <v>2172</v>
      </c>
      <c r="F568" s="31" t="s">
        <v>131</v>
      </c>
      <c r="G568" s="31" t="s">
        <v>3665</v>
      </c>
      <c r="H568" s="31" t="s">
        <v>3666</v>
      </c>
      <c r="I568" s="37" t="s">
        <v>3667</v>
      </c>
      <c r="J568" s="31" t="s">
        <v>2328</v>
      </c>
      <c r="K568" s="31" t="s">
        <v>484</v>
      </c>
      <c r="L568" s="30" t="s">
        <v>2232</v>
      </c>
      <c r="M568" s="31" t="s">
        <v>2328</v>
      </c>
      <c r="N568" s="30"/>
    </row>
    <row r="569" spans="1:14" ht="45" x14ac:dyDescent="0.25">
      <c r="A569" s="31" t="s">
        <v>2328</v>
      </c>
      <c r="B569" s="32" t="s">
        <v>2190</v>
      </c>
      <c r="C569" s="31" t="b">
        <v>1</v>
      </c>
      <c r="D569" s="31">
        <v>0</v>
      </c>
      <c r="E569" s="33" t="s">
        <v>2385</v>
      </c>
      <c r="F569" s="31" t="s">
        <v>3443</v>
      </c>
      <c r="G569" s="31" t="s">
        <v>3665</v>
      </c>
      <c r="H569" s="31" t="s">
        <v>3666</v>
      </c>
      <c r="I569" s="37" t="s">
        <v>3667</v>
      </c>
      <c r="J569" s="31" t="s">
        <v>2328</v>
      </c>
      <c r="K569" s="31" t="s">
        <v>488</v>
      </c>
      <c r="L569" s="30" t="s">
        <v>2232</v>
      </c>
      <c r="M569" s="31" t="s">
        <v>2328</v>
      </c>
      <c r="N569" s="30"/>
    </row>
    <row r="570" spans="1:14" ht="45" x14ac:dyDescent="0.25">
      <c r="A570" s="31" t="s">
        <v>3293</v>
      </c>
      <c r="B570" s="32" t="s">
        <v>2191</v>
      </c>
      <c r="C570" s="31" t="b">
        <v>1</v>
      </c>
      <c r="D570" s="31">
        <v>2</v>
      </c>
      <c r="E570" s="34" t="s">
        <v>3559</v>
      </c>
      <c r="F570" s="31" t="s">
        <v>3443</v>
      </c>
      <c r="G570" s="31" t="s">
        <v>3665</v>
      </c>
      <c r="H570" s="31" t="s">
        <v>3666</v>
      </c>
      <c r="I570" s="37" t="s">
        <v>3667</v>
      </c>
      <c r="J570" s="31" t="s">
        <v>2328</v>
      </c>
      <c r="K570" s="31" t="s">
        <v>491</v>
      </c>
      <c r="L570" s="30" t="s">
        <v>2232</v>
      </c>
      <c r="M570" s="31" t="s">
        <v>2328</v>
      </c>
      <c r="N570" s="30"/>
    </row>
    <row r="571" spans="1:14" ht="45" x14ac:dyDescent="0.25">
      <c r="A571" s="31" t="s">
        <v>3294</v>
      </c>
      <c r="B571" s="32" t="s">
        <v>2192</v>
      </c>
      <c r="C571" s="31" t="b">
        <v>0</v>
      </c>
      <c r="D571" s="31">
        <v>4</v>
      </c>
      <c r="E571" s="35" t="s">
        <v>40</v>
      </c>
      <c r="F571" s="31" t="s">
        <v>131</v>
      </c>
      <c r="G571" s="31" t="s">
        <v>3665</v>
      </c>
      <c r="H571" s="31" t="s">
        <v>3666</v>
      </c>
      <c r="I571" s="37" t="s">
        <v>3667</v>
      </c>
      <c r="J571" s="31" t="s">
        <v>2328</v>
      </c>
      <c r="K571" s="31" t="s">
        <v>491</v>
      </c>
      <c r="L571" s="30" t="s">
        <v>2232</v>
      </c>
      <c r="M571" s="31" t="s">
        <v>2328</v>
      </c>
      <c r="N571" s="30"/>
    </row>
    <row r="572" spans="1:14" ht="45" x14ac:dyDescent="0.25">
      <c r="A572" s="31" t="s">
        <v>3295</v>
      </c>
      <c r="B572" s="32" t="s">
        <v>2194</v>
      </c>
      <c r="C572" s="31" t="b">
        <v>0</v>
      </c>
      <c r="D572" s="31">
        <v>4</v>
      </c>
      <c r="E572" s="35" t="s">
        <v>39</v>
      </c>
      <c r="F572" s="31" t="s">
        <v>131</v>
      </c>
      <c r="G572" s="31" t="s">
        <v>3665</v>
      </c>
      <c r="H572" s="31" t="s">
        <v>3666</v>
      </c>
      <c r="I572" s="37" t="s">
        <v>3667</v>
      </c>
      <c r="J572" s="31" t="s">
        <v>2328</v>
      </c>
      <c r="K572" s="31" t="s">
        <v>491</v>
      </c>
      <c r="L572" s="30" t="s">
        <v>2232</v>
      </c>
      <c r="M572" s="31" t="s">
        <v>2328</v>
      </c>
      <c r="N572" s="30"/>
    </row>
    <row r="573" spans="1:14" ht="60" x14ac:dyDescent="0.25">
      <c r="A573" s="31" t="s">
        <v>3296</v>
      </c>
      <c r="B573" s="32" t="s">
        <v>2196</v>
      </c>
      <c r="C573" s="31" t="b">
        <v>0</v>
      </c>
      <c r="D573" s="31">
        <v>4</v>
      </c>
      <c r="E573" s="35" t="s">
        <v>38</v>
      </c>
      <c r="F573" s="31" t="s">
        <v>131</v>
      </c>
      <c r="G573" s="31" t="s">
        <v>3665</v>
      </c>
      <c r="H573" s="31" t="s">
        <v>3666</v>
      </c>
      <c r="I573" s="37" t="s">
        <v>3667</v>
      </c>
      <c r="J573" s="31" t="s">
        <v>2328</v>
      </c>
      <c r="K573" s="31" t="s">
        <v>491</v>
      </c>
      <c r="L573" s="30" t="s">
        <v>2232</v>
      </c>
      <c r="M573" s="31" t="s">
        <v>2328</v>
      </c>
      <c r="N573" s="30"/>
    </row>
    <row r="574" spans="1:14" ht="60" x14ac:dyDescent="0.25">
      <c r="A574" s="31" t="s">
        <v>3297</v>
      </c>
      <c r="B574" s="32" t="s">
        <v>2197</v>
      </c>
      <c r="C574" s="31" t="b">
        <v>0</v>
      </c>
      <c r="D574" s="31">
        <v>4</v>
      </c>
      <c r="E574" s="35" t="s">
        <v>37</v>
      </c>
      <c r="F574" s="31" t="s">
        <v>131</v>
      </c>
      <c r="G574" s="31" t="s">
        <v>3665</v>
      </c>
      <c r="H574" s="31" t="s">
        <v>3666</v>
      </c>
      <c r="I574" s="37" t="s">
        <v>3667</v>
      </c>
      <c r="J574" s="31" t="s">
        <v>2328</v>
      </c>
      <c r="K574" s="31" t="s">
        <v>491</v>
      </c>
      <c r="L574" s="30" t="s">
        <v>2232</v>
      </c>
      <c r="M574" s="31" t="s">
        <v>2328</v>
      </c>
      <c r="N574" s="30"/>
    </row>
    <row r="575" spans="1:14" ht="45" x14ac:dyDescent="0.25">
      <c r="A575" s="31" t="s">
        <v>3298</v>
      </c>
      <c r="B575" s="32" t="s">
        <v>2198</v>
      </c>
      <c r="C575" s="31" t="b">
        <v>0</v>
      </c>
      <c r="D575" s="31">
        <v>4</v>
      </c>
      <c r="E575" s="35" t="s">
        <v>2199</v>
      </c>
      <c r="F575" s="31" t="s">
        <v>131</v>
      </c>
      <c r="G575" s="31" t="s">
        <v>3665</v>
      </c>
      <c r="H575" s="31" t="s">
        <v>3666</v>
      </c>
      <c r="I575" s="37" t="s">
        <v>3667</v>
      </c>
      <c r="J575" s="31" t="s">
        <v>2328</v>
      </c>
      <c r="K575" s="31" t="s">
        <v>491</v>
      </c>
      <c r="L575" s="30" t="s">
        <v>2232</v>
      </c>
      <c r="M575" s="31" t="s">
        <v>2328</v>
      </c>
      <c r="N575" s="30"/>
    </row>
    <row r="576" spans="1:14" ht="45" x14ac:dyDescent="0.25">
      <c r="A576" s="31" t="s">
        <v>3299</v>
      </c>
      <c r="B576" s="32" t="s">
        <v>2200</v>
      </c>
      <c r="C576" s="31" t="b">
        <v>0</v>
      </c>
      <c r="D576" s="31">
        <v>4</v>
      </c>
      <c r="E576" s="35" t="s">
        <v>36</v>
      </c>
      <c r="F576" s="31" t="s">
        <v>131</v>
      </c>
      <c r="G576" s="31" t="s">
        <v>3665</v>
      </c>
      <c r="H576" s="31" t="s">
        <v>3666</v>
      </c>
      <c r="I576" s="37" t="s">
        <v>3667</v>
      </c>
      <c r="J576" s="31" t="s">
        <v>2328</v>
      </c>
      <c r="K576" s="31" t="s">
        <v>491</v>
      </c>
      <c r="L576" s="30" t="s">
        <v>2232</v>
      </c>
      <c r="M576" s="31" t="s">
        <v>2328</v>
      </c>
      <c r="N576" s="30"/>
    </row>
    <row r="577" spans="1:14" ht="45" x14ac:dyDescent="0.25">
      <c r="A577" s="31" t="s">
        <v>3300</v>
      </c>
      <c r="B577" s="32" t="s">
        <v>2201</v>
      </c>
      <c r="C577" s="31" t="b">
        <v>1</v>
      </c>
      <c r="D577" s="31">
        <v>2</v>
      </c>
      <c r="E577" s="34" t="s">
        <v>3383</v>
      </c>
      <c r="F577" s="31" t="s">
        <v>3443</v>
      </c>
      <c r="G577" s="31" t="s">
        <v>3665</v>
      </c>
      <c r="H577" s="31" t="s">
        <v>3666</v>
      </c>
      <c r="I577" s="37" t="s">
        <v>3667</v>
      </c>
      <c r="J577" s="31" t="s">
        <v>2328</v>
      </c>
      <c r="K577" s="31" t="s">
        <v>493</v>
      </c>
      <c r="L577" s="30" t="s">
        <v>2232</v>
      </c>
      <c r="M577" s="31" t="s">
        <v>2328</v>
      </c>
      <c r="N577" s="30"/>
    </row>
    <row r="578" spans="1:14" ht="45" x14ac:dyDescent="0.25">
      <c r="A578" s="31" t="s">
        <v>3301</v>
      </c>
      <c r="B578" s="32" t="s">
        <v>2203</v>
      </c>
      <c r="C578" s="31" t="b">
        <v>0</v>
      </c>
      <c r="D578" s="31">
        <v>4</v>
      </c>
      <c r="E578" s="35" t="s">
        <v>2205</v>
      </c>
      <c r="F578" s="31" t="s">
        <v>131</v>
      </c>
      <c r="G578" s="31" t="s">
        <v>3665</v>
      </c>
      <c r="H578" s="31" t="s">
        <v>3666</v>
      </c>
      <c r="I578" s="37" t="s">
        <v>3667</v>
      </c>
      <c r="J578" s="31" t="s">
        <v>2328</v>
      </c>
      <c r="K578" s="31" t="s">
        <v>493</v>
      </c>
      <c r="L578" s="30" t="s">
        <v>2232</v>
      </c>
      <c r="M578" s="31" t="s">
        <v>2328</v>
      </c>
      <c r="N578" s="30"/>
    </row>
    <row r="579" spans="1:14" ht="90" x14ac:dyDescent="0.25">
      <c r="A579" s="31" t="s">
        <v>3302</v>
      </c>
      <c r="B579" s="32" t="s">
        <v>2206</v>
      </c>
      <c r="C579" s="31" t="b">
        <v>0</v>
      </c>
      <c r="D579" s="31">
        <v>4</v>
      </c>
      <c r="E579" s="35" t="s">
        <v>2326</v>
      </c>
      <c r="F579" s="31" t="s">
        <v>131</v>
      </c>
      <c r="G579" s="31" t="s">
        <v>3665</v>
      </c>
      <c r="H579" s="31" t="s">
        <v>3666</v>
      </c>
      <c r="I579" s="37" t="s">
        <v>3667</v>
      </c>
      <c r="J579" s="31" t="s">
        <v>2328</v>
      </c>
      <c r="K579" s="31" t="s">
        <v>493</v>
      </c>
      <c r="L579" s="30" t="s">
        <v>2232</v>
      </c>
      <c r="M579" s="31" t="s">
        <v>2328</v>
      </c>
      <c r="N579" s="30"/>
    </row>
    <row r="580" spans="1:14" ht="45" x14ac:dyDescent="0.25">
      <c r="A580" s="31" t="s">
        <v>3303</v>
      </c>
      <c r="B580" s="32" t="s">
        <v>2208</v>
      </c>
      <c r="C580" s="31" t="b">
        <v>0</v>
      </c>
      <c r="D580" s="31">
        <v>4</v>
      </c>
      <c r="E580" s="35" t="s">
        <v>2210</v>
      </c>
      <c r="F580" s="31" t="s">
        <v>131</v>
      </c>
      <c r="G580" s="31" t="s">
        <v>3665</v>
      </c>
      <c r="H580" s="31" t="s">
        <v>3666</v>
      </c>
      <c r="I580" s="37" t="s">
        <v>3667</v>
      </c>
      <c r="J580" s="31" t="s">
        <v>2328</v>
      </c>
      <c r="K580" s="31" t="s">
        <v>493</v>
      </c>
      <c r="L580" s="30" t="s">
        <v>2232</v>
      </c>
      <c r="M580" s="31" t="s">
        <v>2328</v>
      </c>
      <c r="N580" s="30"/>
    </row>
    <row r="581" spans="1:14" ht="60" x14ac:dyDescent="0.25">
      <c r="A581" s="31" t="s">
        <v>2923</v>
      </c>
      <c r="B581" s="32" t="s">
        <v>1275</v>
      </c>
      <c r="C581" s="31" t="b">
        <v>0</v>
      </c>
      <c r="D581" s="31">
        <v>4</v>
      </c>
      <c r="E581" s="35" t="s">
        <v>57</v>
      </c>
      <c r="F581" s="31" t="s">
        <v>131</v>
      </c>
      <c r="G581" s="31" t="s">
        <v>3665</v>
      </c>
      <c r="H581" s="31" t="s">
        <v>3666</v>
      </c>
      <c r="I581" s="37" t="s">
        <v>3667</v>
      </c>
      <c r="J581" s="31" t="s">
        <v>2328</v>
      </c>
      <c r="K581" s="31" t="s">
        <v>317</v>
      </c>
      <c r="L581" s="30" t="s">
        <v>2232</v>
      </c>
      <c r="M581" s="31" t="s">
        <v>2328</v>
      </c>
      <c r="N581" s="30"/>
    </row>
    <row r="582" spans="1:14" ht="45" x14ac:dyDescent="0.25">
      <c r="A582" s="31" t="s">
        <v>2924</v>
      </c>
      <c r="B582" s="32" t="s">
        <v>1276</v>
      </c>
      <c r="C582" s="31" t="b">
        <v>0</v>
      </c>
      <c r="D582" s="31">
        <v>4</v>
      </c>
      <c r="E582" s="35" t="s">
        <v>56</v>
      </c>
      <c r="F582" s="31" t="s">
        <v>131</v>
      </c>
      <c r="G582" s="31" t="s">
        <v>3665</v>
      </c>
      <c r="H582" s="31" t="s">
        <v>3666</v>
      </c>
      <c r="I582" s="37" t="s">
        <v>3667</v>
      </c>
      <c r="J582" s="31" t="s">
        <v>2328</v>
      </c>
      <c r="K582" s="31" t="s">
        <v>317</v>
      </c>
      <c r="L582" s="30" t="s">
        <v>2232</v>
      </c>
      <c r="M582" s="31" t="s">
        <v>2328</v>
      </c>
      <c r="N582" s="30"/>
    </row>
    <row r="583" spans="1:14" ht="45" x14ac:dyDescent="0.25">
      <c r="A583" s="31" t="s">
        <v>2737</v>
      </c>
      <c r="B583" s="32" t="s">
        <v>735</v>
      </c>
      <c r="C583" s="31" t="b">
        <v>1</v>
      </c>
      <c r="D583" s="31">
        <v>4</v>
      </c>
      <c r="E583" s="35" t="s">
        <v>2410</v>
      </c>
      <c r="F583" s="31" t="s">
        <v>3443</v>
      </c>
      <c r="G583" s="31" t="s">
        <v>3665</v>
      </c>
      <c r="H583" s="31" t="s">
        <v>3666</v>
      </c>
      <c r="I583" s="37" t="s">
        <v>3667</v>
      </c>
      <c r="J583" s="31" t="s">
        <v>2328</v>
      </c>
      <c r="K583" s="31" t="s">
        <v>260</v>
      </c>
      <c r="L583" s="30" t="s">
        <v>2232</v>
      </c>
      <c r="M583" s="31" t="s">
        <v>2328</v>
      </c>
      <c r="N583" s="30"/>
    </row>
    <row r="584" spans="1:14" ht="45" x14ac:dyDescent="0.25">
      <c r="A584" s="31" t="s">
        <v>2738</v>
      </c>
      <c r="B584" s="32" t="s">
        <v>740</v>
      </c>
      <c r="C584" s="31" t="b">
        <v>0</v>
      </c>
      <c r="D584" s="31">
        <v>6</v>
      </c>
      <c r="E584" s="38" t="s">
        <v>742</v>
      </c>
      <c r="F584" s="31" t="s">
        <v>131</v>
      </c>
      <c r="G584" s="31" t="s">
        <v>3665</v>
      </c>
      <c r="H584" s="31" t="s">
        <v>3666</v>
      </c>
      <c r="I584" s="37" t="s">
        <v>3667</v>
      </c>
      <c r="J584" s="31" t="s">
        <v>2328</v>
      </c>
      <c r="K584" s="31" t="s">
        <v>260</v>
      </c>
      <c r="L584" s="30" t="s">
        <v>2232</v>
      </c>
      <c r="M584" s="31" t="s">
        <v>2328</v>
      </c>
      <c r="N584" s="30"/>
    </row>
    <row r="585" spans="1:14" ht="45" x14ac:dyDescent="0.25">
      <c r="A585" s="31" t="s">
        <v>2739</v>
      </c>
      <c r="B585" s="32" t="s">
        <v>743</v>
      </c>
      <c r="C585" s="31" t="b">
        <v>0</v>
      </c>
      <c r="D585" s="31">
        <v>6</v>
      </c>
      <c r="E585" s="38" t="s">
        <v>745</v>
      </c>
      <c r="F585" s="31" t="s">
        <v>131</v>
      </c>
      <c r="G585" s="31" t="s">
        <v>3665</v>
      </c>
      <c r="H585" s="31" t="s">
        <v>3666</v>
      </c>
      <c r="I585" s="37" t="s">
        <v>3667</v>
      </c>
      <c r="J585" s="31" t="s">
        <v>2328</v>
      </c>
      <c r="K585" s="31" t="s">
        <v>260</v>
      </c>
      <c r="L585" s="30" t="s">
        <v>2232</v>
      </c>
      <c r="M585" s="31" t="s">
        <v>2328</v>
      </c>
      <c r="N585" s="30"/>
    </row>
    <row r="586" spans="1:14" ht="45" x14ac:dyDescent="0.25">
      <c r="A586" s="31" t="s">
        <v>2740</v>
      </c>
      <c r="B586" s="32" t="s">
        <v>746</v>
      </c>
      <c r="C586" s="31" t="b">
        <v>0</v>
      </c>
      <c r="D586" s="31">
        <v>6</v>
      </c>
      <c r="E586" s="38" t="s">
        <v>748</v>
      </c>
      <c r="F586" s="31" t="s">
        <v>131</v>
      </c>
      <c r="G586" s="31" t="s">
        <v>3665</v>
      </c>
      <c r="H586" s="31" t="s">
        <v>3666</v>
      </c>
      <c r="I586" s="37" t="s">
        <v>3667</v>
      </c>
      <c r="J586" s="31" t="s">
        <v>2328</v>
      </c>
      <c r="K586" s="31" t="s">
        <v>260</v>
      </c>
      <c r="L586" s="30" t="s">
        <v>2232</v>
      </c>
      <c r="M586" s="31" t="s">
        <v>2328</v>
      </c>
      <c r="N586" s="30"/>
    </row>
    <row r="587" spans="1:14" ht="45" x14ac:dyDescent="0.25">
      <c r="A587" s="31" t="s">
        <v>2741</v>
      </c>
      <c r="B587" s="32" t="s">
        <v>749</v>
      </c>
      <c r="C587" s="31" t="b">
        <v>0</v>
      </c>
      <c r="D587" s="31">
        <v>6</v>
      </c>
      <c r="E587" s="38" t="s">
        <v>751</v>
      </c>
      <c r="F587" s="31" t="s">
        <v>131</v>
      </c>
      <c r="G587" s="31" t="s">
        <v>3665</v>
      </c>
      <c r="H587" s="31" t="s">
        <v>3666</v>
      </c>
      <c r="I587" s="37" t="s">
        <v>3667</v>
      </c>
      <c r="J587" s="31" t="s">
        <v>2328</v>
      </c>
      <c r="K587" s="31" t="s">
        <v>260</v>
      </c>
      <c r="L587" s="30" t="s">
        <v>2232</v>
      </c>
      <c r="M587" s="31" t="s">
        <v>2328</v>
      </c>
      <c r="N587" s="30"/>
    </row>
    <row r="588" spans="1:14" ht="45" x14ac:dyDescent="0.25">
      <c r="A588" s="31" t="s">
        <v>2742</v>
      </c>
      <c r="B588" s="32" t="s">
        <v>752</v>
      </c>
      <c r="C588" s="31" t="b">
        <v>0</v>
      </c>
      <c r="D588" s="31">
        <v>6</v>
      </c>
      <c r="E588" s="38" t="s">
        <v>754</v>
      </c>
      <c r="F588" s="31" t="s">
        <v>131</v>
      </c>
      <c r="G588" s="31" t="s">
        <v>3665</v>
      </c>
      <c r="H588" s="31" t="s">
        <v>3666</v>
      </c>
      <c r="I588" s="37" t="s">
        <v>3667</v>
      </c>
      <c r="J588" s="31" t="s">
        <v>2328</v>
      </c>
      <c r="K588" s="31" t="s">
        <v>260</v>
      </c>
      <c r="L588" s="30" t="s">
        <v>2232</v>
      </c>
      <c r="M588" s="31" t="s">
        <v>2328</v>
      </c>
      <c r="N588" s="30"/>
    </row>
    <row r="589" spans="1:14" ht="45" x14ac:dyDescent="0.25">
      <c r="A589" s="31" t="s">
        <v>2743</v>
      </c>
      <c r="B589" s="32" t="s">
        <v>755</v>
      </c>
      <c r="C589" s="31" t="b">
        <v>0</v>
      </c>
      <c r="D589" s="31">
        <v>6</v>
      </c>
      <c r="E589" s="38" t="s">
        <v>757</v>
      </c>
      <c r="F589" s="31" t="s">
        <v>131</v>
      </c>
      <c r="G589" s="31" t="s">
        <v>3665</v>
      </c>
      <c r="H589" s="31" t="s">
        <v>3666</v>
      </c>
      <c r="I589" s="37" t="s">
        <v>3667</v>
      </c>
      <c r="J589" s="31" t="s">
        <v>2328</v>
      </c>
      <c r="K589" s="31" t="s">
        <v>260</v>
      </c>
      <c r="L589" s="30" t="s">
        <v>2232</v>
      </c>
      <c r="M589" s="31" t="s">
        <v>2328</v>
      </c>
      <c r="N589" s="30"/>
    </row>
    <row r="590" spans="1:14" ht="45" x14ac:dyDescent="0.25">
      <c r="A590" s="31" t="s">
        <v>2744</v>
      </c>
      <c r="B590" s="32" t="s">
        <v>758</v>
      </c>
      <c r="C590" s="31" t="b">
        <v>0</v>
      </c>
      <c r="D590" s="31">
        <v>6</v>
      </c>
      <c r="E590" s="38" t="s">
        <v>760</v>
      </c>
      <c r="F590" s="31" t="s">
        <v>131</v>
      </c>
      <c r="G590" s="31" t="s">
        <v>3665</v>
      </c>
      <c r="H590" s="31" t="s">
        <v>3666</v>
      </c>
      <c r="I590" s="37" t="s">
        <v>3667</v>
      </c>
      <c r="J590" s="31" t="s">
        <v>2328</v>
      </c>
      <c r="K590" s="31" t="s">
        <v>260</v>
      </c>
      <c r="L590" s="30" t="s">
        <v>2232</v>
      </c>
      <c r="M590" s="31" t="s">
        <v>2328</v>
      </c>
      <c r="N590" s="30"/>
    </row>
    <row r="591" spans="1:14" ht="45" x14ac:dyDescent="0.25">
      <c r="A591" s="31" t="s">
        <v>2745</v>
      </c>
      <c r="B591" s="32" t="s">
        <v>761</v>
      </c>
      <c r="C591" s="31" t="b">
        <v>0</v>
      </c>
      <c r="D591" s="31">
        <v>6</v>
      </c>
      <c r="E591" s="38" t="s">
        <v>763</v>
      </c>
      <c r="F591" s="31" t="s">
        <v>131</v>
      </c>
      <c r="G591" s="31" t="s">
        <v>3665</v>
      </c>
      <c r="H591" s="31" t="s">
        <v>3666</v>
      </c>
      <c r="I591" s="37" t="s">
        <v>3667</v>
      </c>
      <c r="J591" s="31" t="s">
        <v>2328</v>
      </c>
      <c r="K591" s="31" t="s">
        <v>260</v>
      </c>
      <c r="L591" s="30" t="s">
        <v>2232</v>
      </c>
      <c r="M591" s="31" t="s">
        <v>2328</v>
      </c>
      <c r="N591" s="30"/>
    </row>
    <row r="592" spans="1:14" ht="45" x14ac:dyDescent="0.25">
      <c r="A592" s="31" t="s">
        <v>2746</v>
      </c>
      <c r="B592" s="32" t="s">
        <v>764</v>
      </c>
      <c r="C592" s="31" t="b">
        <v>1</v>
      </c>
      <c r="D592" s="31">
        <v>4</v>
      </c>
      <c r="E592" s="35" t="s">
        <v>2411</v>
      </c>
      <c r="F592" s="31" t="s">
        <v>3443</v>
      </c>
      <c r="G592" s="31" t="s">
        <v>3665</v>
      </c>
      <c r="H592" s="31" t="s">
        <v>3666</v>
      </c>
      <c r="I592" s="37" t="s">
        <v>3667</v>
      </c>
      <c r="J592" s="31" t="s">
        <v>2328</v>
      </c>
      <c r="K592" s="31" t="s">
        <v>262</v>
      </c>
      <c r="L592" s="30" t="s">
        <v>2232</v>
      </c>
      <c r="M592" s="31" t="s">
        <v>2328</v>
      </c>
      <c r="N592" s="30"/>
    </row>
    <row r="593" spans="1:14" ht="45" x14ac:dyDescent="0.25">
      <c r="A593" s="31" t="s">
        <v>2747</v>
      </c>
      <c r="B593" s="32" t="s">
        <v>766</v>
      </c>
      <c r="C593" s="31" t="b">
        <v>0</v>
      </c>
      <c r="D593" s="31">
        <v>6</v>
      </c>
      <c r="E593" s="38" t="s">
        <v>768</v>
      </c>
      <c r="F593" s="31" t="s">
        <v>131</v>
      </c>
      <c r="G593" s="31" t="s">
        <v>3665</v>
      </c>
      <c r="H593" s="31" t="s">
        <v>3666</v>
      </c>
      <c r="I593" s="37" t="s">
        <v>3667</v>
      </c>
      <c r="J593" s="31" t="s">
        <v>2328</v>
      </c>
      <c r="K593" s="31" t="s">
        <v>265</v>
      </c>
      <c r="L593" s="30" t="s">
        <v>2232</v>
      </c>
      <c r="M593" s="31" t="s">
        <v>2328</v>
      </c>
      <c r="N593" s="30"/>
    </row>
    <row r="594" spans="1:14" ht="45" x14ac:dyDescent="0.25">
      <c r="A594" s="31" t="s">
        <v>2748</v>
      </c>
      <c r="B594" s="32" t="s">
        <v>769</v>
      </c>
      <c r="C594" s="31" t="b">
        <v>0</v>
      </c>
      <c r="D594" s="31">
        <v>6</v>
      </c>
      <c r="E594" s="38" t="s">
        <v>771</v>
      </c>
      <c r="F594" s="31" t="s">
        <v>131</v>
      </c>
      <c r="G594" s="31" t="s">
        <v>3665</v>
      </c>
      <c r="H594" s="31" t="s">
        <v>3666</v>
      </c>
      <c r="I594" s="37" t="s">
        <v>3667</v>
      </c>
      <c r="J594" s="31" t="s">
        <v>2328</v>
      </c>
      <c r="K594" s="31" t="s">
        <v>265</v>
      </c>
      <c r="L594" s="30" t="s">
        <v>2232</v>
      </c>
      <c r="M594" s="31" t="s">
        <v>2328</v>
      </c>
      <c r="N594" s="30"/>
    </row>
    <row r="595" spans="1:14" ht="45" x14ac:dyDescent="0.25">
      <c r="A595" s="31" t="s">
        <v>2749</v>
      </c>
      <c r="B595" s="32" t="s">
        <v>772</v>
      </c>
      <c r="C595" s="31" t="b">
        <v>0</v>
      </c>
      <c r="D595" s="31">
        <v>6</v>
      </c>
      <c r="E595" s="38" t="s">
        <v>26</v>
      </c>
      <c r="F595" s="31" t="s">
        <v>131</v>
      </c>
      <c r="G595" s="31" t="s">
        <v>3665</v>
      </c>
      <c r="H595" s="31" t="s">
        <v>3666</v>
      </c>
      <c r="I595" s="37" t="s">
        <v>3667</v>
      </c>
      <c r="J595" s="31" t="s">
        <v>2328</v>
      </c>
      <c r="K595" s="31" t="s">
        <v>265</v>
      </c>
      <c r="L595" s="30" t="s">
        <v>2232</v>
      </c>
      <c r="M595" s="31" t="s">
        <v>2328</v>
      </c>
      <c r="N595" s="30"/>
    </row>
    <row r="596" spans="1:14" ht="45" x14ac:dyDescent="0.25">
      <c r="A596" s="31" t="s">
        <v>2750</v>
      </c>
      <c r="B596" s="32" t="s">
        <v>774</v>
      </c>
      <c r="C596" s="31" t="b">
        <v>0</v>
      </c>
      <c r="D596" s="31">
        <v>6</v>
      </c>
      <c r="E596" s="38" t="s">
        <v>776</v>
      </c>
      <c r="F596" s="31" t="s">
        <v>131</v>
      </c>
      <c r="G596" s="31" t="s">
        <v>3665</v>
      </c>
      <c r="H596" s="31" t="s">
        <v>3666</v>
      </c>
      <c r="I596" s="37" t="s">
        <v>3667</v>
      </c>
      <c r="J596" s="31" t="s">
        <v>2328</v>
      </c>
      <c r="K596" s="31" t="s">
        <v>265</v>
      </c>
      <c r="L596" s="30" t="s">
        <v>2232</v>
      </c>
      <c r="M596" s="31" t="s">
        <v>2328</v>
      </c>
      <c r="N596" s="30"/>
    </row>
    <row r="597" spans="1:14" ht="45" x14ac:dyDescent="0.25">
      <c r="A597" s="31" t="s">
        <v>2751</v>
      </c>
      <c r="B597" s="32" t="s">
        <v>777</v>
      </c>
      <c r="C597" s="31" t="b">
        <v>0</v>
      </c>
      <c r="D597" s="31">
        <v>6</v>
      </c>
      <c r="E597" s="38" t="s">
        <v>25</v>
      </c>
      <c r="F597" s="31" t="s">
        <v>131</v>
      </c>
      <c r="G597" s="31" t="s">
        <v>3665</v>
      </c>
      <c r="H597" s="31" t="s">
        <v>3666</v>
      </c>
      <c r="I597" s="37" t="s">
        <v>3667</v>
      </c>
      <c r="J597" s="31" t="s">
        <v>2328</v>
      </c>
      <c r="K597" s="31" t="s">
        <v>265</v>
      </c>
      <c r="L597" s="30" t="s">
        <v>2232</v>
      </c>
      <c r="M597" s="31" t="s">
        <v>2328</v>
      </c>
      <c r="N597" s="30"/>
    </row>
    <row r="598" spans="1:14" ht="45" x14ac:dyDescent="0.25">
      <c r="A598" s="31" t="s">
        <v>2752</v>
      </c>
      <c r="B598" s="32" t="s">
        <v>779</v>
      </c>
      <c r="C598" s="31" t="b">
        <v>0</v>
      </c>
      <c r="D598" s="31">
        <v>6</v>
      </c>
      <c r="E598" s="38" t="s">
        <v>781</v>
      </c>
      <c r="F598" s="31" t="s">
        <v>131</v>
      </c>
      <c r="G598" s="31" t="s">
        <v>3665</v>
      </c>
      <c r="H598" s="31" t="s">
        <v>3666</v>
      </c>
      <c r="I598" s="37" t="s">
        <v>3667</v>
      </c>
      <c r="J598" s="31" t="s">
        <v>2328</v>
      </c>
      <c r="K598" s="31" t="s">
        <v>265</v>
      </c>
      <c r="L598" s="30" t="s">
        <v>2232</v>
      </c>
      <c r="M598" s="31" t="s">
        <v>2328</v>
      </c>
      <c r="N598" s="30"/>
    </row>
    <row r="599" spans="1:14" ht="45" x14ac:dyDescent="0.25">
      <c r="A599" s="31" t="s">
        <v>2753</v>
      </c>
      <c r="B599" s="32" t="s">
        <v>782</v>
      </c>
      <c r="C599" s="31" t="b">
        <v>0</v>
      </c>
      <c r="D599" s="31">
        <v>6</v>
      </c>
      <c r="E599" s="38" t="s">
        <v>24</v>
      </c>
      <c r="F599" s="31" t="s">
        <v>131</v>
      </c>
      <c r="G599" s="31" t="s">
        <v>3665</v>
      </c>
      <c r="H599" s="31" t="s">
        <v>3666</v>
      </c>
      <c r="I599" s="37" t="s">
        <v>3667</v>
      </c>
      <c r="J599" s="31" t="s">
        <v>3586</v>
      </c>
      <c r="K599" s="31" t="s">
        <v>265</v>
      </c>
      <c r="L599" s="30" t="s">
        <v>2232</v>
      </c>
      <c r="M599" s="31" t="s">
        <v>2328</v>
      </c>
      <c r="N599" s="30"/>
    </row>
    <row r="600" spans="1:14" ht="45" x14ac:dyDescent="0.25">
      <c r="A600" s="31" t="s">
        <v>2754</v>
      </c>
      <c r="B600" s="32" t="s">
        <v>784</v>
      </c>
      <c r="C600" s="31" t="b">
        <v>0</v>
      </c>
      <c r="D600" s="31">
        <v>6</v>
      </c>
      <c r="E600" s="38" t="s">
        <v>786</v>
      </c>
      <c r="F600" s="31" t="s">
        <v>131</v>
      </c>
      <c r="G600" s="31" t="s">
        <v>3665</v>
      </c>
      <c r="H600" s="31" t="s">
        <v>3666</v>
      </c>
      <c r="I600" s="37" t="s">
        <v>3667</v>
      </c>
      <c r="J600" s="31" t="s">
        <v>2328</v>
      </c>
      <c r="K600" s="31" t="s">
        <v>265</v>
      </c>
      <c r="L600" s="30" t="s">
        <v>2232</v>
      </c>
      <c r="M600" s="31" t="s">
        <v>2328</v>
      </c>
      <c r="N600" s="30"/>
    </row>
    <row r="601" spans="1:14" ht="45" x14ac:dyDescent="0.25">
      <c r="A601" s="31" t="s">
        <v>2755</v>
      </c>
      <c r="B601" s="32" t="s">
        <v>787</v>
      </c>
      <c r="C601" s="31" t="b">
        <v>0</v>
      </c>
      <c r="D601" s="31">
        <v>6</v>
      </c>
      <c r="E601" s="38" t="s">
        <v>23</v>
      </c>
      <c r="F601" s="31" t="s">
        <v>131</v>
      </c>
      <c r="G601" s="31" t="s">
        <v>3665</v>
      </c>
      <c r="H601" s="31" t="s">
        <v>3666</v>
      </c>
      <c r="I601" s="37" t="s">
        <v>3667</v>
      </c>
      <c r="J601" s="31" t="s">
        <v>2328</v>
      </c>
      <c r="K601" s="31" t="s">
        <v>265</v>
      </c>
      <c r="L601" s="30" t="s">
        <v>2232</v>
      </c>
      <c r="M601" s="31" t="s">
        <v>2328</v>
      </c>
      <c r="N601" s="30"/>
    </row>
    <row r="602" spans="1:14" ht="45" x14ac:dyDescent="0.25">
      <c r="A602" s="31" t="s">
        <v>2756</v>
      </c>
      <c r="B602" s="32" t="s">
        <v>789</v>
      </c>
      <c r="C602" s="31" t="b">
        <v>0</v>
      </c>
      <c r="D602" s="31">
        <v>6</v>
      </c>
      <c r="E602" s="38" t="s">
        <v>22</v>
      </c>
      <c r="F602" s="31" t="s">
        <v>131</v>
      </c>
      <c r="G602" s="31" t="s">
        <v>3665</v>
      </c>
      <c r="H602" s="31" t="s">
        <v>3666</v>
      </c>
      <c r="I602" s="37" t="s">
        <v>3667</v>
      </c>
      <c r="J602" s="31" t="s">
        <v>2328</v>
      </c>
      <c r="K602" s="31" t="s">
        <v>265</v>
      </c>
      <c r="L602" s="30" t="s">
        <v>2232</v>
      </c>
      <c r="M602" s="31" t="s">
        <v>2328</v>
      </c>
      <c r="N602" s="30"/>
    </row>
    <row r="603" spans="1:14" ht="45" x14ac:dyDescent="0.25">
      <c r="A603" s="31" t="s">
        <v>2757</v>
      </c>
      <c r="B603" s="32" t="s">
        <v>791</v>
      </c>
      <c r="C603" s="31" t="b">
        <v>0</v>
      </c>
      <c r="D603" s="31">
        <v>6</v>
      </c>
      <c r="E603" s="38" t="s">
        <v>21</v>
      </c>
      <c r="F603" s="31" t="s">
        <v>131</v>
      </c>
      <c r="G603" s="31" t="s">
        <v>3665</v>
      </c>
      <c r="H603" s="31" t="s">
        <v>3666</v>
      </c>
      <c r="I603" s="37" t="s">
        <v>3667</v>
      </c>
      <c r="J603" s="31" t="s">
        <v>2328</v>
      </c>
      <c r="K603" s="31" t="s">
        <v>265</v>
      </c>
      <c r="L603" s="30" t="s">
        <v>2232</v>
      </c>
      <c r="M603" s="31" t="s">
        <v>2328</v>
      </c>
      <c r="N603" s="30"/>
    </row>
    <row r="604" spans="1:14" ht="45" x14ac:dyDescent="0.25">
      <c r="A604" s="31" t="s">
        <v>2758</v>
      </c>
      <c r="B604" s="32" t="s">
        <v>793</v>
      </c>
      <c r="C604" s="31" t="b">
        <v>0</v>
      </c>
      <c r="D604" s="31">
        <v>6</v>
      </c>
      <c r="E604" s="38" t="s">
        <v>20</v>
      </c>
      <c r="F604" s="31" t="s">
        <v>131</v>
      </c>
      <c r="G604" s="31" t="s">
        <v>3665</v>
      </c>
      <c r="H604" s="31" t="s">
        <v>3666</v>
      </c>
      <c r="I604" s="37" t="s">
        <v>3667</v>
      </c>
      <c r="J604" s="31" t="s">
        <v>2328</v>
      </c>
      <c r="K604" s="31" t="s">
        <v>265</v>
      </c>
      <c r="L604" s="30" t="s">
        <v>2232</v>
      </c>
      <c r="M604" s="31" t="s">
        <v>2328</v>
      </c>
      <c r="N604" s="30"/>
    </row>
    <row r="605" spans="1:14" ht="45" x14ac:dyDescent="0.25">
      <c r="A605" s="31" t="s">
        <v>2759</v>
      </c>
      <c r="B605" s="32" t="s">
        <v>795</v>
      </c>
      <c r="C605" s="31" t="b">
        <v>0</v>
      </c>
      <c r="D605" s="31">
        <v>6</v>
      </c>
      <c r="E605" s="38" t="s">
        <v>797</v>
      </c>
      <c r="F605" s="31" t="s">
        <v>131</v>
      </c>
      <c r="G605" s="31" t="s">
        <v>3665</v>
      </c>
      <c r="H605" s="31" t="s">
        <v>3666</v>
      </c>
      <c r="I605" s="37" t="s">
        <v>3667</v>
      </c>
      <c r="J605" s="31" t="s">
        <v>2328</v>
      </c>
      <c r="K605" s="31" t="s">
        <v>265</v>
      </c>
      <c r="L605" s="30" t="s">
        <v>2232</v>
      </c>
      <c r="M605" s="31" t="s">
        <v>2328</v>
      </c>
      <c r="N605" s="30"/>
    </row>
    <row r="606" spans="1:14" ht="45" x14ac:dyDescent="0.25">
      <c r="A606" s="31" t="s">
        <v>2328</v>
      </c>
      <c r="B606" s="32" t="s">
        <v>688</v>
      </c>
      <c r="C606" s="31" t="b">
        <v>0</v>
      </c>
      <c r="D606" s="31">
        <v>2</v>
      </c>
      <c r="E606" s="34" t="s">
        <v>2234</v>
      </c>
      <c r="F606" s="31" t="s">
        <v>131</v>
      </c>
      <c r="G606" s="31" t="s">
        <v>3665</v>
      </c>
      <c r="H606" s="31" t="s">
        <v>3666</v>
      </c>
      <c r="I606" s="37" t="s">
        <v>3667</v>
      </c>
      <c r="J606" s="31" t="s">
        <v>2328</v>
      </c>
      <c r="K606" s="31" t="s">
        <v>209</v>
      </c>
      <c r="L606" s="30" t="s">
        <v>2232</v>
      </c>
      <c r="M606" s="31" t="s">
        <v>2328</v>
      </c>
      <c r="N606" s="30"/>
    </row>
    <row r="607" spans="1:14" ht="45" x14ac:dyDescent="0.25">
      <c r="A607" s="31" t="s">
        <v>2328</v>
      </c>
      <c r="B607" s="32" t="s">
        <v>690</v>
      </c>
      <c r="C607" s="31" t="b">
        <v>0</v>
      </c>
      <c r="D607" s="31">
        <v>2</v>
      </c>
      <c r="E607" s="34" t="s">
        <v>692</v>
      </c>
      <c r="F607" s="31" t="s">
        <v>131</v>
      </c>
      <c r="G607" s="31" t="s">
        <v>3665</v>
      </c>
      <c r="H607" s="31" t="s">
        <v>3666</v>
      </c>
      <c r="I607" s="37" t="s">
        <v>3667</v>
      </c>
      <c r="J607" s="31" t="s">
        <v>2328</v>
      </c>
      <c r="K607" s="31" t="s">
        <v>211</v>
      </c>
      <c r="L607" s="30" t="s">
        <v>2232</v>
      </c>
      <c r="M607" s="31" t="s">
        <v>2328</v>
      </c>
      <c r="N607" s="30"/>
    </row>
    <row r="608" spans="1:14" ht="45" x14ac:dyDescent="0.25">
      <c r="A608" s="31" t="s">
        <v>2328</v>
      </c>
      <c r="B608" s="32" t="s">
        <v>2236</v>
      </c>
      <c r="C608" s="31" t="b">
        <v>1</v>
      </c>
      <c r="D608" s="31">
        <v>0</v>
      </c>
      <c r="E608" s="33" t="s">
        <v>2332</v>
      </c>
      <c r="F608" s="31" t="s">
        <v>3443</v>
      </c>
      <c r="G608" s="31" t="s">
        <v>3665</v>
      </c>
      <c r="H608" s="31" t="s">
        <v>3666</v>
      </c>
      <c r="I608" s="37" t="s">
        <v>3667</v>
      </c>
      <c r="J608" s="31" t="s">
        <v>2328</v>
      </c>
      <c r="K608" s="31" t="s">
        <v>214</v>
      </c>
      <c r="L608" s="30" t="s">
        <v>2232</v>
      </c>
      <c r="M608" s="31" t="s">
        <v>2328</v>
      </c>
      <c r="N608" s="30"/>
    </row>
    <row r="609" spans="1:14" ht="45" x14ac:dyDescent="0.25">
      <c r="A609" s="31" t="s">
        <v>2328</v>
      </c>
      <c r="B609" s="32" t="s">
        <v>2238</v>
      </c>
      <c r="C609" s="31" t="b">
        <v>1</v>
      </c>
      <c r="D609" s="31">
        <v>2</v>
      </c>
      <c r="E609" s="34" t="s">
        <v>3341</v>
      </c>
      <c r="F609" s="31" t="s">
        <v>3443</v>
      </c>
      <c r="G609" s="31" t="s">
        <v>3665</v>
      </c>
      <c r="H609" s="31" t="s">
        <v>3666</v>
      </c>
      <c r="I609" s="37" t="s">
        <v>3667</v>
      </c>
      <c r="J609" s="31" t="s">
        <v>2328</v>
      </c>
      <c r="K609" s="31" t="s">
        <v>224</v>
      </c>
      <c r="L609" s="30" t="s">
        <v>2232</v>
      </c>
      <c r="M609" s="31" t="s">
        <v>2328</v>
      </c>
      <c r="N609" s="30"/>
    </row>
    <row r="610" spans="1:14" ht="45" x14ac:dyDescent="0.25">
      <c r="A610" s="31" t="s">
        <v>2328</v>
      </c>
      <c r="B610" s="32" t="s">
        <v>2233</v>
      </c>
      <c r="C610" s="31" t="b">
        <v>1</v>
      </c>
      <c r="D610" s="31">
        <v>0</v>
      </c>
      <c r="E610" s="33" t="s">
        <v>2331</v>
      </c>
      <c r="F610" s="31" t="s">
        <v>3443</v>
      </c>
      <c r="G610" s="31" t="s">
        <v>3665</v>
      </c>
      <c r="H610" s="31" t="s">
        <v>3666</v>
      </c>
      <c r="I610" s="37" t="s">
        <v>3667</v>
      </c>
      <c r="J610" s="31" t="s">
        <v>2328</v>
      </c>
      <c r="K610" s="31" t="s">
        <v>206</v>
      </c>
      <c r="L610" s="30" t="s">
        <v>2232</v>
      </c>
      <c r="M610" s="31" t="s">
        <v>2328</v>
      </c>
      <c r="N610" s="30"/>
    </row>
    <row r="611" spans="1:14" ht="45" x14ac:dyDescent="0.25">
      <c r="A611" s="31" t="s">
        <v>2328</v>
      </c>
      <c r="B611" s="32" t="s">
        <v>720</v>
      </c>
      <c r="C611" s="31" t="b">
        <v>1</v>
      </c>
      <c r="D611" s="31">
        <v>6</v>
      </c>
      <c r="E611" s="38" t="s">
        <v>2412</v>
      </c>
      <c r="F611" s="31" t="s">
        <v>3443</v>
      </c>
      <c r="G611" s="31" t="s">
        <v>3665</v>
      </c>
      <c r="H611" s="31" t="s">
        <v>3666</v>
      </c>
      <c r="I611" s="37" t="s">
        <v>3667</v>
      </c>
      <c r="J611" s="31" t="s">
        <v>2328</v>
      </c>
      <c r="K611" s="31" t="s">
        <v>246</v>
      </c>
      <c r="L611" s="30" t="s">
        <v>2232</v>
      </c>
      <c r="M611" s="31" t="s">
        <v>2328</v>
      </c>
      <c r="N611" s="30"/>
    </row>
    <row r="612" spans="1:14" ht="45" x14ac:dyDescent="0.25">
      <c r="A612" s="31" t="s">
        <v>2328</v>
      </c>
      <c r="B612" s="32" t="s">
        <v>723</v>
      </c>
      <c r="C612" s="31" t="b">
        <v>0</v>
      </c>
      <c r="D612" s="31">
        <v>8</v>
      </c>
      <c r="E612" s="36" t="s">
        <v>250</v>
      </c>
      <c r="F612" s="31" t="s">
        <v>131</v>
      </c>
      <c r="G612" s="31" t="s">
        <v>3665</v>
      </c>
      <c r="H612" s="31" t="s">
        <v>3666</v>
      </c>
      <c r="I612" s="37" t="s">
        <v>3667</v>
      </c>
      <c r="J612" s="31" t="s">
        <v>2328</v>
      </c>
      <c r="K612" s="31" t="s">
        <v>249</v>
      </c>
      <c r="L612" s="30" t="s">
        <v>2232</v>
      </c>
      <c r="M612" s="31" t="s">
        <v>2328</v>
      </c>
      <c r="N612" s="30"/>
    </row>
    <row r="613" spans="1:14" ht="45" x14ac:dyDescent="0.25">
      <c r="A613" s="31" t="s">
        <v>2328</v>
      </c>
      <c r="B613" s="32" t="s">
        <v>718</v>
      </c>
      <c r="C613" s="31" t="b">
        <v>1</v>
      </c>
      <c r="D613" s="31">
        <v>4</v>
      </c>
      <c r="E613" s="35" t="s">
        <v>2413</v>
      </c>
      <c r="F613" s="31" t="s">
        <v>3443</v>
      </c>
      <c r="G613" s="31" t="s">
        <v>3665</v>
      </c>
      <c r="H613" s="31" t="s">
        <v>3666</v>
      </c>
      <c r="I613" s="37" t="s">
        <v>3667</v>
      </c>
      <c r="J613" s="31" t="s">
        <v>2328</v>
      </c>
      <c r="K613" s="31" t="s">
        <v>246</v>
      </c>
      <c r="L613" s="30" t="s">
        <v>2232</v>
      </c>
      <c r="M613" s="31" t="s">
        <v>2328</v>
      </c>
      <c r="N613" s="30"/>
    </row>
    <row r="614" spans="1:14" ht="45" x14ac:dyDescent="0.25">
      <c r="A614" s="31" t="s">
        <v>2328</v>
      </c>
      <c r="B614" s="32" t="s">
        <v>805</v>
      </c>
      <c r="C614" s="31" t="b">
        <v>1</v>
      </c>
      <c r="D614" s="31">
        <v>2</v>
      </c>
      <c r="E614" s="34" t="s">
        <v>2414</v>
      </c>
      <c r="F614" s="31" t="s">
        <v>3443</v>
      </c>
      <c r="G614" s="31" t="s">
        <v>3665</v>
      </c>
      <c r="H614" s="31" t="s">
        <v>3666</v>
      </c>
      <c r="I614" s="37" t="s">
        <v>3667</v>
      </c>
      <c r="J614" s="31" t="s">
        <v>2328</v>
      </c>
      <c r="K614" s="31" t="s">
        <v>267</v>
      </c>
      <c r="L614" s="30" t="s">
        <v>2232</v>
      </c>
      <c r="M614" s="31" t="s">
        <v>2328</v>
      </c>
      <c r="N614" s="30"/>
    </row>
    <row r="615" spans="1:14" ht="45" x14ac:dyDescent="0.25">
      <c r="A615" s="31" t="s">
        <v>2328</v>
      </c>
      <c r="B615" s="32" t="s">
        <v>810</v>
      </c>
      <c r="C615" s="31" t="b">
        <v>1</v>
      </c>
      <c r="D615" s="31">
        <v>2</v>
      </c>
      <c r="E615" s="34" t="s">
        <v>2415</v>
      </c>
      <c r="F615" s="31" t="s">
        <v>3443</v>
      </c>
      <c r="G615" s="31" t="s">
        <v>3665</v>
      </c>
      <c r="H615" s="31" t="s">
        <v>3666</v>
      </c>
      <c r="I615" s="37" t="s">
        <v>3667</v>
      </c>
      <c r="J615" s="31" t="s">
        <v>2328</v>
      </c>
      <c r="K615" s="31" t="s">
        <v>267</v>
      </c>
      <c r="L615" s="30" t="s">
        <v>2232</v>
      </c>
      <c r="M615" s="31" t="s">
        <v>2328</v>
      </c>
      <c r="N615" s="30"/>
    </row>
    <row r="616" spans="1:14" ht="45" x14ac:dyDescent="0.25">
      <c r="A616" s="31" t="s">
        <v>2328</v>
      </c>
      <c r="B616" s="32" t="s">
        <v>825</v>
      </c>
      <c r="C616" s="31" t="b">
        <v>1</v>
      </c>
      <c r="D616" s="31">
        <v>2</v>
      </c>
      <c r="E616" s="34" t="s">
        <v>2416</v>
      </c>
      <c r="F616" s="31" t="s">
        <v>3443</v>
      </c>
      <c r="G616" s="31" t="s">
        <v>3665</v>
      </c>
      <c r="H616" s="31" t="s">
        <v>3666</v>
      </c>
      <c r="I616" s="37" t="s">
        <v>3667</v>
      </c>
      <c r="J616" s="31" t="s">
        <v>2328</v>
      </c>
      <c r="K616" s="31" t="s">
        <v>270</v>
      </c>
      <c r="L616" s="30" t="s">
        <v>2232</v>
      </c>
      <c r="M616" s="31" t="s">
        <v>2328</v>
      </c>
      <c r="N616" s="30"/>
    </row>
    <row r="617" spans="1:14" ht="45" x14ac:dyDescent="0.25">
      <c r="A617" s="31" t="s">
        <v>2328</v>
      </c>
      <c r="B617" s="32" t="s">
        <v>863</v>
      </c>
      <c r="C617" s="31" t="b">
        <v>1</v>
      </c>
      <c r="D617" s="31">
        <v>2</v>
      </c>
      <c r="E617" s="34" t="s">
        <v>3540</v>
      </c>
      <c r="F617" s="31" t="s">
        <v>3443</v>
      </c>
      <c r="G617" s="31" t="s">
        <v>3665</v>
      </c>
      <c r="H617" s="31" t="s">
        <v>3666</v>
      </c>
      <c r="I617" s="37" t="s">
        <v>3667</v>
      </c>
      <c r="J617" s="31" t="s">
        <v>2328</v>
      </c>
      <c r="K617" s="31" t="s">
        <v>270</v>
      </c>
      <c r="L617" s="30" t="s">
        <v>3437</v>
      </c>
      <c r="M617" s="31" t="s">
        <v>3540</v>
      </c>
      <c r="N617" s="30"/>
    </row>
    <row r="618" spans="1:14" ht="45" x14ac:dyDescent="0.25">
      <c r="A618" s="31" t="s">
        <v>2328</v>
      </c>
      <c r="B618" s="32" t="s">
        <v>869</v>
      </c>
      <c r="C618" s="31" t="b">
        <v>1</v>
      </c>
      <c r="D618" s="31">
        <v>6</v>
      </c>
      <c r="E618" s="38" t="s">
        <v>2417</v>
      </c>
      <c r="F618" s="31" t="s">
        <v>3443</v>
      </c>
      <c r="G618" s="31" t="s">
        <v>3665</v>
      </c>
      <c r="H618" s="31" t="s">
        <v>3666</v>
      </c>
      <c r="I618" s="37" t="s">
        <v>3667</v>
      </c>
      <c r="J618" s="31" t="s">
        <v>2328</v>
      </c>
      <c r="K618" s="31" t="s">
        <v>270</v>
      </c>
      <c r="L618" s="30" t="s">
        <v>2232</v>
      </c>
      <c r="M618" s="31" t="s">
        <v>2328</v>
      </c>
      <c r="N618" s="30"/>
    </row>
    <row r="619" spans="1:14" ht="45" x14ac:dyDescent="0.25">
      <c r="A619" s="31" t="s">
        <v>2328</v>
      </c>
      <c r="B619" s="32" t="s">
        <v>864</v>
      </c>
      <c r="C619" s="31" t="b">
        <v>1</v>
      </c>
      <c r="D619" s="31">
        <v>4</v>
      </c>
      <c r="E619" s="35" t="s">
        <v>2418</v>
      </c>
      <c r="F619" s="31" t="s">
        <v>3443</v>
      </c>
      <c r="G619" s="31" t="s">
        <v>3665</v>
      </c>
      <c r="H619" s="31" t="s">
        <v>3666</v>
      </c>
      <c r="I619" s="37" t="s">
        <v>3667</v>
      </c>
      <c r="J619" s="31" t="s">
        <v>2328</v>
      </c>
      <c r="K619" s="31" t="s">
        <v>270</v>
      </c>
      <c r="L619" s="30" t="s">
        <v>2232</v>
      </c>
      <c r="M619" s="31" t="s">
        <v>2328</v>
      </c>
      <c r="N619" s="30"/>
    </row>
    <row r="620" spans="1:14" ht="45" x14ac:dyDescent="0.25">
      <c r="A620" s="31" t="s">
        <v>2328</v>
      </c>
      <c r="B620" s="32" t="s">
        <v>1013</v>
      </c>
      <c r="C620" s="31" t="b">
        <v>1</v>
      </c>
      <c r="D620" s="31">
        <v>4</v>
      </c>
      <c r="E620" s="35" t="s">
        <v>2419</v>
      </c>
      <c r="F620" s="31" t="s">
        <v>3443</v>
      </c>
      <c r="G620" s="31" t="s">
        <v>3665</v>
      </c>
      <c r="H620" s="31" t="s">
        <v>3666</v>
      </c>
      <c r="I620" s="37" t="s">
        <v>3667</v>
      </c>
      <c r="J620" s="31" t="s">
        <v>2328</v>
      </c>
      <c r="K620" s="31" t="s">
        <v>303</v>
      </c>
      <c r="L620" s="30" t="s">
        <v>2232</v>
      </c>
      <c r="M620" s="31" t="s">
        <v>2328</v>
      </c>
      <c r="N620" s="30"/>
    </row>
    <row r="621" spans="1:14" ht="45" x14ac:dyDescent="0.25">
      <c r="A621" s="31" t="s">
        <v>2925</v>
      </c>
      <c r="B621" s="32" t="s">
        <v>1281</v>
      </c>
      <c r="C621" s="31" t="b">
        <v>0</v>
      </c>
      <c r="D621" s="31">
        <v>4</v>
      </c>
      <c r="E621" s="35" t="s">
        <v>1283</v>
      </c>
      <c r="F621" s="31" t="s">
        <v>131</v>
      </c>
      <c r="G621" s="31" t="s">
        <v>3665</v>
      </c>
      <c r="H621" s="31" t="s">
        <v>3666</v>
      </c>
      <c r="I621" s="37" t="s">
        <v>3667</v>
      </c>
      <c r="J621" s="31" t="s">
        <v>2328</v>
      </c>
      <c r="K621" s="31" t="s">
        <v>329</v>
      </c>
      <c r="L621" s="30" t="s">
        <v>2232</v>
      </c>
      <c r="M621" s="31" t="s">
        <v>2328</v>
      </c>
      <c r="N621" s="30"/>
    </row>
    <row r="622" spans="1:14" ht="45" x14ac:dyDescent="0.25">
      <c r="A622" s="31" t="s">
        <v>2926</v>
      </c>
      <c r="B622" s="32" t="s">
        <v>1284</v>
      </c>
      <c r="C622" s="31" t="b">
        <v>0</v>
      </c>
      <c r="D622" s="31">
        <v>4</v>
      </c>
      <c r="E622" s="35" t="s">
        <v>1286</v>
      </c>
      <c r="F622" s="31" t="s">
        <v>131</v>
      </c>
      <c r="G622" s="31" t="s">
        <v>3665</v>
      </c>
      <c r="H622" s="31" t="s">
        <v>3666</v>
      </c>
      <c r="I622" s="37" t="s">
        <v>3667</v>
      </c>
      <c r="J622" s="31" t="s">
        <v>2328</v>
      </c>
      <c r="K622" s="31" t="s">
        <v>329</v>
      </c>
      <c r="L622" s="30" t="s">
        <v>2232</v>
      </c>
      <c r="M622" s="31" t="s">
        <v>2328</v>
      </c>
      <c r="N622" s="30"/>
    </row>
    <row r="623" spans="1:14" ht="45" x14ac:dyDescent="0.25">
      <c r="A623" s="31" t="s">
        <v>2927</v>
      </c>
      <c r="B623" s="32" t="s">
        <v>1287</v>
      </c>
      <c r="C623" s="31" t="b">
        <v>0</v>
      </c>
      <c r="D623" s="31">
        <v>4</v>
      </c>
      <c r="E623" s="35" t="s">
        <v>1289</v>
      </c>
      <c r="F623" s="31" t="s">
        <v>131</v>
      </c>
      <c r="G623" s="31" t="s">
        <v>3665</v>
      </c>
      <c r="H623" s="31" t="s">
        <v>3666</v>
      </c>
      <c r="I623" s="37" t="s">
        <v>3667</v>
      </c>
      <c r="J623" s="31" t="s">
        <v>2328</v>
      </c>
      <c r="K623" s="31" t="s">
        <v>329</v>
      </c>
      <c r="L623" s="30" t="s">
        <v>2232</v>
      </c>
      <c r="M623" s="31" t="s">
        <v>2328</v>
      </c>
      <c r="N623" s="30"/>
    </row>
    <row r="624" spans="1:14" ht="45" x14ac:dyDescent="0.25">
      <c r="A624" s="31" t="s">
        <v>2952</v>
      </c>
      <c r="B624" s="32" t="s">
        <v>1370</v>
      </c>
      <c r="C624" s="31" t="b">
        <v>0</v>
      </c>
      <c r="D624" s="31">
        <v>6</v>
      </c>
      <c r="E624" s="38" t="s">
        <v>59</v>
      </c>
      <c r="F624" s="31" t="s">
        <v>131</v>
      </c>
      <c r="G624" s="31" t="s">
        <v>3665</v>
      </c>
      <c r="H624" s="31" t="s">
        <v>3666</v>
      </c>
      <c r="I624" s="37" t="s">
        <v>3667</v>
      </c>
      <c r="J624" s="31" t="s">
        <v>2328</v>
      </c>
      <c r="K624" s="31" t="s">
        <v>355</v>
      </c>
      <c r="L624" s="30" t="s">
        <v>2232</v>
      </c>
      <c r="M624" s="31" t="s">
        <v>2328</v>
      </c>
      <c r="N624" s="30"/>
    </row>
    <row r="625" spans="1:14" ht="45" x14ac:dyDescent="0.25">
      <c r="A625" s="31" t="s">
        <v>2328</v>
      </c>
      <c r="B625" s="32" t="s">
        <v>1432</v>
      </c>
      <c r="C625" s="31" t="b">
        <v>1</v>
      </c>
      <c r="D625" s="31">
        <v>0</v>
      </c>
      <c r="E625" s="33" t="s">
        <v>2362</v>
      </c>
      <c r="F625" s="31" t="s">
        <v>3443</v>
      </c>
      <c r="G625" s="31" t="s">
        <v>3665</v>
      </c>
      <c r="H625" s="31" t="s">
        <v>3666</v>
      </c>
      <c r="I625" s="37" t="s">
        <v>3667</v>
      </c>
      <c r="J625" s="31" t="s">
        <v>2328</v>
      </c>
      <c r="K625" s="31" t="s">
        <v>375</v>
      </c>
      <c r="L625" s="30" t="s">
        <v>2232</v>
      </c>
      <c r="M625" s="31" t="s">
        <v>2328</v>
      </c>
      <c r="N625" s="30"/>
    </row>
    <row r="626" spans="1:14" ht="45" x14ac:dyDescent="0.25">
      <c r="A626" s="31" t="s">
        <v>2328</v>
      </c>
      <c r="B626" s="32" t="s">
        <v>1466</v>
      </c>
      <c r="C626" s="31" t="b">
        <v>1</v>
      </c>
      <c r="D626" s="31">
        <v>2</v>
      </c>
      <c r="E626" s="34" t="s">
        <v>3547</v>
      </c>
      <c r="F626" s="31" t="s">
        <v>3443</v>
      </c>
      <c r="G626" s="31" t="s">
        <v>3665</v>
      </c>
      <c r="H626" s="31" t="s">
        <v>3666</v>
      </c>
      <c r="I626" s="37" t="s">
        <v>3667</v>
      </c>
      <c r="J626" s="31" t="s">
        <v>2328</v>
      </c>
      <c r="K626" s="31" t="s">
        <v>378</v>
      </c>
      <c r="L626" s="30" t="s">
        <v>2232</v>
      </c>
      <c r="M626" s="31" t="s">
        <v>2328</v>
      </c>
      <c r="N626" s="30"/>
    </row>
    <row r="627" spans="1:14" ht="45" x14ac:dyDescent="0.25">
      <c r="A627" s="31" t="s">
        <v>2328</v>
      </c>
      <c r="B627" s="32" t="s">
        <v>1433</v>
      </c>
      <c r="C627" s="31" t="b">
        <v>1</v>
      </c>
      <c r="D627" s="31">
        <v>2</v>
      </c>
      <c r="E627" s="34" t="s">
        <v>2420</v>
      </c>
      <c r="F627" s="31" t="s">
        <v>3443</v>
      </c>
      <c r="G627" s="31" t="s">
        <v>3665</v>
      </c>
      <c r="H627" s="31" t="s">
        <v>3666</v>
      </c>
      <c r="I627" s="37" t="s">
        <v>3667</v>
      </c>
      <c r="J627" s="31" t="s">
        <v>2328</v>
      </c>
      <c r="K627" s="31" t="s">
        <v>378</v>
      </c>
      <c r="L627" s="30" t="s">
        <v>2232</v>
      </c>
      <c r="M627" s="31" t="s">
        <v>2328</v>
      </c>
      <c r="N627" s="30"/>
    </row>
    <row r="628" spans="1:14" ht="45" x14ac:dyDescent="0.25">
      <c r="A628" s="31" t="s">
        <v>2328</v>
      </c>
      <c r="B628" s="32" t="s">
        <v>1587</v>
      </c>
      <c r="C628" s="31" t="b">
        <v>1</v>
      </c>
      <c r="D628" s="31">
        <v>2</v>
      </c>
      <c r="E628" s="34" t="s">
        <v>2421</v>
      </c>
      <c r="F628" s="31" t="s">
        <v>3443</v>
      </c>
      <c r="G628" s="31" t="s">
        <v>3665</v>
      </c>
      <c r="H628" s="31" t="s">
        <v>3666</v>
      </c>
      <c r="I628" s="37" t="s">
        <v>3667</v>
      </c>
      <c r="J628" s="31" t="s">
        <v>2328</v>
      </c>
      <c r="K628" s="31" t="s">
        <v>386</v>
      </c>
      <c r="L628" s="30" t="s">
        <v>2232</v>
      </c>
      <c r="M628" s="31" t="s">
        <v>2328</v>
      </c>
      <c r="N628" s="30"/>
    </row>
    <row r="629" spans="1:14" ht="45" x14ac:dyDescent="0.25">
      <c r="A629" s="31" t="s">
        <v>2328</v>
      </c>
      <c r="B629" s="32" t="s">
        <v>1597</v>
      </c>
      <c r="C629" s="31" t="b">
        <v>1</v>
      </c>
      <c r="D629" s="31">
        <v>2</v>
      </c>
      <c r="E629" s="34" t="s">
        <v>2422</v>
      </c>
      <c r="F629" s="31" t="s">
        <v>3443</v>
      </c>
      <c r="G629" s="31" t="s">
        <v>3665</v>
      </c>
      <c r="H629" s="31" t="s">
        <v>3666</v>
      </c>
      <c r="I629" s="37" t="s">
        <v>3667</v>
      </c>
      <c r="J629" s="31" t="s">
        <v>2328</v>
      </c>
      <c r="K629" s="31" t="s">
        <v>388</v>
      </c>
      <c r="L629" s="30" t="s">
        <v>2232</v>
      </c>
      <c r="M629" s="31" t="s">
        <v>2328</v>
      </c>
      <c r="N629" s="30"/>
    </row>
    <row r="630" spans="1:14" ht="45" x14ac:dyDescent="0.25">
      <c r="A630" s="31" t="s">
        <v>2328</v>
      </c>
      <c r="B630" s="32" t="s">
        <v>1601</v>
      </c>
      <c r="C630" s="31" t="b">
        <v>1</v>
      </c>
      <c r="D630" s="31">
        <v>2</v>
      </c>
      <c r="E630" s="34" t="s">
        <v>2423</v>
      </c>
      <c r="F630" s="31" t="s">
        <v>3443</v>
      </c>
      <c r="G630" s="31" t="s">
        <v>3665</v>
      </c>
      <c r="H630" s="31" t="s">
        <v>3666</v>
      </c>
      <c r="I630" s="37" t="s">
        <v>3667</v>
      </c>
      <c r="J630" s="31" t="s">
        <v>2328</v>
      </c>
      <c r="K630" s="31" t="s">
        <v>391</v>
      </c>
      <c r="L630" s="30" t="s">
        <v>2232</v>
      </c>
      <c r="M630" s="31" t="s">
        <v>2328</v>
      </c>
      <c r="N630" s="30"/>
    </row>
    <row r="631" spans="1:14" ht="45" x14ac:dyDescent="0.25">
      <c r="A631" s="31" t="s">
        <v>2328</v>
      </c>
      <c r="B631" s="32" t="s">
        <v>1678</v>
      </c>
      <c r="C631" s="31" t="b">
        <v>1</v>
      </c>
      <c r="D631" s="31">
        <v>2</v>
      </c>
      <c r="E631" s="34" t="s">
        <v>3355</v>
      </c>
      <c r="F631" s="31" t="s">
        <v>3443</v>
      </c>
      <c r="G631" s="31" t="s">
        <v>3665</v>
      </c>
      <c r="H631" s="31" t="s">
        <v>3666</v>
      </c>
      <c r="I631" s="37" t="s">
        <v>3667</v>
      </c>
      <c r="J631" s="31" t="s">
        <v>2328</v>
      </c>
      <c r="K631" s="31" t="s">
        <v>408</v>
      </c>
      <c r="L631" s="30" t="s">
        <v>2232</v>
      </c>
      <c r="M631" s="31" t="s">
        <v>2328</v>
      </c>
      <c r="N631" s="30"/>
    </row>
    <row r="632" spans="1:14" ht="45" x14ac:dyDescent="0.25">
      <c r="A632" s="31" t="s">
        <v>2328</v>
      </c>
      <c r="B632" s="32" t="s">
        <v>1694</v>
      </c>
      <c r="C632" s="31" t="b">
        <v>1</v>
      </c>
      <c r="D632" s="31">
        <v>4</v>
      </c>
      <c r="E632" s="35" t="s">
        <v>3358</v>
      </c>
      <c r="F632" s="31" t="s">
        <v>3443</v>
      </c>
      <c r="G632" s="31" t="s">
        <v>3665</v>
      </c>
      <c r="H632" s="31" t="s">
        <v>3666</v>
      </c>
      <c r="I632" s="37" t="s">
        <v>3667</v>
      </c>
      <c r="J632" s="31" t="s">
        <v>2328</v>
      </c>
      <c r="K632" s="31" t="s">
        <v>411</v>
      </c>
      <c r="L632" s="30" t="s">
        <v>2232</v>
      </c>
      <c r="M632" s="31" t="s">
        <v>2328</v>
      </c>
      <c r="N632" s="30"/>
    </row>
    <row r="633" spans="1:14" ht="45" x14ac:dyDescent="0.25">
      <c r="A633" s="31" t="s">
        <v>2328</v>
      </c>
      <c r="B633" s="32" t="s">
        <v>2104</v>
      </c>
      <c r="C633" s="31" t="b">
        <v>1</v>
      </c>
      <c r="D633" s="31">
        <v>4</v>
      </c>
      <c r="E633" s="35" t="s">
        <v>3379</v>
      </c>
      <c r="F633" s="31" t="s">
        <v>3443</v>
      </c>
      <c r="G633" s="31" t="s">
        <v>3665</v>
      </c>
      <c r="H633" s="31" t="s">
        <v>3666</v>
      </c>
      <c r="I633" s="37" t="s">
        <v>3667</v>
      </c>
      <c r="J633" s="31" t="s">
        <v>2328</v>
      </c>
      <c r="K633" s="31" t="s">
        <v>460</v>
      </c>
      <c r="L633" s="30" t="s">
        <v>2232</v>
      </c>
      <c r="M633" s="31" t="s">
        <v>2328</v>
      </c>
      <c r="N633" s="30"/>
    </row>
    <row r="634" spans="1:14" ht="45" x14ac:dyDescent="0.25">
      <c r="A634" s="31" t="s">
        <v>2328</v>
      </c>
      <c r="B634" s="32" t="s">
        <v>2149</v>
      </c>
      <c r="C634" s="31" t="b">
        <v>1</v>
      </c>
      <c r="D634" s="31">
        <v>2</v>
      </c>
      <c r="E634" s="34" t="s">
        <v>3380</v>
      </c>
      <c r="F634" s="31" t="s">
        <v>3443</v>
      </c>
      <c r="G634" s="31" t="s">
        <v>3665</v>
      </c>
      <c r="H634" s="31" t="s">
        <v>3666</v>
      </c>
      <c r="I634" s="37" t="s">
        <v>3667</v>
      </c>
      <c r="J634" s="31" t="s">
        <v>2328</v>
      </c>
      <c r="K634" s="31" t="s">
        <v>479</v>
      </c>
      <c r="L634" s="30" t="s">
        <v>2232</v>
      </c>
      <c r="M634" s="31" t="s">
        <v>2328</v>
      </c>
      <c r="N634" s="30"/>
    </row>
    <row r="635" spans="1:14" ht="45" x14ac:dyDescent="0.25">
      <c r="A635" s="31" t="s">
        <v>2328</v>
      </c>
      <c r="B635" s="32" t="s">
        <v>1273</v>
      </c>
      <c r="C635" s="31" t="b">
        <v>1</v>
      </c>
      <c r="D635" s="31">
        <v>2</v>
      </c>
      <c r="E635" s="34" t="s">
        <v>2424</v>
      </c>
      <c r="F635" s="31" t="s">
        <v>3443</v>
      </c>
      <c r="G635" s="31" t="s">
        <v>3665</v>
      </c>
      <c r="H635" s="31" t="s">
        <v>3666</v>
      </c>
      <c r="I635" s="37" t="s">
        <v>3667</v>
      </c>
      <c r="J635" s="31" t="s">
        <v>2328</v>
      </c>
      <c r="K635" s="31" t="s">
        <v>317</v>
      </c>
      <c r="L635" s="30" t="s">
        <v>2232</v>
      </c>
      <c r="M635" s="31" t="s">
        <v>2328</v>
      </c>
      <c r="N635" s="30"/>
    </row>
    <row r="636" spans="1:14" ht="45" x14ac:dyDescent="0.25">
      <c r="A636" s="31" t="s">
        <v>2328</v>
      </c>
      <c r="B636" s="32" t="s">
        <v>2288</v>
      </c>
      <c r="C636" s="31" t="b">
        <v>0</v>
      </c>
      <c r="D636" s="31">
        <v>2</v>
      </c>
      <c r="E636" s="34" t="s">
        <v>3436</v>
      </c>
      <c r="F636" s="31" t="s">
        <v>131</v>
      </c>
      <c r="G636" s="31" t="s">
        <v>3665</v>
      </c>
      <c r="H636" s="31" t="s">
        <v>3666</v>
      </c>
      <c r="I636" s="37" t="s">
        <v>3667</v>
      </c>
      <c r="J636" s="31" t="s">
        <v>2328</v>
      </c>
      <c r="K636" s="31" t="s">
        <v>427</v>
      </c>
      <c r="L636" s="30" t="s">
        <v>2232</v>
      </c>
      <c r="M636" s="31" t="s">
        <v>2328</v>
      </c>
      <c r="N636" s="30"/>
    </row>
    <row r="637" spans="1:14" ht="45" x14ac:dyDescent="0.25">
      <c r="A637" s="31" t="s">
        <v>2328</v>
      </c>
      <c r="B637" s="32" t="s">
        <v>1794</v>
      </c>
      <c r="C637" s="31" t="b">
        <v>1</v>
      </c>
      <c r="D637" s="31">
        <v>2</v>
      </c>
      <c r="E637" s="34" t="s">
        <v>3371</v>
      </c>
      <c r="F637" s="31" t="s">
        <v>3443</v>
      </c>
      <c r="G637" s="31" t="s">
        <v>3665</v>
      </c>
      <c r="H637" s="31" t="s">
        <v>3666</v>
      </c>
      <c r="I637" s="37" t="s">
        <v>3667</v>
      </c>
      <c r="J637" s="31" t="s">
        <v>2328</v>
      </c>
      <c r="K637" s="31" t="s">
        <v>427</v>
      </c>
      <c r="L637" s="30" t="s">
        <v>2232</v>
      </c>
      <c r="M637" s="31" t="s">
        <v>2328</v>
      </c>
      <c r="N637" s="30"/>
    </row>
    <row r="638" spans="1:14" ht="60" x14ac:dyDescent="0.25">
      <c r="A638" s="31" t="s">
        <v>2328</v>
      </c>
      <c r="B638" s="32" t="s">
        <v>2289</v>
      </c>
      <c r="C638" s="31" t="b">
        <v>0</v>
      </c>
      <c r="D638" s="31">
        <v>4</v>
      </c>
      <c r="E638" s="35" t="s">
        <v>2290</v>
      </c>
      <c r="F638" s="31" t="s">
        <v>131</v>
      </c>
      <c r="G638" s="31" t="s">
        <v>3665</v>
      </c>
      <c r="H638" s="31" t="s">
        <v>3666</v>
      </c>
      <c r="I638" s="37" t="s">
        <v>3667</v>
      </c>
      <c r="J638" s="31" t="s">
        <v>2328</v>
      </c>
      <c r="K638" s="31" t="s">
        <v>429</v>
      </c>
      <c r="L638" s="30" t="s">
        <v>2232</v>
      </c>
      <c r="M638" s="31" t="s">
        <v>2328</v>
      </c>
      <c r="N638" s="30"/>
    </row>
    <row r="639" spans="1:14" ht="45" x14ac:dyDescent="0.25">
      <c r="A639" s="31" t="s">
        <v>2328</v>
      </c>
      <c r="B639" s="32" t="s">
        <v>2291</v>
      </c>
      <c r="C639" s="31" t="b">
        <v>1</v>
      </c>
      <c r="D639" s="31">
        <v>2</v>
      </c>
      <c r="E639" s="34" t="s">
        <v>3373</v>
      </c>
      <c r="F639" s="31" t="s">
        <v>3443</v>
      </c>
      <c r="G639" s="31" t="s">
        <v>3665</v>
      </c>
      <c r="H639" s="31" t="s">
        <v>3666</v>
      </c>
      <c r="I639" s="37" t="s">
        <v>3667</v>
      </c>
      <c r="J639" s="31" t="s">
        <v>3593</v>
      </c>
      <c r="K639" s="31" t="s">
        <v>431</v>
      </c>
      <c r="L639" s="30" t="s">
        <v>2232</v>
      </c>
      <c r="M639" s="31" t="s">
        <v>2328</v>
      </c>
      <c r="N639" s="30"/>
    </row>
    <row r="640" spans="1:14" ht="45" x14ac:dyDescent="0.25">
      <c r="A640" s="31" t="s">
        <v>2328</v>
      </c>
      <c r="B640" s="32" t="s">
        <v>1801</v>
      </c>
      <c r="C640" s="31" t="b">
        <v>0</v>
      </c>
      <c r="D640" s="31">
        <v>2</v>
      </c>
      <c r="E640" s="34" t="s">
        <v>41</v>
      </c>
      <c r="F640" s="31" t="s">
        <v>131</v>
      </c>
      <c r="G640" s="31" t="s">
        <v>3665</v>
      </c>
      <c r="H640" s="31" t="s">
        <v>3666</v>
      </c>
      <c r="I640" s="37" t="s">
        <v>3667</v>
      </c>
      <c r="J640" s="31" t="s">
        <v>2328</v>
      </c>
      <c r="K640" s="31" t="s">
        <v>431</v>
      </c>
      <c r="L640" s="30" t="s">
        <v>2232</v>
      </c>
      <c r="M640" s="31" t="s">
        <v>2328</v>
      </c>
      <c r="N640" s="30"/>
    </row>
    <row r="641" spans="1:18" ht="60" x14ac:dyDescent="0.25">
      <c r="A641" s="31" t="s">
        <v>2328</v>
      </c>
      <c r="B641" s="32" t="s">
        <v>1802</v>
      </c>
      <c r="C641" s="31" t="b">
        <v>0</v>
      </c>
      <c r="D641" s="31">
        <v>2</v>
      </c>
      <c r="E641" s="34" t="s">
        <v>1803</v>
      </c>
      <c r="F641" s="31" t="s">
        <v>131</v>
      </c>
      <c r="G641" s="31" t="s">
        <v>3665</v>
      </c>
      <c r="H641" s="31" t="s">
        <v>3666</v>
      </c>
      <c r="I641" s="37" t="s">
        <v>3667</v>
      </c>
      <c r="J641" s="31" t="s">
        <v>2328</v>
      </c>
      <c r="K641" s="31" t="s">
        <v>431</v>
      </c>
      <c r="L641" s="30" t="s">
        <v>2232</v>
      </c>
      <c r="M641" s="31" t="s">
        <v>2328</v>
      </c>
      <c r="N641" s="30"/>
    </row>
    <row r="642" spans="1:18" ht="45" x14ac:dyDescent="0.25">
      <c r="A642" s="31" t="s">
        <v>2328</v>
      </c>
      <c r="B642" s="32" t="s">
        <v>701</v>
      </c>
      <c r="C642" s="31" t="b">
        <v>1</v>
      </c>
      <c r="D642" s="31">
        <v>0</v>
      </c>
      <c r="E642" s="33" t="s">
        <v>2425</v>
      </c>
      <c r="F642" s="31" t="s">
        <v>3443</v>
      </c>
      <c r="G642" s="31" t="s">
        <v>3665</v>
      </c>
      <c r="H642" s="31" t="s">
        <v>3666</v>
      </c>
      <c r="I642" s="37" t="s">
        <v>3667</v>
      </c>
      <c r="J642" s="31" t="s">
        <v>2328</v>
      </c>
      <c r="K642" s="31" t="s">
        <v>3660</v>
      </c>
      <c r="L642" s="30" t="s">
        <v>2232</v>
      </c>
      <c r="M642" s="31" t="s">
        <v>2328</v>
      </c>
      <c r="N642" s="30"/>
    </row>
    <row r="643" spans="1:18" ht="45" x14ac:dyDescent="0.25">
      <c r="A643" s="31" t="s">
        <v>2328</v>
      </c>
      <c r="B643" s="32" t="s">
        <v>703</v>
      </c>
      <c r="C643" s="31" t="b">
        <v>0</v>
      </c>
      <c r="D643" s="31">
        <v>2</v>
      </c>
      <c r="E643" s="34" t="s">
        <v>704</v>
      </c>
      <c r="F643" s="31" t="s">
        <v>131</v>
      </c>
      <c r="G643" s="31" t="s">
        <v>3665</v>
      </c>
      <c r="H643" s="31" t="s">
        <v>3666</v>
      </c>
      <c r="I643" s="37" t="s">
        <v>3667</v>
      </c>
      <c r="J643" s="31" t="s">
        <v>2328</v>
      </c>
      <c r="K643" s="31" t="s">
        <v>221</v>
      </c>
      <c r="L643" s="30" t="s">
        <v>2232</v>
      </c>
      <c r="M643" s="31" t="s">
        <v>2328</v>
      </c>
      <c r="N643" s="30"/>
    </row>
    <row r="644" spans="1:18" ht="45" x14ac:dyDescent="0.25">
      <c r="A644" s="31" t="s">
        <v>2328</v>
      </c>
      <c r="B644" s="32" t="s">
        <v>708</v>
      </c>
      <c r="C644" s="31" t="b">
        <v>1</v>
      </c>
      <c r="D644" s="31">
        <v>4</v>
      </c>
      <c r="E644" s="35" t="s">
        <v>2426</v>
      </c>
      <c r="F644" s="31" t="s">
        <v>3443</v>
      </c>
      <c r="G644" s="31" t="s">
        <v>3665</v>
      </c>
      <c r="H644" s="31" t="s">
        <v>3666</v>
      </c>
      <c r="I644" s="37" t="s">
        <v>3667</v>
      </c>
      <c r="J644" s="31" t="s">
        <v>2328</v>
      </c>
      <c r="K644" s="31" t="s">
        <v>231</v>
      </c>
      <c r="L644" s="30" t="s">
        <v>2232</v>
      </c>
      <c r="M644" s="31" t="s">
        <v>2328</v>
      </c>
      <c r="N644" s="30"/>
    </row>
    <row r="645" spans="1:18" ht="45" x14ac:dyDescent="0.25">
      <c r="A645" s="31" t="s">
        <v>2328</v>
      </c>
      <c r="B645" s="32" t="s">
        <v>1122</v>
      </c>
      <c r="C645" s="31" t="b">
        <v>1</v>
      </c>
      <c r="D645" s="31">
        <v>2</v>
      </c>
      <c r="E645" s="34" t="s">
        <v>2427</v>
      </c>
      <c r="F645" s="31" t="s">
        <v>3443</v>
      </c>
      <c r="G645" s="31" t="s">
        <v>3665</v>
      </c>
      <c r="H645" s="31" t="s">
        <v>3666</v>
      </c>
      <c r="I645" s="37" t="s">
        <v>3667</v>
      </c>
      <c r="J645" s="31" t="s">
        <v>2328</v>
      </c>
      <c r="K645" s="31" t="s">
        <v>309</v>
      </c>
      <c r="L645" s="30" t="s">
        <v>2232</v>
      </c>
      <c r="M645" s="31" t="s">
        <v>2328</v>
      </c>
      <c r="N645" s="30"/>
    </row>
    <row r="646" spans="1:18" ht="45" x14ac:dyDescent="0.25">
      <c r="A646" s="31" t="s">
        <v>2328</v>
      </c>
      <c r="B646" s="32" t="s">
        <v>2257</v>
      </c>
      <c r="C646" s="31" t="b">
        <v>0</v>
      </c>
      <c r="D646" s="31">
        <v>4</v>
      </c>
      <c r="E646" s="35" t="s">
        <v>2258</v>
      </c>
      <c r="F646" s="31" t="s">
        <v>131</v>
      </c>
      <c r="G646" s="31" t="s">
        <v>3665</v>
      </c>
      <c r="H646" s="31" t="s">
        <v>3666</v>
      </c>
      <c r="I646" s="37" t="s">
        <v>3667</v>
      </c>
      <c r="J646" s="31" t="s">
        <v>2328</v>
      </c>
      <c r="K646" s="31" t="s">
        <v>317</v>
      </c>
      <c r="L646" s="30" t="s">
        <v>2232</v>
      </c>
      <c r="M646" s="31" t="s">
        <v>2328</v>
      </c>
      <c r="N646" s="30"/>
    </row>
    <row r="647" spans="1:18" ht="45" x14ac:dyDescent="0.25">
      <c r="A647" s="31" t="s">
        <v>2328</v>
      </c>
      <c r="B647" s="32" t="s">
        <v>1547</v>
      </c>
      <c r="C647" s="31" t="b">
        <v>0</v>
      </c>
      <c r="D647" s="31">
        <v>4</v>
      </c>
      <c r="E647" s="35" t="s">
        <v>1549</v>
      </c>
      <c r="F647" s="31" t="s">
        <v>131</v>
      </c>
      <c r="G647" s="31" t="s">
        <v>3665</v>
      </c>
      <c r="H647" s="31" t="s">
        <v>3666</v>
      </c>
      <c r="I647" s="37" t="s">
        <v>3667</v>
      </c>
      <c r="J647" s="31" t="s">
        <v>2328</v>
      </c>
      <c r="K647" s="31" t="s">
        <v>381</v>
      </c>
      <c r="L647" s="30" t="s">
        <v>2232</v>
      </c>
      <c r="M647" s="31" t="s">
        <v>2328</v>
      </c>
      <c r="N647" s="30"/>
    </row>
    <row r="648" spans="1:18" ht="45" x14ac:dyDescent="0.25">
      <c r="A648" s="31" t="s">
        <v>2732</v>
      </c>
      <c r="B648" s="32" t="s">
        <v>713</v>
      </c>
      <c r="C648" s="31" t="b">
        <v>0</v>
      </c>
      <c r="D648" s="31">
        <v>6</v>
      </c>
      <c r="E648" s="38" t="s">
        <v>715</v>
      </c>
      <c r="F648" s="31" t="s">
        <v>131</v>
      </c>
      <c r="G648" s="31" t="s">
        <v>3665</v>
      </c>
      <c r="H648" s="31" t="s">
        <v>3666</v>
      </c>
      <c r="I648" s="37" t="s">
        <v>3667</v>
      </c>
      <c r="J648" s="31" t="s">
        <v>2328</v>
      </c>
      <c r="K648" s="31" t="s">
        <v>3661</v>
      </c>
      <c r="L648" s="30" t="s">
        <v>2232</v>
      </c>
      <c r="M648" s="31" t="s">
        <v>2328</v>
      </c>
      <c r="N648" s="30"/>
      <c r="R648" s="8"/>
    </row>
    <row r="649" spans="1:18" ht="45" x14ac:dyDescent="0.25">
      <c r="A649" s="31" t="s">
        <v>2732</v>
      </c>
      <c r="B649" s="32" t="s">
        <v>716</v>
      </c>
      <c r="C649" s="31" t="b">
        <v>0</v>
      </c>
      <c r="D649" s="31">
        <v>6</v>
      </c>
      <c r="E649" s="38" t="s">
        <v>120</v>
      </c>
      <c r="F649" s="31" t="s">
        <v>131</v>
      </c>
      <c r="G649" s="31" t="s">
        <v>3665</v>
      </c>
      <c r="H649" s="31" t="s">
        <v>3666</v>
      </c>
      <c r="I649" s="37" t="s">
        <v>3667</v>
      </c>
      <c r="J649" s="31" t="s">
        <v>2328</v>
      </c>
      <c r="K649" s="31" t="s">
        <v>241</v>
      </c>
      <c r="L649" s="30" t="s">
        <v>2232</v>
      </c>
      <c r="M649" s="31" t="s">
        <v>2328</v>
      </c>
      <c r="N649" s="30"/>
    </row>
    <row r="650" spans="1:18" ht="45" x14ac:dyDescent="0.25">
      <c r="A650" s="31" t="s">
        <v>2328</v>
      </c>
      <c r="B650" s="32" t="s">
        <v>1606</v>
      </c>
      <c r="C650" s="31" t="b">
        <v>1</v>
      </c>
      <c r="D650" s="31">
        <v>0</v>
      </c>
      <c r="E650" s="33" t="s">
        <v>2368</v>
      </c>
      <c r="F650" s="31" t="s">
        <v>3443</v>
      </c>
      <c r="G650" s="31" t="s">
        <v>3665</v>
      </c>
      <c r="H650" s="31" t="s">
        <v>3666</v>
      </c>
      <c r="I650" s="37" t="s">
        <v>3667</v>
      </c>
      <c r="J650" s="31" t="s">
        <v>2328</v>
      </c>
      <c r="K650" s="31" t="s">
        <v>399</v>
      </c>
      <c r="L650" s="30" t="s">
        <v>2232</v>
      </c>
      <c r="M650" s="31" t="s">
        <v>2328</v>
      </c>
      <c r="N650" s="30"/>
    </row>
    <row r="651" spans="1:18" ht="45" x14ac:dyDescent="0.25">
      <c r="A651" s="31" t="s">
        <v>2328</v>
      </c>
      <c r="B651" s="32" t="s">
        <v>2119</v>
      </c>
      <c r="C651" s="31" t="b">
        <v>0</v>
      </c>
      <c r="D651" s="31">
        <v>2</v>
      </c>
      <c r="E651" s="34" t="s">
        <v>2120</v>
      </c>
      <c r="F651" s="31" t="s">
        <v>131</v>
      </c>
      <c r="G651" s="31" t="s">
        <v>3665</v>
      </c>
      <c r="H651" s="31" t="s">
        <v>3666</v>
      </c>
      <c r="I651" s="37" t="s">
        <v>3667</v>
      </c>
      <c r="J651" s="31" t="s">
        <v>3659</v>
      </c>
      <c r="K651" s="31" t="s">
        <v>127</v>
      </c>
      <c r="L651" s="30" t="s">
        <v>2232</v>
      </c>
      <c r="M651" s="31" t="s">
        <v>2328</v>
      </c>
      <c r="N651" s="30"/>
    </row>
    <row r="652" spans="1:18" ht="45" x14ac:dyDescent="0.25">
      <c r="A652" s="31" t="s">
        <v>2328</v>
      </c>
      <c r="B652" s="32" t="s">
        <v>2219</v>
      </c>
      <c r="C652" s="31" t="b">
        <v>1</v>
      </c>
      <c r="D652" s="31">
        <v>0</v>
      </c>
      <c r="E652" s="33" t="s">
        <v>2386</v>
      </c>
      <c r="F652" s="31" t="s">
        <v>3443</v>
      </c>
      <c r="G652" s="31" t="s">
        <v>3665</v>
      </c>
      <c r="H652" s="31" t="s">
        <v>3666</v>
      </c>
      <c r="I652" s="37" t="s">
        <v>3667</v>
      </c>
      <c r="J652" s="31" t="s">
        <v>2328</v>
      </c>
      <c r="K652" s="31" t="s">
        <v>497</v>
      </c>
      <c r="L652" s="30" t="s">
        <v>2232</v>
      </c>
      <c r="M652" s="31" t="s">
        <v>2328</v>
      </c>
      <c r="N652" s="30"/>
    </row>
    <row r="653" spans="1:18" ht="45" x14ac:dyDescent="0.25">
      <c r="A653" s="31" t="s">
        <v>2328</v>
      </c>
      <c r="B653" s="32" t="s">
        <v>2222</v>
      </c>
      <c r="C653" s="31" t="b">
        <v>0</v>
      </c>
      <c r="D653" s="31">
        <v>4</v>
      </c>
      <c r="E653" s="35" t="s">
        <v>2224</v>
      </c>
      <c r="F653" s="31" t="s">
        <v>131</v>
      </c>
      <c r="G653" s="31" t="s">
        <v>3665</v>
      </c>
      <c r="H653" s="31" t="s">
        <v>3666</v>
      </c>
      <c r="I653" s="37" t="s">
        <v>3667</v>
      </c>
      <c r="J653" s="31" t="s">
        <v>2328</v>
      </c>
      <c r="K653" s="31" t="s">
        <v>500</v>
      </c>
      <c r="L653" s="30" t="s">
        <v>2232</v>
      </c>
      <c r="M653" s="31" t="s">
        <v>2328</v>
      </c>
      <c r="N653" s="30"/>
    </row>
    <row r="654" spans="1:18" ht="45" x14ac:dyDescent="0.25">
      <c r="A654" s="31" t="s">
        <v>2328</v>
      </c>
      <c r="B654" s="32" t="s">
        <v>2220</v>
      </c>
      <c r="C654" s="31" t="b">
        <v>1</v>
      </c>
      <c r="D654" s="31">
        <v>2</v>
      </c>
      <c r="E654" s="34" t="s">
        <v>3385</v>
      </c>
      <c r="F654" s="31" t="s">
        <v>3443</v>
      </c>
      <c r="G654" s="31" t="s">
        <v>3665</v>
      </c>
      <c r="H654" s="31" t="s">
        <v>3666</v>
      </c>
      <c r="I654" s="37" t="s">
        <v>3667</v>
      </c>
      <c r="J654" s="31" t="s">
        <v>2328</v>
      </c>
      <c r="K654" s="31" t="s">
        <v>500</v>
      </c>
      <c r="L654" s="30" t="s">
        <v>2232</v>
      </c>
      <c r="M654" s="31" t="s">
        <v>2328</v>
      </c>
      <c r="N654" s="30"/>
    </row>
    <row r="655" spans="1:18" ht="45" x14ac:dyDescent="0.25">
      <c r="A655" s="31" t="s">
        <v>2328</v>
      </c>
      <c r="B655" s="32" t="s">
        <v>988</v>
      </c>
      <c r="C655" s="31" t="b">
        <v>1</v>
      </c>
      <c r="D655" s="31">
        <v>2</v>
      </c>
      <c r="E655" s="34" t="s">
        <v>2428</v>
      </c>
      <c r="F655" s="31" t="s">
        <v>3443</v>
      </c>
      <c r="G655" s="31" t="s">
        <v>3665</v>
      </c>
      <c r="H655" s="31" t="s">
        <v>3666</v>
      </c>
      <c r="I655" s="37" t="s">
        <v>3667</v>
      </c>
      <c r="J655" s="31" t="s">
        <v>2328</v>
      </c>
      <c r="K655" s="31" t="s">
        <v>288</v>
      </c>
      <c r="L655" s="30" t="s">
        <v>2232</v>
      </c>
      <c r="M655" s="31" t="s">
        <v>2328</v>
      </c>
      <c r="N655" s="30"/>
    </row>
    <row r="656" spans="1:18" ht="45" x14ac:dyDescent="0.25">
      <c r="A656" s="31" t="s">
        <v>2328</v>
      </c>
      <c r="B656" s="32" t="s">
        <v>990</v>
      </c>
      <c r="C656" s="31" t="b">
        <v>0</v>
      </c>
      <c r="D656" s="31">
        <v>4</v>
      </c>
      <c r="E656" s="35" t="s">
        <v>992</v>
      </c>
      <c r="F656" s="31" t="s">
        <v>131</v>
      </c>
      <c r="G656" s="31" t="s">
        <v>3665</v>
      </c>
      <c r="H656" s="31" t="s">
        <v>3666</v>
      </c>
      <c r="I656" s="37" t="s">
        <v>3667</v>
      </c>
      <c r="J656" s="31" t="s">
        <v>2328</v>
      </c>
      <c r="K656" s="31" t="s">
        <v>288</v>
      </c>
      <c r="L656" s="30" t="s">
        <v>2232</v>
      </c>
      <c r="M656" s="31" t="s">
        <v>2328</v>
      </c>
      <c r="N656" s="30"/>
    </row>
    <row r="657" spans="1:14" ht="45" x14ac:dyDescent="0.25">
      <c r="A657" s="31" t="s">
        <v>2328</v>
      </c>
      <c r="B657" s="32" t="s">
        <v>993</v>
      </c>
      <c r="C657" s="31" t="b">
        <v>0</v>
      </c>
      <c r="D657" s="31">
        <v>4</v>
      </c>
      <c r="E657" s="35" t="s">
        <v>995</v>
      </c>
      <c r="F657" s="31" t="s">
        <v>131</v>
      </c>
      <c r="G657" s="31" t="s">
        <v>3665</v>
      </c>
      <c r="H657" s="31" t="s">
        <v>3666</v>
      </c>
      <c r="I657" s="37" t="s">
        <v>3667</v>
      </c>
      <c r="J657" s="31" t="s">
        <v>2328</v>
      </c>
      <c r="K657" s="31" t="s">
        <v>288</v>
      </c>
      <c r="L657" s="30" t="s">
        <v>2232</v>
      </c>
      <c r="M657" s="31" t="s">
        <v>2328</v>
      </c>
      <c r="N657" s="30"/>
    </row>
    <row r="658" spans="1:14" ht="45" x14ac:dyDescent="0.25">
      <c r="A658" s="31" t="s">
        <v>2328</v>
      </c>
      <c r="B658" s="32" t="s">
        <v>2121</v>
      </c>
      <c r="C658" s="31" t="b">
        <v>0</v>
      </c>
      <c r="D658" s="31">
        <v>2</v>
      </c>
      <c r="E658" s="34" t="s">
        <v>2122</v>
      </c>
      <c r="F658" s="31" t="s">
        <v>131</v>
      </c>
      <c r="G658" s="31" t="s">
        <v>3665</v>
      </c>
      <c r="H658" s="31" t="s">
        <v>3666</v>
      </c>
      <c r="I658" s="37" t="s">
        <v>3667</v>
      </c>
      <c r="J658" s="31" t="s">
        <v>3659</v>
      </c>
      <c r="K658" s="31" t="s">
        <v>128</v>
      </c>
      <c r="L658" s="30" t="s">
        <v>2232</v>
      </c>
      <c r="M658" s="31" t="s">
        <v>2328</v>
      </c>
      <c r="N658" s="30"/>
    </row>
    <row r="659" spans="1:14" ht="45" x14ac:dyDescent="0.25">
      <c r="A659" s="31" t="s">
        <v>2328</v>
      </c>
      <c r="B659" s="32" t="s">
        <v>2123</v>
      </c>
      <c r="C659" s="31" t="b">
        <v>0</v>
      </c>
      <c r="D659" s="31">
        <v>2</v>
      </c>
      <c r="E659" s="34" t="s">
        <v>2124</v>
      </c>
      <c r="F659" s="31" t="s">
        <v>131</v>
      </c>
      <c r="G659" s="31" t="s">
        <v>3665</v>
      </c>
      <c r="H659" s="31" t="s">
        <v>3666</v>
      </c>
      <c r="I659" s="37" t="s">
        <v>3667</v>
      </c>
      <c r="J659" s="31" t="s">
        <v>3659</v>
      </c>
      <c r="K659" s="31" t="s">
        <v>128</v>
      </c>
      <c r="L659" s="30" t="s">
        <v>2232</v>
      </c>
      <c r="M659" s="31" t="s">
        <v>2328</v>
      </c>
      <c r="N659" s="30"/>
    </row>
    <row r="660" spans="1:14" ht="45" x14ac:dyDescent="0.25">
      <c r="A660" s="31" t="s">
        <v>2328</v>
      </c>
      <c r="B660" s="32" t="s">
        <v>1389</v>
      </c>
      <c r="C660" s="31" t="b">
        <v>1</v>
      </c>
      <c r="D660" s="31">
        <v>4</v>
      </c>
      <c r="E660" s="35" t="s">
        <v>3346</v>
      </c>
      <c r="F660" s="31" t="s">
        <v>3443</v>
      </c>
      <c r="G660" s="31" t="s">
        <v>3665</v>
      </c>
      <c r="H660" s="31" t="s">
        <v>3666</v>
      </c>
      <c r="I660" s="37" t="s">
        <v>3667</v>
      </c>
      <c r="J660" s="31" t="s">
        <v>2328</v>
      </c>
      <c r="K660" s="31" t="s">
        <v>124</v>
      </c>
      <c r="L660" s="30" t="s">
        <v>2232</v>
      </c>
      <c r="M660" s="31" t="s">
        <v>2328</v>
      </c>
      <c r="N660" s="30"/>
    </row>
    <row r="661" spans="1:14" x14ac:dyDescent="0.25">
      <c r="A661" s="31" t="s">
        <v>2328</v>
      </c>
      <c r="B661" s="32" t="s">
        <v>1400</v>
      </c>
      <c r="C661" s="31" t="b">
        <v>1</v>
      </c>
      <c r="D661" s="31">
        <v>4</v>
      </c>
      <c r="E661" s="35" t="s">
        <v>3543</v>
      </c>
      <c r="F661" s="31" t="s">
        <v>3443</v>
      </c>
      <c r="G661" s="31" t="s">
        <v>2328</v>
      </c>
      <c r="H661" s="31" t="s">
        <v>2328</v>
      </c>
      <c r="I661" s="37" t="s">
        <v>2328</v>
      </c>
      <c r="J661" s="31" t="s">
        <v>2328</v>
      </c>
      <c r="K661" s="31" t="s">
        <v>366</v>
      </c>
      <c r="L661" s="30" t="s">
        <v>2265</v>
      </c>
      <c r="M661" s="31" t="s">
        <v>2328</v>
      </c>
      <c r="N661" s="30"/>
    </row>
    <row r="662" spans="1:14" ht="45" x14ac:dyDescent="0.25">
      <c r="A662" s="31" t="s">
        <v>2328</v>
      </c>
      <c r="B662" s="32" t="s">
        <v>737</v>
      </c>
      <c r="C662" s="31" t="b">
        <v>0</v>
      </c>
      <c r="D662" s="31">
        <v>6</v>
      </c>
      <c r="E662" s="38" t="s">
        <v>739</v>
      </c>
      <c r="F662" s="31" t="s">
        <v>139</v>
      </c>
      <c r="G662" s="31" t="s">
        <v>3665</v>
      </c>
      <c r="H662" s="31" t="s">
        <v>3666</v>
      </c>
      <c r="I662" s="37" t="s">
        <v>3667</v>
      </c>
      <c r="J662" s="31" t="s">
        <v>2328</v>
      </c>
      <c r="K662" s="31" t="s">
        <v>260</v>
      </c>
      <c r="L662" s="30" t="s">
        <v>2232</v>
      </c>
      <c r="M662" s="31" t="s">
        <v>2328</v>
      </c>
      <c r="N662" s="30"/>
    </row>
    <row r="663" spans="1:14" ht="45" x14ac:dyDescent="0.25">
      <c r="A663" s="31" t="s">
        <v>2328</v>
      </c>
      <c r="B663" s="32" t="s">
        <v>1494</v>
      </c>
      <c r="C663" s="31" t="b">
        <v>1</v>
      </c>
      <c r="D663" s="31">
        <v>0</v>
      </c>
      <c r="E663" s="33" t="s">
        <v>2364</v>
      </c>
      <c r="F663" s="31" t="s">
        <v>3443</v>
      </c>
      <c r="G663" s="31" t="s">
        <v>3665</v>
      </c>
      <c r="H663" s="31" t="s">
        <v>3666</v>
      </c>
      <c r="I663" s="37" t="s">
        <v>3667</v>
      </c>
      <c r="J663" s="31" t="s">
        <v>2328</v>
      </c>
      <c r="K663" s="31" t="s">
        <v>381</v>
      </c>
      <c r="L663" s="30" t="s">
        <v>2232</v>
      </c>
      <c r="M663" s="31" t="s">
        <v>2328</v>
      </c>
      <c r="N663" s="30"/>
    </row>
    <row r="664" spans="1:14" ht="45" x14ac:dyDescent="0.25">
      <c r="A664" s="31" t="s">
        <v>2328</v>
      </c>
      <c r="B664" s="32" t="s">
        <v>1495</v>
      </c>
      <c r="C664" s="31" t="b">
        <v>1</v>
      </c>
      <c r="D664" s="31">
        <v>2</v>
      </c>
      <c r="E664" s="34" t="s">
        <v>2429</v>
      </c>
      <c r="F664" s="31" t="s">
        <v>3443</v>
      </c>
      <c r="G664" s="31" t="s">
        <v>3665</v>
      </c>
      <c r="H664" s="31" t="s">
        <v>3666</v>
      </c>
      <c r="I664" s="37" t="s">
        <v>3667</v>
      </c>
      <c r="J664" s="31" t="s">
        <v>2328</v>
      </c>
      <c r="K664" s="31" t="s">
        <v>381</v>
      </c>
      <c r="L664" s="30" t="s">
        <v>2232</v>
      </c>
      <c r="M664" s="31" t="s">
        <v>2328</v>
      </c>
      <c r="N664" s="30"/>
    </row>
    <row r="665" spans="1:14" ht="45" x14ac:dyDescent="0.25">
      <c r="A665" s="31" t="s">
        <v>2980</v>
      </c>
      <c r="B665" s="32" t="s">
        <v>1496</v>
      </c>
      <c r="C665" s="31" t="b">
        <v>0</v>
      </c>
      <c r="D665" s="31">
        <v>4</v>
      </c>
      <c r="E665" s="35" t="s">
        <v>17</v>
      </c>
      <c r="F665" s="31" t="s">
        <v>131</v>
      </c>
      <c r="G665" s="31" t="s">
        <v>3665</v>
      </c>
      <c r="H665" s="31" t="s">
        <v>3666</v>
      </c>
      <c r="I665" s="37" t="s">
        <v>3667</v>
      </c>
      <c r="J665" s="31" t="s">
        <v>2328</v>
      </c>
      <c r="K665" s="31" t="s">
        <v>381</v>
      </c>
      <c r="L665" s="30" t="s">
        <v>2232</v>
      </c>
      <c r="M665" s="31" t="s">
        <v>2328</v>
      </c>
      <c r="N665" s="30"/>
    </row>
    <row r="666" spans="1:14" ht="45" x14ac:dyDescent="0.25">
      <c r="A666" s="31" t="s">
        <v>2981</v>
      </c>
      <c r="B666" s="32" t="s">
        <v>1498</v>
      </c>
      <c r="C666" s="31" t="b">
        <v>0</v>
      </c>
      <c r="D666" s="31">
        <v>4</v>
      </c>
      <c r="E666" s="35" t="s">
        <v>1500</v>
      </c>
      <c r="F666" s="31" t="s">
        <v>131</v>
      </c>
      <c r="G666" s="31" t="s">
        <v>3665</v>
      </c>
      <c r="H666" s="31" t="s">
        <v>3666</v>
      </c>
      <c r="I666" s="37" t="s">
        <v>3667</v>
      </c>
      <c r="J666" s="31" t="s">
        <v>2328</v>
      </c>
      <c r="K666" s="31" t="s">
        <v>381</v>
      </c>
      <c r="L666" s="30" t="s">
        <v>2232</v>
      </c>
      <c r="M666" s="31" t="s">
        <v>2328</v>
      </c>
      <c r="N666" s="30"/>
    </row>
    <row r="667" spans="1:14" ht="105" x14ac:dyDescent="0.25">
      <c r="A667" s="31" t="s">
        <v>2982</v>
      </c>
      <c r="B667" s="32" t="s">
        <v>1501</v>
      </c>
      <c r="C667" s="31" t="b">
        <v>0</v>
      </c>
      <c r="D667" s="31">
        <v>4</v>
      </c>
      <c r="E667" s="35" t="s">
        <v>1503</v>
      </c>
      <c r="F667" s="31" t="s">
        <v>131</v>
      </c>
      <c r="G667" s="31" t="s">
        <v>3665</v>
      </c>
      <c r="H667" s="31" t="s">
        <v>3666</v>
      </c>
      <c r="I667" s="37" t="s">
        <v>3667</v>
      </c>
      <c r="J667" s="31" t="s">
        <v>3592</v>
      </c>
      <c r="K667" s="31" t="s">
        <v>381</v>
      </c>
      <c r="L667" s="30" t="s">
        <v>2232</v>
      </c>
      <c r="M667" s="31" t="s">
        <v>2328</v>
      </c>
      <c r="N667" s="30"/>
    </row>
    <row r="668" spans="1:14" ht="45" x14ac:dyDescent="0.25">
      <c r="A668" s="31" t="s">
        <v>2328</v>
      </c>
      <c r="B668" s="32" t="s">
        <v>1504</v>
      </c>
      <c r="C668" s="31" t="b">
        <v>1</v>
      </c>
      <c r="D668" s="31">
        <v>2</v>
      </c>
      <c r="E668" s="34" t="s">
        <v>2430</v>
      </c>
      <c r="F668" s="31" t="s">
        <v>3443</v>
      </c>
      <c r="G668" s="31" t="s">
        <v>3665</v>
      </c>
      <c r="H668" s="31" t="s">
        <v>3666</v>
      </c>
      <c r="I668" s="37" t="s">
        <v>3667</v>
      </c>
      <c r="J668" s="31" t="s">
        <v>2328</v>
      </c>
      <c r="K668" s="31" t="s">
        <v>381</v>
      </c>
      <c r="L668" s="30" t="s">
        <v>2232</v>
      </c>
      <c r="M668" s="31" t="s">
        <v>2328</v>
      </c>
      <c r="N668" s="30"/>
    </row>
    <row r="669" spans="1:14" ht="45" x14ac:dyDescent="0.25">
      <c r="A669" s="31" t="s">
        <v>2983</v>
      </c>
      <c r="B669" s="32" t="s">
        <v>1506</v>
      </c>
      <c r="C669" s="31" t="b">
        <v>0</v>
      </c>
      <c r="D669" s="31">
        <v>4</v>
      </c>
      <c r="E669" s="35" t="s">
        <v>1508</v>
      </c>
      <c r="F669" s="31" t="s">
        <v>131</v>
      </c>
      <c r="G669" s="31" t="s">
        <v>3665</v>
      </c>
      <c r="H669" s="31" t="s">
        <v>3666</v>
      </c>
      <c r="I669" s="37" t="s">
        <v>3667</v>
      </c>
      <c r="J669" s="31" t="s">
        <v>2328</v>
      </c>
      <c r="K669" s="31" t="s">
        <v>381</v>
      </c>
      <c r="L669" s="30" t="s">
        <v>2232</v>
      </c>
      <c r="M669" s="31" t="s">
        <v>2328</v>
      </c>
      <c r="N669" s="30"/>
    </row>
    <row r="670" spans="1:14" ht="45" x14ac:dyDescent="0.25">
      <c r="A670" s="31" t="s">
        <v>2328</v>
      </c>
      <c r="B670" s="32" t="s">
        <v>1509</v>
      </c>
      <c r="C670" s="31" t="b">
        <v>1</v>
      </c>
      <c r="D670" s="31">
        <v>2</v>
      </c>
      <c r="E670" s="34" t="s">
        <v>2431</v>
      </c>
      <c r="F670" s="31" t="s">
        <v>3443</v>
      </c>
      <c r="G670" s="31" t="s">
        <v>3665</v>
      </c>
      <c r="H670" s="31" t="s">
        <v>3666</v>
      </c>
      <c r="I670" s="37" t="s">
        <v>3667</v>
      </c>
      <c r="J670" s="31" t="s">
        <v>2328</v>
      </c>
      <c r="K670" s="31" t="s">
        <v>381</v>
      </c>
      <c r="L670" s="30" t="s">
        <v>2232</v>
      </c>
      <c r="M670" s="31" t="s">
        <v>2328</v>
      </c>
      <c r="N670" s="30"/>
    </row>
    <row r="671" spans="1:14" ht="45" x14ac:dyDescent="0.25">
      <c r="A671" s="31" t="s">
        <v>2328</v>
      </c>
      <c r="B671" s="32" t="s">
        <v>1514</v>
      </c>
      <c r="C671" s="31" t="b">
        <v>0</v>
      </c>
      <c r="D671" s="31">
        <v>4</v>
      </c>
      <c r="E671" s="35" t="s">
        <v>1516</v>
      </c>
      <c r="F671" s="31" t="s">
        <v>131</v>
      </c>
      <c r="G671" s="31" t="s">
        <v>3665</v>
      </c>
      <c r="H671" s="31" t="s">
        <v>3666</v>
      </c>
      <c r="I671" s="37" t="s">
        <v>3667</v>
      </c>
      <c r="J671" s="31" t="s">
        <v>2328</v>
      </c>
      <c r="K671" s="31" t="s">
        <v>381</v>
      </c>
      <c r="L671" s="30" t="s">
        <v>2232</v>
      </c>
      <c r="M671" s="31" t="s">
        <v>2328</v>
      </c>
      <c r="N671" s="30"/>
    </row>
    <row r="672" spans="1:14" ht="45" x14ac:dyDescent="0.25">
      <c r="A672" s="31" t="s">
        <v>2328</v>
      </c>
      <c r="B672" s="32" t="s">
        <v>1522</v>
      </c>
      <c r="C672" s="31" t="b">
        <v>1</v>
      </c>
      <c r="D672" s="31">
        <v>2</v>
      </c>
      <c r="E672" s="34" t="s">
        <v>2432</v>
      </c>
      <c r="F672" s="31" t="s">
        <v>3443</v>
      </c>
      <c r="G672" s="31" t="s">
        <v>3665</v>
      </c>
      <c r="H672" s="31" t="s">
        <v>3666</v>
      </c>
      <c r="I672" s="37" t="s">
        <v>3667</v>
      </c>
      <c r="J672" s="31" t="s">
        <v>2328</v>
      </c>
      <c r="K672" s="31" t="s">
        <v>381</v>
      </c>
      <c r="L672" s="30" t="s">
        <v>2232</v>
      </c>
      <c r="M672" s="31" t="s">
        <v>2328</v>
      </c>
      <c r="N672" s="30"/>
    </row>
    <row r="673" spans="1:14" ht="45" x14ac:dyDescent="0.25">
      <c r="A673" s="31" t="s">
        <v>2984</v>
      </c>
      <c r="B673" s="32" t="s">
        <v>1524</v>
      </c>
      <c r="C673" s="31" t="b">
        <v>0</v>
      </c>
      <c r="D673" s="31">
        <v>4</v>
      </c>
      <c r="E673" s="35" t="s">
        <v>1526</v>
      </c>
      <c r="F673" s="31" t="s">
        <v>131</v>
      </c>
      <c r="G673" s="31" t="s">
        <v>3665</v>
      </c>
      <c r="H673" s="31" t="s">
        <v>3666</v>
      </c>
      <c r="I673" s="37" t="s">
        <v>3667</v>
      </c>
      <c r="J673" s="31" t="s">
        <v>2328</v>
      </c>
      <c r="K673" s="31" t="s">
        <v>381</v>
      </c>
      <c r="L673" s="30" t="s">
        <v>2232</v>
      </c>
      <c r="M673" s="31" t="s">
        <v>2328</v>
      </c>
      <c r="N673" s="30"/>
    </row>
    <row r="674" spans="1:14" ht="45" x14ac:dyDescent="0.25">
      <c r="A674" s="31" t="s">
        <v>2985</v>
      </c>
      <c r="B674" s="32" t="s">
        <v>1527</v>
      </c>
      <c r="C674" s="31" t="b">
        <v>0</v>
      </c>
      <c r="D674" s="31">
        <v>4</v>
      </c>
      <c r="E674" s="35" t="s">
        <v>16</v>
      </c>
      <c r="F674" s="31" t="s">
        <v>131</v>
      </c>
      <c r="G674" s="31" t="s">
        <v>3665</v>
      </c>
      <c r="H674" s="31" t="s">
        <v>3666</v>
      </c>
      <c r="I674" s="37" t="s">
        <v>3667</v>
      </c>
      <c r="J674" s="31" t="s">
        <v>2328</v>
      </c>
      <c r="K674" s="31" t="s">
        <v>381</v>
      </c>
      <c r="L674" s="30" t="s">
        <v>2232</v>
      </c>
      <c r="M674" s="31" t="s">
        <v>2328</v>
      </c>
      <c r="N674" s="30"/>
    </row>
    <row r="675" spans="1:14" ht="75" x14ac:dyDescent="0.25">
      <c r="A675" s="31" t="s">
        <v>2986</v>
      </c>
      <c r="B675" s="32" t="s">
        <v>1529</v>
      </c>
      <c r="C675" s="31" t="b">
        <v>0</v>
      </c>
      <c r="D675" s="31">
        <v>4</v>
      </c>
      <c r="E675" s="35" t="s">
        <v>1531</v>
      </c>
      <c r="F675" s="31" t="s">
        <v>131</v>
      </c>
      <c r="G675" s="31" t="s">
        <v>3665</v>
      </c>
      <c r="H675" s="31" t="s">
        <v>3666</v>
      </c>
      <c r="I675" s="37" t="s">
        <v>3667</v>
      </c>
      <c r="J675" s="31" t="s">
        <v>2328</v>
      </c>
      <c r="K675" s="31" t="s">
        <v>381</v>
      </c>
      <c r="L675" s="30" t="s">
        <v>2232</v>
      </c>
      <c r="M675" s="31" t="s">
        <v>2328</v>
      </c>
      <c r="N675" s="30"/>
    </row>
    <row r="676" spans="1:14" ht="45" x14ac:dyDescent="0.25">
      <c r="A676" s="31" t="s">
        <v>2328</v>
      </c>
      <c r="B676" s="32" t="s">
        <v>1532</v>
      </c>
      <c r="C676" s="31" t="b">
        <v>1</v>
      </c>
      <c r="D676" s="31">
        <v>2</v>
      </c>
      <c r="E676" s="34" t="s">
        <v>2433</v>
      </c>
      <c r="F676" s="31" t="s">
        <v>3443</v>
      </c>
      <c r="G676" s="31" t="s">
        <v>3665</v>
      </c>
      <c r="H676" s="31" t="s">
        <v>3666</v>
      </c>
      <c r="I676" s="37" t="s">
        <v>3667</v>
      </c>
      <c r="J676" s="31" t="s">
        <v>2328</v>
      </c>
      <c r="K676" s="31" t="s">
        <v>381</v>
      </c>
      <c r="L676" s="30" t="s">
        <v>2232</v>
      </c>
      <c r="M676" s="31" t="s">
        <v>2328</v>
      </c>
      <c r="N676" s="30"/>
    </row>
    <row r="677" spans="1:14" ht="45" x14ac:dyDescent="0.25">
      <c r="A677" s="31" t="s">
        <v>2987</v>
      </c>
      <c r="B677" s="32" t="s">
        <v>1534</v>
      </c>
      <c r="C677" s="31" t="b">
        <v>0</v>
      </c>
      <c r="D677" s="31">
        <v>4</v>
      </c>
      <c r="E677" s="35" t="s">
        <v>15</v>
      </c>
      <c r="F677" s="31" t="s">
        <v>131</v>
      </c>
      <c r="G677" s="31" t="s">
        <v>3665</v>
      </c>
      <c r="H677" s="31" t="s">
        <v>3666</v>
      </c>
      <c r="I677" s="37" t="s">
        <v>3667</v>
      </c>
      <c r="J677" s="31" t="s">
        <v>2328</v>
      </c>
      <c r="K677" s="31" t="s">
        <v>381</v>
      </c>
      <c r="L677" s="30" t="s">
        <v>2232</v>
      </c>
      <c r="M677" s="31" t="s">
        <v>2328</v>
      </c>
      <c r="N677" s="30"/>
    </row>
    <row r="678" spans="1:14" ht="45" x14ac:dyDescent="0.25">
      <c r="A678" s="31" t="s">
        <v>2988</v>
      </c>
      <c r="B678" s="32" t="s">
        <v>1542</v>
      </c>
      <c r="C678" s="31" t="b">
        <v>0</v>
      </c>
      <c r="D678" s="31">
        <v>4</v>
      </c>
      <c r="E678" s="35" t="s">
        <v>2278</v>
      </c>
      <c r="F678" s="31" t="s">
        <v>131</v>
      </c>
      <c r="G678" s="31" t="s">
        <v>3665</v>
      </c>
      <c r="H678" s="31" t="s">
        <v>3666</v>
      </c>
      <c r="I678" s="37" t="s">
        <v>3667</v>
      </c>
      <c r="J678" s="31" t="s">
        <v>2328</v>
      </c>
      <c r="K678" s="31" t="s">
        <v>381</v>
      </c>
      <c r="L678" s="30" t="s">
        <v>2232</v>
      </c>
      <c r="M678" s="31" t="s">
        <v>2328</v>
      </c>
      <c r="N678" s="30"/>
    </row>
    <row r="679" spans="1:14" ht="45" x14ac:dyDescent="0.25">
      <c r="A679" s="31" t="s">
        <v>2994</v>
      </c>
      <c r="B679" s="32" t="s">
        <v>1562</v>
      </c>
      <c r="C679" s="31" t="b">
        <v>0</v>
      </c>
      <c r="D679" s="31">
        <v>4</v>
      </c>
      <c r="E679" s="35" t="s">
        <v>14</v>
      </c>
      <c r="F679" s="31" t="s">
        <v>131</v>
      </c>
      <c r="G679" s="31" t="s">
        <v>3665</v>
      </c>
      <c r="H679" s="31" t="s">
        <v>3666</v>
      </c>
      <c r="I679" s="37" t="s">
        <v>3667</v>
      </c>
      <c r="J679" s="31" t="s">
        <v>2328</v>
      </c>
      <c r="K679" s="31" t="s">
        <v>381</v>
      </c>
      <c r="L679" s="30" t="s">
        <v>2232</v>
      </c>
      <c r="M679" s="31" t="s">
        <v>2328</v>
      </c>
      <c r="N679" s="30"/>
    </row>
    <row r="680" spans="1:14" ht="45" x14ac:dyDescent="0.25">
      <c r="A680" s="31" t="s">
        <v>2989</v>
      </c>
      <c r="B680" s="32" t="s">
        <v>1550</v>
      </c>
      <c r="C680" s="31" t="b">
        <v>1</v>
      </c>
      <c r="D680" s="31">
        <v>2</v>
      </c>
      <c r="E680" s="34" t="s">
        <v>3549</v>
      </c>
      <c r="F680" s="31" t="s">
        <v>3443</v>
      </c>
      <c r="G680" s="31" t="s">
        <v>3665</v>
      </c>
      <c r="H680" s="31" t="s">
        <v>3666</v>
      </c>
      <c r="I680" s="37" t="s">
        <v>3667</v>
      </c>
      <c r="J680" s="31" t="s">
        <v>2328</v>
      </c>
      <c r="K680" s="31" t="s">
        <v>381</v>
      </c>
      <c r="L680" s="30" t="s">
        <v>2232</v>
      </c>
      <c r="M680" s="31" t="s">
        <v>2328</v>
      </c>
      <c r="N680" s="30"/>
    </row>
    <row r="681" spans="1:14" ht="45" x14ac:dyDescent="0.25">
      <c r="A681" s="31" t="s">
        <v>2990</v>
      </c>
      <c r="B681" s="32" t="s">
        <v>1551</v>
      </c>
      <c r="C681" s="31" t="b">
        <v>0</v>
      </c>
      <c r="D681" s="31">
        <v>4</v>
      </c>
      <c r="E681" s="35" t="s">
        <v>13</v>
      </c>
      <c r="F681" s="31" t="s">
        <v>131</v>
      </c>
      <c r="G681" s="31" t="s">
        <v>3665</v>
      </c>
      <c r="H681" s="31" t="s">
        <v>3666</v>
      </c>
      <c r="I681" s="37" t="s">
        <v>3667</v>
      </c>
      <c r="J681" s="31" t="s">
        <v>2328</v>
      </c>
      <c r="K681" s="31" t="s">
        <v>381</v>
      </c>
      <c r="L681" s="30" t="s">
        <v>2232</v>
      </c>
      <c r="M681" s="31" t="s">
        <v>2328</v>
      </c>
      <c r="N681" s="30"/>
    </row>
    <row r="682" spans="1:14" ht="45" x14ac:dyDescent="0.25">
      <c r="A682" s="31" t="s">
        <v>2991</v>
      </c>
      <c r="B682" s="32" t="s">
        <v>1553</v>
      </c>
      <c r="C682" s="31" t="b">
        <v>0</v>
      </c>
      <c r="D682" s="31">
        <v>4</v>
      </c>
      <c r="E682" s="35" t="s">
        <v>12</v>
      </c>
      <c r="F682" s="31" t="s">
        <v>131</v>
      </c>
      <c r="G682" s="31" t="s">
        <v>3665</v>
      </c>
      <c r="H682" s="31" t="s">
        <v>3666</v>
      </c>
      <c r="I682" s="37" t="s">
        <v>3667</v>
      </c>
      <c r="J682" s="31" t="s">
        <v>2328</v>
      </c>
      <c r="K682" s="31" t="s">
        <v>381</v>
      </c>
      <c r="L682" s="30" t="s">
        <v>2232</v>
      </c>
      <c r="M682" s="31" t="s">
        <v>2328</v>
      </c>
      <c r="N682" s="30"/>
    </row>
    <row r="683" spans="1:14" ht="45" x14ac:dyDescent="0.25">
      <c r="A683" s="31" t="s">
        <v>2992</v>
      </c>
      <c r="B683" s="32" t="s">
        <v>1555</v>
      </c>
      <c r="C683" s="31" t="b">
        <v>0</v>
      </c>
      <c r="D683" s="31">
        <v>4</v>
      </c>
      <c r="E683" s="35" t="s">
        <v>1557</v>
      </c>
      <c r="F683" s="31" t="s">
        <v>131</v>
      </c>
      <c r="G683" s="31" t="s">
        <v>3665</v>
      </c>
      <c r="H683" s="31" t="s">
        <v>3666</v>
      </c>
      <c r="I683" s="37" t="s">
        <v>3667</v>
      </c>
      <c r="J683" s="31" t="s">
        <v>2328</v>
      </c>
      <c r="K683" s="31" t="s">
        <v>381</v>
      </c>
      <c r="L683" s="30" t="s">
        <v>2232</v>
      </c>
      <c r="M683" s="31" t="s">
        <v>2328</v>
      </c>
      <c r="N683" s="30"/>
    </row>
    <row r="684" spans="1:14" ht="45" x14ac:dyDescent="0.25">
      <c r="A684" s="31" t="s">
        <v>2993</v>
      </c>
      <c r="B684" s="32" t="s">
        <v>1558</v>
      </c>
      <c r="C684" s="31" t="b">
        <v>0</v>
      </c>
      <c r="D684" s="31">
        <v>4</v>
      </c>
      <c r="E684" s="35" t="s">
        <v>2279</v>
      </c>
      <c r="F684" s="31" t="s">
        <v>131</v>
      </c>
      <c r="G684" s="31" t="s">
        <v>3665</v>
      </c>
      <c r="H684" s="31" t="s">
        <v>3666</v>
      </c>
      <c r="I684" s="37" t="s">
        <v>3667</v>
      </c>
      <c r="J684" s="31" t="s">
        <v>2328</v>
      </c>
      <c r="K684" s="31" t="s">
        <v>381</v>
      </c>
      <c r="L684" s="30" t="s">
        <v>2232</v>
      </c>
      <c r="M684" s="31" t="s">
        <v>2328</v>
      </c>
      <c r="N684" s="30"/>
    </row>
    <row r="685" spans="1:14" ht="45" x14ac:dyDescent="0.25">
      <c r="A685" s="31" t="s">
        <v>2989</v>
      </c>
      <c r="B685" s="32" t="s">
        <v>1560</v>
      </c>
      <c r="C685" s="31" t="b">
        <v>1</v>
      </c>
      <c r="D685" s="31">
        <v>2</v>
      </c>
      <c r="E685" s="34" t="s">
        <v>2434</v>
      </c>
      <c r="F685" s="31" t="s">
        <v>3443</v>
      </c>
      <c r="G685" s="31" t="s">
        <v>3665</v>
      </c>
      <c r="H685" s="31" t="s">
        <v>3666</v>
      </c>
      <c r="I685" s="37" t="s">
        <v>3667</v>
      </c>
      <c r="J685" s="31" t="s">
        <v>2328</v>
      </c>
      <c r="K685" s="31" t="s">
        <v>381</v>
      </c>
      <c r="L685" s="30" t="s">
        <v>2232</v>
      </c>
      <c r="M685" s="31" t="s">
        <v>2328</v>
      </c>
      <c r="N685" s="30"/>
    </row>
    <row r="686" spans="1:14" ht="45" x14ac:dyDescent="0.25">
      <c r="A686" s="31" t="s">
        <v>2995</v>
      </c>
      <c r="B686" s="32" t="s">
        <v>1564</v>
      </c>
      <c r="C686" s="31" t="b">
        <v>0</v>
      </c>
      <c r="D686" s="31">
        <v>4</v>
      </c>
      <c r="E686" s="35" t="s">
        <v>1566</v>
      </c>
      <c r="F686" s="31" t="s">
        <v>131</v>
      </c>
      <c r="G686" s="31" t="s">
        <v>3665</v>
      </c>
      <c r="H686" s="31" t="s">
        <v>3666</v>
      </c>
      <c r="I686" s="37" t="s">
        <v>3667</v>
      </c>
      <c r="J686" s="31" t="s">
        <v>2328</v>
      </c>
      <c r="K686" s="31" t="s">
        <v>381</v>
      </c>
      <c r="L686" s="30" t="s">
        <v>2232</v>
      </c>
      <c r="M686" s="31" t="s">
        <v>2328</v>
      </c>
      <c r="N686" s="30"/>
    </row>
    <row r="687" spans="1:14" ht="45" x14ac:dyDescent="0.25">
      <c r="A687" s="31" t="s">
        <v>2996</v>
      </c>
      <c r="B687" s="32" t="s">
        <v>1567</v>
      </c>
      <c r="C687" s="31" t="b">
        <v>0</v>
      </c>
      <c r="D687" s="31">
        <v>4</v>
      </c>
      <c r="E687" s="35" t="s">
        <v>9</v>
      </c>
      <c r="F687" s="31" t="s">
        <v>131</v>
      </c>
      <c r="G687" s="31" t="s">
        <v>3665</v>
      </c>
      <c r="H687" s="31" t="s">
        <v>3666</v>
      </c>
      <c r="I687" s="37" t="s">
        <v>3667</v>
      </c>
      <c r="J687" s="31" t="s">
        <v>2328</v>
      </c>
      <c r="K687" s="31" t="s">
        <v>381</v>
      </c>
      <c r="L687" s="30" t="s">
        <v>2232</v>
      </c>
      <c r="M687" s="31" t="s">
        <v>2328</v>
      </c>
      <c r="N687" s="30"/>
    </row>
    <row r="688" spans="1:14" ht="45" x14ac:dyDescent="0.25">
      <c r="A688" s="31" t="s">
        <v>2997</v>
      </c>
      <c r="B688" s="32" t="s">
        <v>1569</v>
      </c>
      <c r="C688" s="31" t="b">
        <v>0</v>
      </c>
      <c r="D688" s="31">
        <v>4</v>
      </c>
      <c r="E688" s="35" t="s">
        <v>1571</v>
      </c>
      <c r="F688" s="31" t="s">
        <v>131</v>
      </c>
      <c r="G688" s="31" t="s">
        <v>3665</v>
      </c>
      <c r="H688" s="31" t="s">
        <v>3666</v>
      </c>
      <c r="I688" s="37" t="s">
        <v>3667</v>
      </c>
      <c r="J688" s="31" t="s">
        <v>2328</v>
      </c>
      <c r="K688" s="31" t="s">
        <v>381</v>
      </c>
      <c r="L688" s="30" t="s">
        <v>2232</v>
      </c>
      <c r="M688" s="31" t="s">
        <v>2328</v>
      </c>
      <c r="N688" s="30"/>
    </row>
    <row r="689" spans="1:18" ht="45" x14ac:dyDescent="0.25">
      <c r="A689" s="31" t="s">
        <v>2987</v>
      </c>
      <c r="B689" s="32" t="s">
        <v>1536</v>
      </c>
      <c r="C689" s="31" t="b">
        <v>0</v>
      </c>
      <c r="D689" s="31">
        <v>4</v>
      </c>
      <c r="E689" s="35" t="s">
        <v>1538</v>
      </c>
      <c r="F689" s="31" t="s">
        <v>131</v>
      </c>
      <c r="G689" s="31" t="s">
        <v>3665</v>
      </c>
      <c r="H689" s="31" t="s">
        <v>3666</v>
      </c>
      <c r="I689" s="37" t="s">
        <v>3667</v>
      </c>
      <c r="J689" s="31" t="s">
        <v>2328</v>
      </c>
      <c r="K689" s="31" t="s">
        <v>381</v>
      </c>
      <c r="L689" s="30" t="s">
        <v>2232</v>
      </c>
      <c r="M689" s="31" t="s">
        <v>2328</v>
      </c>
      <c r="N689" s="30"/>
    </row>
    <row r="690" spans="1:18" ht="45" x14ac:dyDescent="0.25">
      <c r="A690" s="31" t="s">
        <v>2987</v>
      </c>
      <c r="B690" s="32" t="s">
        <v>1539</v>
      </c>
      <c r="C690" s="31" t="b">
        <v>0</v>
      </c>
      <c r="D690" s="31">
        <v>4</v>
      </c>
      <c r="E690" s="35" t="s">
        <v>1541</v>
      </c>
      <c r="F690" s="31" t="s">
        <v>131</v>
      </c>
      <c r="G690" s="31" t="s">
        <v>3665</v>
      </c>
      <c r="H690" s="31" t="s">
        <v>3666</v>
      </c>
      <c r="I690" s="37" t="s">
        <v>3667</v>
      </c>
      <c r="J690" s="31" t="s">
        <v>2328</v>
      </c>
      <c r="K690" s="31" t="s">
        <v>381</v>
      </c>
      <c r="L690" s="30" t="s">
        <v>2232</v>
      </c>
      <c r="M690" s="31" t="s">
        <v>2328</v>
      </c>
      <c r="N690" s="30"/>
    </row>
    <row r="691" spans="1:18" ht="45" x14ac:dyDescent="0.25">
      <c r="A691" s="31" t="s">
        <v>2328</v>
      </c>
      <c r="B691" s="32" t="s">
        <v>1572</v>
      </c>
      <c r="C691" s="31" t="b">
        <v>1</v>
      </c>
      <c r="D691" s="31">
        <v>2</v>
      </c>
      <c r="E691" s="34" t="s">
        <v>2435</v>
      </c>
      <c r="F691" s="31" t="s">
        <v>3443</v>
      </c>
      <c r="G691" s="31" t="s">
        <v>3665</v>
      </c>
      <c r="H691" s="31" t="s">
        <v>3666</v>
      </c>
      <c r="I691" s="37" t="s">
        <v>3667</v>
      </c>
      <c r="J691" s="31" t="s">
        <v>2328</v>
      </c>
      <c r="K691" s="31" t="s">
        <v>381</v>
      </c>
      <c r="L691" s="30" t="s">
        <v>2232</v>
      </c>
      <c r="M691" s="31" t="s">
        <v>2328</v>
      </c>
      <c r="N691" s="30"/>
    </row>
    <row r="692" spans="1:18" ht="45" x14ac:dyDescent="0.25">
      <c r="A692" s="31" t="s">
        <v>2998</v>
      </c>
      <c r="B692" s="32" t="s">
        <v>1574</v>
      </c>
      <c r="C692" s="31" t="b">
        <v>0</v>
      </c>
      <c r="D692" s="31">
        <v>4</v>
      </c>
      <c r="E692" s="35" t="s">
        <v>1576</v>
      </c>
      <c r="F692" s="31" t="s">
        <v>131</v>
      </c>
      <c r="G692" s="31" t="s">
        <v>3665</v>
      </c>
      <c r="H692" s="31" t="s">
        <v>3666</v>
      </c>
      <c r="I692" s="37" t="s">
        <v>3667</v>
      </c>
      <c r="J692" s="31" t="s">
        <v>2328</v>
      </c>
      <c r="K692" s="31" t="s">
        <v>381</v>
      </c>
      <c r="L692" s="30" t="s">
        <v>2232</v>
      </c>
      <c r="M692" s="31" t="s">
        <v>2328</v>
      </c>
      <c r="N692" s="30"/>
    </row>
    <row r="693" spans="1:18" ht="45" x14ac:dyDescent="0.25">
      <c r="A693" s="31" t="s">
        <v>2999</v>
      </c>
      <c r="B693" s="32" t="s">
        <v>1577</v>
      </c>
      <c r="C693" s="31" t="b">
        <v>0</v>
      </c>
      <c r="D693" s="31">
        <v>4</v>
      </c>
      <c r="E693" s="35" t="s">
        <v>1579</v>
      </c>
      <c r="F693" s="31" t="s">
        <v>131</v>
      </c>
      <c r="G693" s="31" t="s">
        <v>3665</v>
      </c>
      <c r="H693" s="31" t="s">
        <v>3666</v>
      </c>
      <c r="I693" s="37" t="s">
        <v>3667</v>
      </c>
      <c r="J693" s="31" t="s">
        <v>2328</v>
      </c>
      <c r="K693" s="31" t="s">
        <v>381</v>
      </c>
      <c r="L693" s="30" t="s">
        <v>2232</v>
      </c>
      <c r="M693" s="31" t="s">
        <v>2328</v>
      </c>
      <c r="N693" s="30"/>
    </row>
    <row r="694" spans="1:18" ht="45" x14ac:dyDescent="0.25">
      <c r="A694" s="31" t="s">
        <v>3000</v>
      </c>
      <c r="B694" s="32" t="s">
        <v>1580</v>
      </c>
      <c r="C694" s="31" t="b">
        <v>0</v>
      </c>
      <c r="D694" s="31">
        <v>4</v>
      </c>
      <c r="E694" s="35" t="s">
        <v>1582</v>
      </c>
      <c r="F694" s="31" t="s">
        <v>131</v>
      </c>
      <c r="G694" s="31" t="s">
        <v>3665</v>
      </c>
      <c r="H694" s="31" t="s">
        <v>3666</v>
      </c>
      <c r="I694" s="37" t="s">
        <v>3667</v>
      </c>
      <c r="J694" s="31" t="s">
        <v>2328</v>
      </c>
      <c r="K694" s="31" t="s">
        <v>381</v>
      </c>
      <c r="L694" s="30" t="s">
        <v>2232</v>
      </c>
      <c r="M694" s="31" t="s">
        <v>2328</v>
      </c>
      <c r="N694" s="30"/>
      <c r="R694" s="9"/>
    </row>
    <row r="695" spans="1:18" ht="45" x14ac:dyDescent="0.25">
      <c r="A695" s="31" t="s">
        <v>3001</v>
      </c>
      <c r="B695" s="32" t="s">
        <v>1583</v>
      </c>
      <c r="C695" s="31" t="b">
        <v>0</v>
      </c>
      <c r="D695" s="31">
        <v>4</v>
      </c>
      <c r="E695" s="35" t="s">
        <v>1585</v>
      </c>
      <c r="F695" s="31" t="s">
        <v>131</v>
      </c>
      <c r="G695" s="31" t="s">
        <v>3665</v>
      </c>
      <c r="H695" s="31" t="s">
        <v>3666</v>
      </c>
      <c r="I695" s="37" t="s">
        <v>3667</v>
      </c>
      <c r="J695" s="31" t="s">
        <v>2328</v>
      </c>
      <c r="K695" s="31" t="s">
        <v>381</v>
      </c>
      <c r="L695" s="30" t="s">
        <v>2232</v>
      </c>
      <c r="M695" s="31" t="s">
        <v>2328</v>
      </c>
      <c r="N695" s="30"/>
    </row>
    <row r="696" spans="1:18" ht="45" x14ac:dyDescent="0.25">
      <c r="A696" s="31" t="s">
        <v>2328</v>
      </c>
      <c r="B696" s="32" t="s">
        <v>1392</v>
      </c>
      <c r="C696" s="31" t="b">
        <v>0</v>
      </c>
      <c r="D696" s="31">
        <v>6</v>
      </c>
      <c r="E696" s="38" t="s">
        <v>3424</v>
      </c>
      <c r="F696" s="31" t="s">
        <v>131</v>
      </c>
      <c r="G696" s="31" t="s">
        <v>3665</v>
      </c>
      <c r="H696" s="31" t="s">
        <v>3666</v>
      </c>
      <c r="I696" s="37" t="s">
        <v>3667</v>
      </c>
      <c r="J696" s="31" t="s">
        <v>2328</v>
      </c>
      <c r="K696" s="31" t="s">
        <v>124</v>
      </c>
      <c r="L696" s="30" t="s">
        <v>2232</v>
      </c>
      <c r="M696" s="31" t="s">
        <v>2328</v>
      </c>
      <c r="N696" s="30"/>
    </row>
    <row r="697" spans="1:18" ht="45" x14ac:dyDescent="0.25">
      <c r="A697" s="31" t="s">
        <v>2328</v>
      </c>
      <c r="B697" s="32" t="s">
        <v>1394</v>
      </c>
      <c r="C697" s="31" t="b">
        <v>0</v>
      </c>
      <c r="D697" s="31">
        <v>6</v>
      </c>
      <c r="E697" s="38" t="s">
        <v>1395</v>
      </c>
      <c r="F697" s="31" t="s">
        <v>131</v>
      </c>
      <c r="G697" s="31" t="s">
        <v>3665</v>
      </c>
      <c r="H697" s="31" t="s">
        <v>3666</v>
      </c>
      <c r="I697" s="37" t="s">
        <v>3667</v>
      </c>
      <c r="J697" s="31" t="s">
        <v>2328</v>
      </c>
      <c r="K697" s="31" t="s">
        <v>124</v>
      </c>
      <c r="L697" s="30" t="s">
        <v>2232</v>
      </c>
      <c r="M697" s="31" t="s">
        <v>2328</v>
      </c>
      <c r="N697" s="30"/>
    </row>
    <row r="698" spans="1:18" ht="45" x14ac:dyDescent="0.25">
      <c r="A698" s="31" t="s">
        <v>2328</v>
      </c>
      <c r="B698" s="32" t="s">
        <v>1396</v>
      </c>
      <c r="C698" s="31" t="b">
        <v>0</v>
      </c>
      <c r="D698" s="31">
        <v>6</v>
      </c>
      <c r="E698" s="38" t="s">
        <v>1397</v>
      </c>
      <c r="F698" s="31" t="s">
        <v>131</v>
      </c>
      <c r="G698" s="31" t="s">
        <v>3665</v>
      </c>
      <c r="H698" s="31" t="s">
        <v>3666</v>
      </c>
      <c r="I698" s="37" t="s">
        <v>3667</v>
      </c>
      <c r="J698" s="31" t="s">
        <v>2328</v>
      </c>
      <c r="K698" s="31" t="s">
        <v>124</v>
      </c>
      <c r="L698" s="30" t="s">
        <v>2232</v>
      </c>
      <c r="M698" s="31" t="s">
        <v>2328</v>
      </c>
      <c r="N698" s="30"/>
    </row>
    <row r="699" spans="1:18" ht="45" x14ac:dyDescent="0.25">
      <c r="A699" s="31" t="s">
        <v>2328</v>
      </c>
      <c r="B699" s="32" t="s">
        <v>1398</v>
      </c>
      <c r="C699" s="31" t="b">
        <v>0</v>
      </c>
      <c r="D699" s="31">
        <v>6</v>
      </c>
      <c r="E699" s="38" t="s">
        <v>3430</v>
      </c>
      <c r="F699" s="31" t="s">
        <v>131</v>
      </c>
      <c r="G699" s="31" t="s">
        <v>3665</v>
      </c>
      <c r="H699" s="31" t="s">
        <v>3666</v>
      </c>
      <c r="I699" s="37" t="s">
        <v>3667</v>
      </c>
      <c r="J699" s="31" t="s">
        <v>2328</v>
      </c>
      <c r="K699" s="31" t="s">
        <v>124</v>
      </c>
      <c r="L699" s="30" t="s">
        <v>2232</v>
      </c>
      <c r="M699" s="31" t="s">
        <v>2328</v>
      </c>
      <c r="N699" s="30"/>
    </row>
    <row r="700" spans="1:18" ht="45" x14ac:dyDescent="0.25">
      <c r="A700" s="31" t="s">
        <v>2328</v>
      </c>
      <c r="B700" s="32" t="s">
        <v>1399</v>
      </c>
      <c r="C700" s="31" t="b">
        <v>0</v>
      </c>
      <c r="D700" s="31">
        <v>6</v>
      </c>
      <c r="E700" s="38" t="s">
        <v>3432</v>
      </c>
      <c r="F700" s="31" t="s">
        <v>131</v>
      </c>
      <c r="G700" s="31" t="s">
        <v>3665</v>
      </c>
      <c r="H700" s="31" t="s">
        <v>3666</v>
      </c>
      <c r="I700" s="37" t="s">
        <v>3667</v>
      </c>
      <c r="J700" s="31" t="s">
        <v>2328</v>
      </c>
      <c r="K700" s="31" t="s">
        <v>124</v>
      </c>
      <c r="L700" s="30" t="s">
        <v>2232</v>
      </c>
      <c r="M700" s="31" t="s">
        <v>2328</v>
      </c>
      <c r="N700" s="30"/>
    </row>
    <row r="701" spans="1:18" ht="45" x14ac:dyDescent="0.25">
      <c r="A701" s="31" t="s">
        <v>2328</v>
      </c>
      <c r="B701" s="32" t="s">
        <v>2248</v>
      </c>
      <c r="C701" s="31" t="b">
        <v>1</v>
      </c>
      <c r="D701" s="31">
        <v>4</v>
      </c>
      <c r="E701" s="35" t="s">
        <v>3344</v>
      </c>
      <c r="F701" s="31" t="s">
        <v>3443</v>
      </c>
      <c r="G701" s="31" t="s">
        <v>3665</v>
      </c>
      <c r="H701" s="31" t="s">
        <v>3666</v>
      </c>
      <c r="I701" s="37" t="s">
        <v>3667</v>
      </c>
      <c r="J701" s="31" t="s">
        <v>2328</v>
      </c>
      <c r="K701" s="31" t="s">
        <v>309</v>
      </c>
      <c r="L701" s="30" t="s">
        <v>2232</v>
      </c>
      <c r="M701" s="31" t="s">
        <v>2328</v>
      </c>
      <c r="N701" s="30"/>
      <c r="R701" s="9"/>
    </row>
    <row r="702" spans="1:18" ht="45" x14ac:dyDescent="0.25">
      <c r="A702" s="31" t="s">
        <v>2328</v>
      </c>
      <c r="B702" s="32" t="s">
        <v>1511</v>
      </c>
      <c r="C702" s="31" t="b">
        <v>0</v>
      </c>
      <c r="D702" s="31">
        <v>4</v>
      </c>
      <c r="E702" s="35" t="s">
        <v>1513</v>
      </c>
      <c r="F702" s="31" t="s">
        <v>131</v>
      </c>
      <c r="G702" s="31" t="s">
        <v>3665</v>
      </c>
      <c r="H702" s="31" t="s">
        <v>3666</v>
      </c>
      <c r="I702" s="37" t="s">
        <v>3667</v>
      </c>
      <c r="J702" s="31" t="s">
        <v>2328</v>
      </c>
      <c r="K702" s="31" t="s">
        <v>381</v>
      </c>
      <c r="L702" s="30" t="s">
        <v>2232</v>
      </c>
      <c r="M702" s="31" t="s">
        <v>2328</v>
      </c>
      <c r="N702" s="30"/>
      <c r="R702" s="9"/>
    </row>
    <row r="703" spans="1:18" ht="105" x14ac:dyDescent="0.25">
      <c r="A703" s="31" t="s">
        <v>2328</v>
      </c>
      <c r="B703" s="32" t="s">
        <v>1517</v>
      </c>
      <c r="C703" s="31" t="b">
        <v>0</v>
      </c>
      <c r="D703" s="31">
        <v>4</v>
      </c>
      <c r="E703" s="35" t="s">
        <v>2277</v>
      </c>
      <c r="F703" s="31" t="s">
        <v>139</v>
      </c>
      <c r="G703" s="31" t="s">
        <v>3665</v>
      </c>
      <c r="H703" s="31" t="s">
        <v>3666</v>
      </c>
      <c r="I703" s="37" t="s">
        <v>3667</v>
      </c>
      <c r="J703" s="31" t="s">
        <v>2328</v>
      </c>
      <c r="K703" s="31" t="s">
        <v>381</v>
      </c>
      <c r="L703" s="30" t="s">
        <v>2232</v>
      </c>
      <c r="M703" s="31" t="s">
        <v>2328</v>
      </c>
      <c r="N703" s="30"/>
      <c r="R703" s="9"/>
    </row>
    <row r="704" spans="1:18" ht="45" x14ac:dyDescent="0.25">
      <c r="A704" s="31" t="s">
        <v>2328</v>
      </c>
      <c r="B704" s="32" t="s">
        <v>996</v>
      </c>
      <c r="C704" s="31" t="b">
        <v>1</v>
      </c>
      <c r="D704" s="31">
        <v>0</v>
      </c>
      <c r="E704" s="33" t="s">
        <v>2346</v>
      </c>
      <c r="F704" s="31" t="s">
        <v>3443</v>
      </c>
      <c r="G704" s="31" t="s">
        <v>3665</v>
      </c>
      <c r="H704" s="31" t="s">
        <v>3666</v>
      </c>
      <c r="I704" s="37" t="s">
        <v>3667</v>
      </c>
      <c r="J704" s="31" t="s">
        <v>2328</v>
      </c>
      <c r="K704" s="31" t="s">
        <v>294</v>
      </c>
      <c r="L704" s="30" t="s">
        <v>2232</v>
      </c>
      <c r="M704" s="31" t="s">
        <v>2328</v>
      </c>
      <c r="N704" s="30"/>
    </row>
    <row r="705" spans="1:18" ht="45" x14ac:dyDescent="0.25">
      <c r="A705" s="31" t="s">
        <v>2328</v>
      </c>
      <c r="B705" s="32" t="s">
        <v>997</v>
      </c>
      <c r="C705" s="31" t="b">
        <v>0</v>
      </c>
      <c r="D705" s="31">
        <v>2</v>
      </c>
      <c r="E705" s="34" t="s">
        <v>998</v>
      </c>
      <c r="F705" s="31" t="s">
        <v>131</v>
      </c>
      <c r="G705" s="31" t="s">
        <v>3665</v>
      </c>
      <c r="H705" s="31" t="s">
        <v>3666</v>
      </c>
      <c r="I705" s="37" t="s">
        <v>3667</v>
      </c>
      <c r="J705" s="31" t="s">
        <v>2328</v>
      </c>
      <c r="K705" s="31" t="s">
        <v>294</v>
      </c>
      <c r="L705" s="30" t="s">
        <v>2232</v>
      </c>
      <c r="M705" s="31" t="s">
        <v>2328</v>
      </c>
      <c r="N705" s="30"/>
    </row>
    <row r="706" spans="1:18" ht="45" x14ac:dyDescent="0.25">
      <c r="A706" s="31" t="s">
        <v>2328</v>
      </c>
      <c r="B706" s="32" t="s">
        <v>999</v>
      </c>
      <c r="C706" s="31" t="b">
        <v>0</v>
      </c>
      <c r="D706" s="31">
        <v>2</v>
      </c>
      <c r="E706" s="34" t="s">
        <v>1000</v>
      </c>
      <c r="F706" s="31" t="s">
        <v>131</v>
      </c>
      <c r="G706" s="31" t="s">
        <v>3665</v>
      </c>
      <c r="H706" s="31" t="s">
        <v>3666</v>
      </c>
      <c r="I706" s="37" t="s">
        <v>3667</v>
      </c>
      <c r="J706" s="31" t="s">
        <v>2328</v>
      </c>
      <c r="K706" s="31" t="s">
        <v>296</v>
      </c>
      <c r="L706" s="30" t="s">
        <v>2232</v>
      </c>
      <c r="M706" s="31" t="s">
        <v>2328</v>
      </c>
      <c r="N706" s="30"/>
    </row>
    <row r="707" spans="1:18" ht="45" x14ac:dyDescent="0.25">
      <c r="A707" s="31" t="s">
        <v>2328</v>
      </c>
      <c r="B707" s="32" t="s">
        <v>1001</v>
      </c>
      <c r="C707" s="31" t="b">
        <v>0</v>
      </c>
      <c r="D707" s="31">
        <v>2</v>
      </c>
      <c r="E707" s="34" t="s">
        <v>1003</v>
      </c>
      <c r="F707" s="31" t="s">
        <v>131</v>
      </c>
      <c r="G707" s="31" t="s">
        <v>3665</v>
      </c>
      <c r="H707" s="31" t="s">
        <v>3666</v>
      </c>
      <c r="I707" s="37" t="s">
        <v>3667</v>
      </c>
      <c r="J707" s="31" t="s">
        <v>2328</v>
      </c>
      <c r="K707" s="31" t="s">
        <v>296</v>
      </c>
      <c r="L707" s="30" t="s">
        <v>2232</v>
      </c>
      <c r="M707" s="31" t="s">
        <v>2328</v>
      </c>
      <c r="N707" s="30"/>
      <c r="R707" s="9"/>
    </row>
    <row r="708" spans="1:18" x14ac:dyDescent="0.25">
      <c r="A708" s="31" t="s">
        <v>2328</v>
      </c>
      <c r="B708" s="32" t="s">
        <v>2173</v>
      </c>
      <c r="C708" s="31" t="b">
        <v>1</v>
      </c>
      <c r="D708" s="31">
        <v>2</v>
      </c>
      <c r="E708" s="34" t="s">
        <v>3382</v>
      </c>
      <c r="F708" s="31" t="s">
        <v>3443</v>
      </c>
      <c r="G708" s="31" t="s">
        <v>2328</v>
      </c>
      <c r="H708" s="31" t="s">
        <v>2328</v>
      </c>
      <c r="I708" s="37" t="s">
        <v>2328</v>
      </c>
      <c r="J708" s="31" t="s">
        <v>2328</v>
      </c>
      <c r="K708" s="31" t="s">
        <v>486</v>
      </c>
      <c r="L708" s="30" t="s">
        <v>2265</v>
      </c>
      <c r="M708" s="31" t="s">
        <v>2328</v>
      </c>
      <c r="N708" s="30"/>
    </row>
    <row r="709" spans="1:18" ht="30" x14ac:dyDescent="0.25">
      <c r="A709" s="31" t="s">
        <v>2328</v>
      </c>
      <c r="B709" s="32" t="s">
        <v>2175</v>
      </c>
      <c r="C709" s="31" t="b">
        <v>0</v>
      </c>
      <c r="D709" s="31">
        <v>4</v>
      </c>
      <c r="E709" s="35" t="s">
        <v>2176</v>
      </c>
      <c r="F709" s="31" t="s">
        <v>131</v>
      </c>
      <c r="G709" s="31" t="s">
        <v>2328</v>
      </c>
      <c r="H709" s="31" t="s">
        <v>2328</v>
      </c>
      <c r="I709" s="37" t="s">
        <v>2328</v>
      </c>
      <c r="J709" s="31" t="s">
        <v>2328</v>
      </c>
      <c r="K709" s="31" t="s">
        <v>486</v>
      </c>
      <c r="L709" s="30" t="s">
        <v>2265</v>
      </c>
      <c r="M709" s="31" t="s">
        <v>2328</v>
      </c>
      <c r="N709" s="30"/>
    </row>
    <row r="710" spans="1:18" x14ac:dyDescent="0.25">
      <c r="A710" s="31" t="s">
        <v>2328</v>
      </c>
      <c r="B710" s="32" t="s">
        <v>2177</v>
      </c>
      <c r="C710" s="31" t="b">
        <v>0</v>
      </c>
      <c r="D710" s="31">
        <v>4</v>
      </c>
      <c r="E710" s="35" t="s">
        <v>2179</v>
      </c>
      <c r="F710" s="31" t="s">
        <v>131</v>
      </c>
      <c r="G710" s="31" t="s">
        <v>2328</v>
      </c>
      <c r="H710" s="31" t="s">
        <v>2328</v>
      </c>
      <c r="I710" s="37" t="s">
        <v>2328</v>
      </c>
      <c r="J710" s="31" t="s">
        <v>2328</v>
      </c>
      <c r="K710" s="31" t="s">
        <v>486</v>
      </c>
      <c r="L710" s="30" t="s">
        <v>2265</v>
      </c>
      <c r="M710" s="31" t="s">
        <v>2328</v>
      </c>
      <c r="N710" s="30"/>
    </row>
    <row r="711" spans="1:18" ht="30" x14ac:dyDescent="0.25">
      <c r="A711" s="31" t="s">
        <v>2328</v>
      </c>
      <c r="B711" s="32" t="s">
        <v>2180</v>
      </c>
      <c r="C711" s="31" t="b">
        <v>0</v>
      </c>
      <c r="D711" s="31">
        <v>4</v>
      </c>
      <c r="E711" s="35" t="s">
        <v>2182</v>
      </c>
      <c r="F711" s="31" t="s">
        <v>131</v>
      </c>
      <c r="G711" s="31" t="s">
        <v>2328</v>
      </c>
      <c r="H711" s="31" t="s">
        <v>2328</v>
      </c>
      <c r="I711" s="37" t="s">
        <v>2328</v>
      </c>
      <c r="J711" s="31" t="s">
        <v>2328</v>
      </c>
      <c r="K711" s="31" t="s">
        <v>486</v>
      </c>
      <c r="L711" s="30" t="s">
        <v>2265</v>
      </c>
      <c r="M711" s="31" t="s">
        <v>2328</v>
      </c>
      <c r="N711" s="30"/>
    </row>
    <row r="712" spans="1:18" ht="30" x14ac:dyDescent="0.25">
      <c r="A712" s="31" t="s">
        <v>2328</v>
      </c>
      <c r="B712" s="32" t="s">
        <v>2183</v>
      </c>
      <c r="C712" s="31" t="b">
        <v>0</v>
      </c>
      <c r="D712" s="31">
        <v>4</v>
      </c>
      <c r="E712" s="35" t="s">
        <v>2184</v>
      </c>
      <c r="F712" s="31" t="s">
        <v>131</v>
      </c>
      <c r="G712" s="31" t="s">
        <v>2328</v>
      </c>
      <c r="H712" s="31" t="s">
        <v>2328</v>
      </c>
      <c r="I712" s="37" t="s">
        <v>2328</v>
      </c>
      <c r="J712" s="31" t="s">
        <v>2328</v>
      </c>
      <c r="K712" s="31" t="s">
        <v>486</v>
      </c>
      <c r="L712" s="30" t="s">
        <v>2265</v>
      </c>
      <c r="M712" s="31" t="s">
        <v>2328</v>
      </c>
      <c r="N712" s="30"/>
    </row>
    <row r="713" spans="1:18" ht="30" x14ac:dyDescent="0.25">
      <c r="A713" s="31" t="s">
        <v>2328</v>
      </c>
      <c r="B713" s="32" t="s">
        <v>2185</v>
      </c>
      <c r="C713" s="31" t="b">
        <v>0</v>
      </c>
      <c r="D713" s="31">
        <v>4</v>
      </c>
      <c r="E713" s="35" t="s">
        <v>2186</v>
      </c>
      <c r="F713" s="31" t="s">
        <v>131</v>
      </c>
      <c r="G713" s="31" t="s">
        <v>2328</v>
      </c>
      <c r="H713" s="31" t="s">
        <v>2328</v>
      </c>
      <c r="I713" s="37" t="s">
        <v>2328</v>
      </c>
      <c r="J713" s="31" t="s">
        <v>2328</v>
      </c>
      <c r="K713" s="31" t="s">
        <v>486</v>
      </c>
      <c r="L713" s="30" t="s">
        <v>2265</v>
      </c>
      <c r="M713" s="31" t="s">
        <v>2328</v>
      </c>
      <c r="N713" s="30"/>
    </row>
    <row r="714" spans="1:18" ht="30" x14ac:dyDescent="0.25">
      <c r="A714" s="31" t="s">
        <v>2328</v>
      </c>
      <c r="B714" s="32" t="s">
        <v>2187</v>
      </c>
      <c r="C714" s="31" t="b">
        <v>0</v>
      </c>
      <c r="D714" s="31">
        <v>4</v>
      </c>
      <c r="E714" s="35" t="s">
        <v>2188</v>
      </c>
      <c r="F714" s="31" t="s">
        <v>131</v>
      </c>
      <c r="G714" s="31" t="s">
        <v>2328</v>
      </c>
      <c r="H714" s="31" t="s">
        <v>2328</v>
      </c>
      <c r="I714" s="37" t="s">
        <v>2328</v>
      </c>
      <c r="J714" s="31" t="s">
        <v>2328</v>
      </c>
      <c r="K714" s="31" t="s">
        <v>486</v>
      </c>
      <c r="L714" s="30" t="s">
        <v>2265</v>
      </c>
      <c r="M714" s="31" t="s">
        <v>2328</v>
      </c>
      <c r="N714" s="30"/>
    </row>
    <row r="715" spans="1:18" ht="60" x14ac:dyDescent="0.25">
      <c r="A715" s="31" t="s">
        <v>2328</v>
      </c>
      <c r="B715" s="32" t="s">
        <v>2189</v>
      </c>
      <c r="C715" s="31" t="b">
        <v>0</v>
      </c>
      <c r="D715" s="31">
        <v>4</v>
      </c>
      <c r="E715" s="35" t="s">
        <v>2325</v>
      </c>
      <c r="F715" s="31" t="s">
        <v>131</v>
      </c>
      <c r="G715" s="31" t="s">
        <v>2328</v>
      </c>
      <c r="H715" s="31" t="s">
        <v>2328</v>
      </c>
      <c r="I715" s="37" t="s">
        <v>2328</v>
      </c>
      <c r="J715" s="31" t="s">
        <v>2328</v>
      </c>
      <c r="K715" s="31" t="s">
        <v>486</v>
      </c>
      <c r="L715" s="30" t="s">
        <v>2265</v>
      </c>
      <c r="M715" s="31" t="s">
        <v>2328</v>
      </c>
      <c r="N715" s="30"/>
      <c r="R715" s="9"/>
    </row>
    <row r="716" spans="1:18" ht="45" x14ac:dyDescent="0.25">
      <c r="A716" s="31" t="s">
        <v>2988</v>
      </c>
      <c r="B716" s="32" t="s">
        <v>1544</v>
      </c>
      <c r="C716" s="31" t="b">
        <v>0</v>
      </c>
      <c r="D716" s="31">
        <v>4</v>
      </c>
      <c r="E716" s="35" t="s">
        <v>1546</v>
      </c>
      <c r="F716" s="31" t="s">
        <v>131</v>
      </c>
      <c r="G716" s="31" t="s">
        <v>3665</v>
      </c>
      <c r="H716" s="31" t="s">
        <v>3666</v>
      </c>
      <c r="I716" s="37" t="s">
        <v>3667</v>
      </c>
      <c r="J716" s="31" t="s">
        <v>2328</v>
      </c>
      <c r="K716" s="31" t="s">
        <v>381</v>
      </c>
      <c r="L716" s="30" t="s">
        <v>2232</v>
      </c>
      <c r="M716" s="31" t="s">
        <v>2328</v>
      </c>
      <c r="N716" s="30"/>
      <c r="R716" s="30"/>
    </row>
    <row r="717" spans="1:18" ht="45" x14ac:dyDescent="0.25">
      <c r="A717" s="31" t="s">
        <v>2328</v>
      </c>
      <c r="B717" s="32" t="s">
        <v>1519</v>
      </c>
      <c r="C717" s="31" t="b">
        <v>0</v>
      </c>
      <c r="D717" s="31">
        <v>4</v>
      </c>
      <c r="E717" s="35" t="s">
        <v>1521</v>
      </c>
      <c r="F717" s="31" t="s">
        <v>131</v>
      </c>
      <c r="G717" s="31" t="s">
        <v>3665</v>
      </c>
      <c r="H717" s="31" t="s">
        <v>3666</v>
      </c>
      <c r="I717" s="37" t="s">
        <v>3667</v>
      </c>
      <c r="J717" s="31" t="s">
        <v>2328</v>
      </c>
      <c r="K717" s="31" t="s">
        <v>381</v>
      </c>
      <c r="L717" s="30" t="s">
        <v>2232</v>
      </c>
      <c r="M717" s="31" t="s">
        <v>2328</v>
      </c>
      <c r="N717" s="30"/>
      <c r="R717" s="8"/>
    </row>
    <row r="718" spans="1:18" ht="45" x14ac:dyDescent="0.25">
      <c r="A718" s="31" t="s">
        <v>2328</v>
      </c>
      <c r="B718" s="32" t="s">
        <v>1004</v>
      </c>
      <c r="C718" s="31" t="b">
        <v>0</v>
      </c>
      <c r="D718" s="31">
        <v>2</v>
      </c>
      <c r="E718" s="34" t="s">
        <v>1006</v>
      </c>
      <c r="F718" s="31" t="s">
        <v>131</v>
      </c>
      <c r="G718" s="31" t="s">
        <v>3665</v>
      </c>
      <c r="H718" s="31" t="s">
        <v>3666</v>
      </c>
      <c r="I718" s="37" t="s">
        <v>3667</v>
      </c>
      <c r="J718" s="31" t="s">
        <v>2328</v>
      </c>
      <c r="K718" s="31" t="s">
        <v>294</v>
      </c>
      <c r="L718" s="30" t="s">
        <v>2232</v>
      </c>
      <c r="M718" s="31" t="s">
        <v>2328</v>
      </c>
      <c r="N718" s="30"/>
    </row>
    <row r="719" spans="1:18" ht="45" x14ac:dyDescent="0.25">
      <c r="A719" s="31" t="s">
        <v>2328</v>
      </c>
      <c r="B719" s="32" t="s">
        <v>1007</v>
      </c>
      <c r="C719" s="31" t="b">
        <v>0</v>
      </c>
      <c r="D719" s="31">
        <v>2</v>
      </c>
      <c r="E719" s="34" t="s">
        <v>1009</v>
      </c>
      <c r="F719" s="31" t="s">
        <v>131</v>
      </c>
      <c r="G719" s="31" t="s">
        <v>3665</v>
      </c>
      <c r="H719" s="31" t="s">
        <v>3666</v>
      </c>
      <c r="I719" s="37" t="s">
        <v>3667</v>
      </c>
      <c r="J719" s="31" t="s">
        <v>2328</v>
      </c>
      <c r="K719" s="31" t="s">
        <v>296</v>
      </c>
      <c r="L719" s="30" t="s">
        <v>2232</v>
      </c>
      <c r="M719" s="31" t="s">
        <v>2328</v>
      </c>
      <c r="N719" s="30"/>
      <c r="R719" s="9"/>
    </row>
    <row r="720" spans="1:18" ht="45" x14ac:dyDescent="0.25">
      <c r="A720" s="31" t="s">
        <v>2328</v>
      </c>
      <c r="B720" s="32" t="s">
        <v>872</v>
      </c>
      <c r="C720" s="31" t="b">
        <v>0</v>
      </c>
      <c r="D720" s="31">
        <v>6</v>
      </c>
      <c r="E720" s="38" t="s">
        <v>873</v>
      </c>
      <c r="F720" s="31" t="s">
        <v>131</v>
      </c>
      <c r="G720" s="31" t="s">
        <v>3665</v>
      </c>
      <c r="H720" s="31" t="s">
        <v>3666</v>
      </c>
      <c r="I720" s="37" t="s">
        <v>3667</v>
      </c>
      <c r="J720" s="31" t="s">
        <v>2328</v>
      </c>
      <c r="K720" s="31" t="s">
        <v>272</v>
      </c>
      <c r="L720" s="30" t="s">
        <v>2232</v>
      </c>
      <c r="M720" s="31" t="s">
        <v>2328</v>
      </c>
      <c r="N720" s="30"/>
    </row>
    <row r="721" spans="1:18" ht="45" x14ac:dyDescent="0.25">
      <c r="A721" s="31" t="s">
        <v>2328</v>
      </c>
      <c r="B721" s="32" t="s">
        <v>876</v>
      </c>
      <c r="C721" s="31" t="b">
        <v>0</v>
      </c>
      <c r="D721" s="31">
        <v>6</v>
      </c>
      <c r="E721" s="38" t="s">
        <v>877</v>
      </c>
      <c r="F721" s="31" t="s">
        <v>139</v>
      </c>
      <c r="G721" s="31" t="s">
        <v>3665</v>
      </c>
      <c r="H721" s="31" t="s">
        <v>3666</v>
      </c>
      <c r="I721" s="37" t="s">
        <v>3667</v>
      </c>
      <c r="J721" s="31" t="s">
        <v>2328</v>
      </c>
      <c r="K721" s="31" t="s">
        <v>272</v>
      </c>
      <c r="L721" s="30" t="s">
        <v>2232</v>
      </c>
      <c r="M721" s="31" t="s">
        <v>2328</v>
      </c>
      <c r="N721" s="30"/>
      <c r="R721" s="8"/>
    </row>
    <row r="722" spans="1:18" ht="45" x14ac:dyDescent="0.25">
      <c r="A722" s="31" t="s">
        <v>2328</v>
      </c>
      <c r="B722" s="32" t="s">
        <v>874</v>
      </c>
      <c r="C722" s="31" t="b">
        <v>0</v>
      </c>
      <c r="D722" s="31">
        <v>6</v>
      </c>
      <c r="E722" s="38" t="s">
        <v>3311</v>
      </c>
      <c r="F722" s="31" t="s">
        <v>131</v>
      </c>
      <c r="G722" s="31" t="s">
        <v>3665</v>
      </c>
      <c r="H722" s="31" t="s">
        <v>3666</v>
      </c>
      <c r="I722" s="37" t="s">
        <v>3667</v>
      </c>
      <c r="J722" s="31" t="s">
        <v>2328</v>
      </c>
      <c r="K722" s="31" t="s">
        <v>272</v>
      </c>
      <c r="L722" s="30" t="s">
        <v>2232</v>
      </c>
      <c r="M722" s="31" t="s">
        <v>2328</v>
      </c>
      <c r="N722" s="30"/>
    </row>
    <row r="723" spans="1:18" ht="45" x14ac:dyDescent="0.25">
      <c r="A723" s="31" t="s">
        <v>2328</v>
      </c>
      <c r="B723" s="32" t="s">
        <v>875</v>
      </c>
      <c r="C723" s="31" t="b">
        <v>0</v>
      </c>
      <c r="D723" s="31">
        <v>6</v>
      </c>
      <c r="E723" s="38" t="s">
        <v>3312</v>
      </c>
      <c r="F723" s="31" t="s">
        <v>131</v>
      </c>
      <c r="G723" s="31" t="s">
        <v>3665</v>
      </c>
      <c r="H723" s="31" t="s">
        <v>3666</v>
      </c>
      <c r="I723" s="37" t="s">
        <v>3667</v>
      </c>
      <c r="J723" s="31" t="s">
        <v>2328</v>
      </c>
      <c r="K723" s="31" t="s">
        <v>272</v>
      </c>
      <c r="L723" s="30" t="s">
        <v>2232</v>
      </c>
      <c r="M723" s="31" t="s">
        <v>2328</v>
      </c>
      <c r="N723" s="30"/>
    </row>
    <row r="724" spans="1:18" ht="45" x14ac:dyDescent="0.25">
      <c r="A724" s="31" t="s">
        <v>2328</v>
      </c>
      <c r="B724" s="32" t="s">
        <v>878</v>
      </c>
      <c r="C724" s="31" t="b">
        <v>0</v>
      </c>
      <c r="D724" s="31">
        <v>6</v>
      </c>
      <c r="E724" s="38" t="s">
        <v>3313</v>
      </c>
      <c r="F724" s="31" t="s">
        <v>131</v>
      </c>
      <c r="G724" s="31" t="s">
        <v>3665</v>
      </c>
      <c r="H724" s="31" t="s">
        <v>3666</v>
      </c>
      <c r="I724" s="37" t="s">
        <v>3667</v>
      </c>
      <c r="J724" s="31" t="s">
        <v>2328</v>
      </c>
      <c r="K724" s="31" t="s">
        <v>272</v>
      </c>
      <c r="L724" s="30" t="s">
        <v>2232</v>
      </c>
      <c r="M724" s="31" t="s">
        <v>2328</v>
      </c>
      <c r="N724" s="30"/>
    </row>
    <row r="725" spans="1:18" ht="45" x14ac:dyDescent="0.25">
      <c r="A725" s="31" t="s">
        <v>2328</v>
      </c>
      <c r="B725" s="32" t="s">
        <v>879</v>
      </c>
      <c r="C725" s="31" t="b">
        <v>0</v>
      </c>
      <c r="D725" s="31">
        <v>6</v>
      </c>
      <c r="E725" s="38" t="s">
        <v>3314</v>
      </c>
      <c r="F725" s="31" t="s">
        <v>131</v>
      </c>
      <c r="G725" s="31" t="s">
        <v>3665</v>
      </c>
      <c r="H725" s="31" t="s">
        <v>3666</v>
      </c>
      <c r="I725" s="37" t="s">
        <v>3667</v>
      </c>
      <c r="J725" s="31" t="s">
        <v>2328</v>
      </c>
      <c r="K725" s="31" t="s">
        <v>272</v>
      </c>
      <c r="L725" s="30" t="s">
        <v>2232</v>
      </c>
      <c r="M725" s="31" t="s">
        <v>2328</v>
      </c>
      <c r="N725" s="30"/>
    </row>
    <row r="726" spans="1:18" ht="45" x14ac:dyDescent="0.25">
      <c r="A726" s="31" t="s">
        <v>2328</v>
      </c>
      <c r="B726" s="32" t="s">
        <v>880</v>
      </c>
      <c r="C726" s="31" t="b">
        <v>0</v>
      </c>
      <c r="D726" s="31">
        <v>6</v>
      </c>
      <c r="E726" s="38" t="s">
        <v>881</v>
      </c>
      <c r="F726" s="31" t="s">
        <v>131</v>
      </c>
      <c r="G726" s="31" t="s">
        <v>3665</v>
      </c>
      <c r="H726" s="31" t="s">
        <v>3666</v>
      </c>
      <c r="I726" s="37" t="s">
        <v>3667</v>
      </c>
      <c r="J726" s="31" t="s">
        <v>2328</v>
      </c>
      <c r="K726" s="31" t="s">
        <v>272</v>
      </c>
      <c r="L726" s="30" t="s">
        <v>2232</v>
      </c>
      <c r="M726" s="31" t="s">
        <v>2328</v>
      </c>
      <c r="N726" s="30"/>
      <c r="R726" s="30"/>
    </row>
    <row r="727" spans="1:18" ht="45" x14ac:dyDescent="0.25">
      <c r="A727" s="31" t="s">
        <v>2328</v>
      </c>
      <c r="B727" s="32" t="s">
        <v>883</v>
      </c>
      <c r="C727" s="31" t="b">
        <v>0</v>
      </c>
      <c r="D727" s="31">
        <v>6</v>
      </c>
      <c r="E727" s="38" t="s">
        <v>3317</v>
      </c>
      <c r="F727" s="31" t="s">
        <v>131</v>
      </c>
      <c r="G727" s="31" t="s">
        <v>3665</v>
      </c>
      <c r="H727" s="31" t="s">
        <v>3666</v>
      </c>
      <c r="I727" s="37" t="s">
        <v>3667</v>
      </c>
      <c r="J727" s="31" t="s">
        <v>2328</v>
      </c>
      <c r="K727" s="31" t="s">
        <v>272</v>
      </c>
      <c r="L727" s="30" t="s">
        <v>2232</v>
      </c>
      <c r="M727" s="31" t="s">
        <v>2328</v>
      </c>
      <c r="N727" s="30"/>
    </row>
    <row r="728" spans="1:18" ht="45" x14ac:dyDescent="0.25">
      <c r="A728" s="31" t="s">
        <v>2328</v>
      </c>
      <c r="B728" s="32" t="s">
        <v>884</v>
      </c>
      <c r="C728" s="31" t="b">
        <v>0</v>
      </c>
      <c r="D728" s="31">
        <v>6</v>
      </c>
      <c r="E728" s="38" t="s">
        <v>3318</v>
      </c>
      <c r="F728" s="31" t="s">
        <v>131</v>
      </c>
      <c r="G728" s="31" t="s">
        <v>3665</v>
      </c>
      <c r="H728" s="31" t="s">
        <v>3666</v>
      </c>
      <c r="I728" s="37" t="s">
        <v>3667</v>
      </c>
      <c r="J728" s="31" t="s">
        <v>2328</v>
      </c>
      <c r="K728" s="31" t="s">
        <v>272</v>
      </c>
      <c r="L728" s="30" t="s">
        <v>2232</v>
      </c>
      <c r="M728" s="31" t="s">
        <v>2328</v>
      </c>
      <c r="N728" s="30"/>
      <c r="R728" s="9"/>
    </row>
    <row r="729" spans="1:18" ht="45" x14ac:dyDescent="0.25">
      <c r="A729" s="31" t="s">
        <v>2328</v>
      </c>
      <c r="B729" s="32" t="s">
        <v>814</v>
      </c>
      <c r="C729" s="31" t="b">
        <v>0</v>
      </c>
      <c r="D729" s="31">
        <v>4</v>
      </c>
      <c r="E729" s="35" t="s">
        <v>816</v>
      </c>
      <c r="F729" s="31" t="s">
        <v>131</v>
      </c>
      <c r="G729" s="31" t="s">
        <v>3665</v>
      </c>
      <c r="H729" s="31" t="s">
        <v>3666</v>
      </c>
      <c r="I729" s="37" t="s">
        <v>3667</v>
      </c>
      <c r="J729" s="31" t="s">
        <v>3588</v>
      </c>
      <c r="K729" s="31" t="s">
        <v>270</v>
      </c>
      <c r="L729" s="30" t="s">
        <v>2232</v>
      </c>
      <c r="M729" s="31" t="s">
        <v>2328</v>
      </c>
      <c r="N729" s="30"/>
    </row>
    <row r="730" spans="1:18" ht="45" x14ac:dyDescent="0.25">
      <c r="A730" s="31" t="s">
        <v>2328</v>
      </c>
      <c r="B730" s="32" t="s">
        <v>1259</v>
      </c>
      <c r="C730" s="31" t="b">
        <v>1</v>
      </c>
      <c r="D730" s="31">
        <v>0</v>
      </c>
      <c r="E730" s="33" t="s">
        <v>2436</v>
      </c>
      <c r="F730" s="31" t="s">
        <v>3443</v>
      </c>
      <c r="G730" s="31" t="s">
        <v>3665</v>
      </c>
      <c r="H730" s="31" t="s">
        <v>3666</v>
      </c>
      <c r="I730" s="37" t="s">
        <v>3667</v>
      </c>
      <c r="J730" s="31" t="s">
        <v>2328</v>
      </c>
      <c r="K730" s="31" t="s">
        <v>1261</v>
      </c>
      <c r="L730" s="30" t="s">
        <v>2232</v>
      </c>
      <c r="M730" s="31" t="s">
        <v>2328</v>
      </c>
      <c r="N730" s="30"/>
      <c r="R730" s="8"/>
    </row>
    <row r="731" spans="1:18" ht="45" x14ac:dyDescent="0.25">
      <c r="A731" s="31" t="s">
        <v>2328</v>
      </c>
      <c r="B731" s="32" t="s">
        <v>1262</v>
      </c>
      <c r="C731" s="31" t="b">
        <v>1</v>
      </c>
      <c r="D731" s="31">
        <v>2</v>
      </c>
      <c r="E731" s="34" t="s">
        <v>2437</v>
      </c>
      <c r="F731" s="31" t="s">
        <v>3443</v>
      </c>
      <c r="G731" s="31" t="s">
        <v>3665</v>
      </c>
      <c r="H731" s="31" t="s">
        <v>3666</v>
      </c>
      <c r="I731" s="37" t="s">
        <v>3667</v>
      </c>
      <c r="J731" s="31" t="s">
        <v>2328</v>
      </c>
      <c r="K731" s="31" t="s">
        <v>1261</v>
      </c>
      <c r="L731" s="30" t="s">
        <v>2232</v>
      </c>
      <c r="M731" s="31" t="s">
        <v>2328</v>
      </c>
      <c r="N731" s="30"/>
    </row>
    <row r="732" spans="1:18" ht="45" x14ac:dyDescent="0.25">
      <c r="A732" s="31" t="s">
        <v>2919</v>
      </c>
      <c r="B732" s="32" t="s">
        <v>1264</v>
      </c>
      <c r="C732" s="31" t="b">
        <v>0</v>
      </c>
      <c r="D732" s="31">
        <v>4</v>
      </c>
      <c r="E732" s="35" t="s">
        <v>29</v>
      </c>
      <c r="F732" s="31" t="s">
        <v>131</v>
      </c>
      <c r="G732" s="31" t="s">
        <v>3665</v>
      </c>
      <c r="H732" s="31" t="s">
        <v>3666</v>
      </c>
      <c r="I732" s="37" t="s">
        <v>3667</v>
      </c>
      <c r="J732" s="31" t="s">
        <v>2328</v>
      </c>
      <c r="K732" s="31" t="s">
        <v>1261</v>
      </c>
      <c r="L732" s="30" t="s">
        <v>2232</v>
      </c>
      <c r="M732" s="31" t="s">
        <v>2328</v>
      </c>
      <c r="N732" s="30"/>
    </row>
    <row r="733" spans="1:18" ht="45" x14ac:dyDescent="0.25">
      <c r="A733" s="31" t="s">
        <v>2920</v>
      </c>
      <c r="B733" s="32" t="s">
        <v>1266</v>
      </c>
      <c r="C733" s="31" t="b">
        <v>0</v>
      </c>
      <c r="D733" s="31">
        <v>4</v>
      </c>
      <c r="E733" s="35" t="s">
        <v>28</v>
      </c>
      <c r="F733" s="31" t="s">
        <v>131</v>
      </c>
      <c r="G733" s="31" t="s">
        <v>3665</v>
      </c>
      <c r="H733" s="31" t="s">
        <v>3666</v>
      </c>
      <c r="I733" s="37" t="s">
        <v>3667</v>
      </c>
      <c r="J733" s="31" t="s">
        <v>2328</v>
      </c>
      <c r="K733" s="31" t="s">
        <v>1261</v>
      </c>
      <c r="L733" s="30" t="s">
        <v>2232</v>
      </c>
      <c r="M733" s="31" t="s">
        <v>2328</v>
      </c>
      <c r="N733" s="30"/>
    </row>
    <row r="734" spans="1:18" ht="45" x14ac:dyDescent="0.25">
      <c r="A734" s="31" t="s">
        <v>2921</v>
      </c>
      <c r="B734" s="32" t="s">
        <v>1268</v>
      </c>
      <c r="C734" s="31" t="b">
        <v>0</v>
      </c>
      <c r="D734" s="31">
        <v>4</v>
      </c>
      <c r="E734" s="35" t="s">
        <v>1270</v>
      </c>
      <c r="F734" s="31" t="s">
        <v>131</v>
      </c>
      <c r="G734" s="31" t="s">
        <v>3665</v>
      </c>
      <c r="H734" s="31" t="s">
        <v>3666</v>
      </c>
      <c r="I734" s="37" t="s">
        <v>3667</v>
      </c>
      <c r="J734" s="31" t="s">
        <v>2328</v>
      </c>
      <c r="K734" s="31" t="s">
        <v>1261</v>
      </c>
      <c r="L734" s="30" t="s">
        <v>2232</v>
      </c>
      <c r="M734" s="31" t="s">
        <v>2328</v>
      </c>
      <c r="N734" s="30"/>
    </row>
    <row r="735" spans="1:18" ht="45" x14ac:dyDescent="0.25">
      <c r="A735" s="31" t="s">
        <v>2922</v>
      </c>
      <c r="B735" s="32" t="s">
        <v>1271</v>
      </c>
      <c r="C735" s="31" t="b">
        <v>0</v>
      </c>
      <c r="D735" s="31">
        <v>4</v>
      </c>
      <c r="E735" s="35" t="s">
        <v>2255</v>
      </c>
      <c r="F735" s="31" t="s">
        <v>131</v>
      </c>
      <c r="G735" s="31" t="s">
        <v>3665</v>
      </c>
      <c r="H735" s="31" t="s">
        <v>3666</v>
      </c>
      <c r="I735" s="37" t="s">
        <v>3667</v>
      </c>
      <c r="J735" s="31" t="s">
        <v>2328</v>
      </c>
      <c r="K735" s="31" t="s">
        <v>1261</v>
      </c>
      <c r="L735" s="30" t="s">
        <v>2232</v>
      </c>
      <c r="M735" s="31" t="s">
        <v>2328</v>
      </c>
      <c r="N735" s="30"/>
      <c r="R735" s="30"/>
    </row>
    <row r="736" spans="1:18" ht="45" x14ac:dyDescent="0.25">
      <c r="A736" s="31" t="s">
        <v>2328</v>
      </c>
      <c r="B736" s="32" t="s">
        <v>1059</v>
      </c>
      <c r="C736" s="31" t="b">
        <v>1</v>
      </c>
      <c r="D736" s="31">
        <v>4</v>
      </c>
      <c r="E736" s="35" t="s">
        <v>2438</v>
      </c>
      <c r="F736" s="31" t="s">
        <v>3443</v>
      </c>
      <c r="G736" s="31" t="s">
        <v>3665</v>
      </c>
      <c r="H736" s="31" t="s">
        <v>3666</v>
      </c>
      <c r="I736" s="37" t="s">
        <v>3667</v>
      </c>
      <c r="J736" s="31" t="s">
        <v>2328</v>
      </c>
      <c r="K736" s="31" t="s">
        <v>303</v>
      </c>
      <c r="L736" s="30" t="s">
        <v>2232</v>
      </c>
      <c r="M736" s="31" t="s">
        <v>2328</v>
      </c>
      <c r="N736" s="30"/>
      <c r="R736" s="9"/>
    </row>
    <row r="737" spans="1:18" ht="45" x14ac:dyDescent="0.25">
      <c r="A737" s="31" t="s">
        <v>2328</v>
      </c>
      <c r="B737" s="32" t="s">
        <v>1073</v>
      </c>
      <c r="C737" s="31" t="b">
        <v>1</v>
      </c>
      <c r="D737" s="31">
        <v>4</v>
      </c>
      <c r="E737" s="35" t="s">
        <v>2439</v>
      </c>
      <c r="F737" s="31" t="s">
        <v>3443</v>
      </c>
      <c r="G737" s="31" t="s">
        <v>3665</v>
      </c>
      <c r="H737" s="31" t="s">
        <v>3666</v>
      </c>
      <c r="I737" s="37" t="s">
        <v>3667</v>
      </c>
      <c r="J737" s="31" t="s">
        <v>2328</v>
      </c>
      <c r="K737" s="31" t="s">
        <v>303</v>
      </c>
      <c r="L737" s="30" t="s">
        <v>2232</v>
      </c>
      <c r="M737" s="31" t="s">
        <v>2328</v>
      </c>
      <c r="N737" s="30"/>
    </row>
    <row r="738" spans="1:18" ht="45" x14ac:dyDescent="0.25">
      <c r="A738" s="31" t="s">
        <v>2328</v>
      </c>
      <c r="B738" s="32" t="s">
        <v>1100</v>
      </c>
      <c r="C738" s="31" t="b">
        <v>1</v>
      </c>
      <c r="D738" s="31">
        <v>4</v>
      </c>
      <c r="E738" s="35" t="s">
        <v>2440</v>
      </c>
      <c r="F738" s="31" t="s">
        <v>3443</v>
      </c>
      <c r="G738" s="31" t="s">
        <v>3665</v>
      </c>
      <c r="H738" s="31" t="s">
        <v>3666</v>
      </c>
      <c r="I738" s="37" t="s">
        <v>3667</v>
      </c>
      <c r="J738" s="31" t="s">
        <v>2328</v>
      </c>
      <c r="K738" s="31" t="s">
        <v>303</v>
      </c>
      <c r="L738" s="30" t="s">
        <v>2232</v>
      </c>
      <c r="M738" s="31" t="s">
        <v>2328</v>
      </c>
      <c r="N738" s="30"/>
    </row>
    <row r="739" spans="1:18" ht="45" x14ac:dyDescent="0.25">
      <c r="A739" s="31" t="s">
        <v>2328</v>
      </c>
      <c r="B739" s="32" t="s">
        <v>2245</v>
      </c>
      <c r="C739" s="31" t="b">
        <v>1</v>
      </c>
      <c r="D739" s="31">
        <v>4</v>
      </c>
      <c r="E739" s="35" t="s">
        <v>3343</v>
      </c>
      <c r="F739" s="31" t="s">
        <v>3443</v>
      </c>
      <c r="G739" s="31" t="s">
        <v>3665</v>
      </c>
      <c r="H739" s="31" t="s">
        <v>3666</v>
      </c>
      <c r="I739" s="37" t="s">
        <v>3667</v>
      </c>
      <c r="J739" s="31" t="s">
        <v>2328</v>
      </c>
      <c r="K739" s="31" t="s">
        <v>303</v>
      </c>
      <c r="L739" s="30" t="s">
        <v>2232</v>
      </c>
      <c r="M739" s="31" t="s">
        <v>2328</v>
      </c>
      <c r="N739" s="30"/>
    </row>
    <row r="740" spans="1:18" ht="45" x14ac:dyDescent="0.25">
      <c r="A740" s="31" t="s">
        <v>2328</v>
      </c>
      <c r="B740" s="32" t="s">
        <v>2256</v>
      </c>
      <c r="C740" s="31" t="b">
        <v>1</v>
      </c>
      <c r="D740" s="31">
        <v>0</v>
      </c>
      <c r="E740" s="33" t="s">
        <v>2350</v>
      </c>
      <c r="F740" s="31" t="s">
        <v>3443</v>
      </c>
      <c r="G740" s="31" t="s">
        <v>3665</v>
      </c>
      <c r="H740" s="31" t="s">
        <v>3666</v>
      </c>
      <c r="I740" s="37" t="s">
        <v>3667</v>
      </c>
      <c r="J740" s="31" t="s">
        <v>2328</v>
      </c>
      <c r="K740" s="31" t="s">
        <v>314</v>
      </c>
      <c r="L740" s="30" t="s">
        <v>2232</v>
      </c>
      <c r="M740" s="31" t="s">
        <v>2328</v>
      </c>
      <c r="N740" s="30"/>
    </row>
    <row r="741" spans="1:18" ht="45" x14ac:dyDescent="0.25">
      <c r="A741" s="31" t="s">
        <v>3388</v>
      </c>
      <c r="B741" s="32" t="s">
        <v>867</v>
      </c>
      <c r="C741" s="31" t="b">
        <v>0</v>
      </c>
      <c r="D741" s="31">
        <v>6</v>
      </c>
      <c r="E741" s="38" t="s">
        <v>868</v>
      </c>
      <c r="F741" s="31" t="s">
        <v>131</v>
      </c>
      <c r="G741" s="31" t="s">
        <v>3665</v>
      </c>
      <c r="H741" s="31" t="s">
        <v>3666</v>
      </c>
      <c r="I741" s="37" t="s">
        <v>3667</v>
      </c>
      <c r="J741" s="31" t="s">
        <v>2328</v>
      </c>
      <c r="K741" s="31" t="s">
        <v>270</v>
      </c>
      <c r="L741" s="30" t="s">
        <v>2232</v>
      </c>
      <c r="M741" s="31" t="s">
        <v>2328</v>
      </c>
      <c r="N741" s="30"/>
    </row>
    <row r="742" spans="1:18" ht="45" x14ac:dyDescent="0.25">
      <c r="A742" s="31" t="s">
        <v>2328</v>
      </c>
      <c r="B742" s="32" t="s">
        <v>2239</v>
      </c>
      <c r="C742" s="31" t="b">
        <v>1</v>
      </c>
      <c r="D742" s="31">
        <v>4</v>
      </c>
      <c r="E742" s="35" t="s">
        <v>3342</v>
      </c>
      <c r="F742" s="31" t="s">
        <v>3443</v>
      </c>
      <c r="G742" s="31" t="s">
        <v>3665</v>
      </c>
      <c r="H742" s="31" t="s">
        <v>3666</v>
      </c>
      <c r="I742" s="37" t="s">
        <v>3667</v>
      </c>
      <c r="J742" s="31" t="s">
        <v>2328</v>
      </c>
      <c r="K742" s="31" t="s">
        <v>272</v>
      </c>
      <c r="L742" s="30" t="s">
        <v>2232</v>
      </c>
      <c r="M742" s="31" t="s">
        <v>2328</v>
      </c>
      <c r="N742" s="30"/>
      <c r="R742" s="9"/>
    </row>
    <row r="743" spans="1:18" ht="45" x14ac:dyDescent="0.25">
      <c r="A743" s="31" t="s">
        <v>2328</v>
      </c>
      <c r="B743" s="32" t="s">
        <v>887</v>
      </c>
      <c r="C743" s="31" t="b">
        <v>0</v>
      </c>
      <c r="D743" s="31">
        <v>4</v>
      </c>
      <c r="E743" s="35" t="s">
        <v>889</v>
      </c>
      <c r="F743" s="31" t="s">
        <v>139</v>
      </c>
      <c r="G743" s="31" t="s">
        <v>3665</v>
      </c>
      <c r="H743" s="31" t="s">
        <v>3666</v>
      </c>
      <c r="I743" s="37" t="s">
        <v>3667</v>
      </c>
      <c r="J743" s="31" t="s">
        <v>2328</v>
      </c>
      <c r="K743" s="31" t="s">
        <v>270</v>
      </c>
      <c r="L743" s="30" t="s">
        <v>2232</v>
      </c>
      <c r="M743" s="31" t="s">
        <v>2328</v>
      </c>
      <c r="N743" s="30"/>
      <c r="R743" s="9"/>
    </row>
    <row r="744" spans="1:18" ht="45" x14ac:dyDescent="0.25">
      <c r="A744" s="31" t="s">
        <v>2328</v>
      </c>
      <c r="B744" s="32" t="s">
        <v>908</v>
      </c>
      <c r="C744" s="31" t="b">
        <v>0</v>
      </c>
      <c r="D744" s="31">
        <v>4</v>
      </c>
      <c r="E744" s="35" t="s">
        <v>910</v>
      </c>
      <c r="F744" s="31" t="s">
        <v>131</v>
      </c>
      <c r="G744" s="31" t="s">
        <v>3665</v>
      </c>
      <c r="H744" s="31" t="s">
        <v>3666</v>
      </c>
      <c r="I744" s="37" t="s">
        <v>3667</v>
      </c>
      <c r="J744" s="31" t="s">
        <v>2328</v>
      </c>
      <c r="K744" s="31" t="s">
        <v>270</v>
      </c>
      <c r="L744" s="30" t="s">
        <v>2232</v>
      </c>
      <c r="M744" s="31" t="s">
        <v>2328</v>
      </c>
      <c r="N744" s="30"/>
    </row>
    <row r="745" spans="1:18" ht="45" x14ac:dyDescent="0.25">
      <c r="A745" s="31" t="s">
        <v>2328</v>
      </c>
      <c r="B745" s="32" t="s">
        <v>882</v>
      </c>
      <c r="C745" s="31" t="b">
        <v>0</v>
      </c>
      <c r="D745" s="31">
        <v>6</v>
      </c>
      <c r="E745" s="38" t="s">
        <v>3315</v>
      </c>
      <c r="F745" s="31" t="s">
        <v>131</v>
      </c>
      <c r="G745" s="31" t="s">
        <v>3665</v>
      </c>
      <c r="H745" s="31" t="s">
        <v>3666</v>
      </c>
      <c r="I745" s="37" t="s">
        <v>3667</v>
      </c>
      <c r="J745" s="31" t="s">
        <v>2328</v>
      </c>
      <c r="K745" s="31" t="s">
        <v>272</v>
      </c>
      <c r="L745" s="30" t="s">
        <v>2232</v>
      </c>
      <c r="M745" s="31" t="s">
        <v>2328</v>
      </c>
      <c r="N745" s="30"/>
    </row>
    <row r="746" spans="1:18" ht="30" x14ac:dyDescent="0.25">
      <c r="A746" s="31" t="s">
        <v>2328</v>
      </c>
      <c r="B746" s="32" t="s">
        <v>1415</v>
      </c>
      <c r="C746" s="31" t="b">
        <v>0</v>
      </c>
      <c r="D746" s="31">
        <v>6</v>
      </c>
      <c r="E746" s="38" t="s">
        <v>1417</v>
      </c>
      <c r="F746" s="31" t="s">
        <v>131</v>
      </c>
      <c r="G746" s="31" t="s">
        <v>2328</v>
      </c>
      <c r="H746" s="31" t="s">
        <v>2328</v>
      </c>
      <c r="I746" s="37" t="s">
        <v>2328</v>
      </c>
      <c r="J746" s="31" t="s">
        <v>2328</v>
      </c>
      <c r="K746" s="31" t="s">
        <v>366</v>
      </c>
      <c r="L746" s="30" t="s">
        <v>2265</v>
      </c>
      <c r="M746" s="31" t="s">
        <v>2328</v>
      </c>
      <c r="N746" s="30"/>
    </row>
    <row r="747" spans="1:18" ht="30" x14ac:dyDescent="0.25">
      <c r="A747" s="31" t="s">
        <v>2328</v>
      </c>
      <c r="B747" s="32" t="s">
        <v>1409</v>
      </c>
      <c r="C747" s="31" t="b">
        <v>0</v>
      </c>
      <c r="D747" s="31">
        <v>6</v>
      </c>
      <c r="E747" s="38" t="s">
        <v>1411</v>
      </c>
      <c r="F747" s="31" t="s">
        <v>131</v>
      </c>
      <c r="G747" s="31" t="s">
        <v>2328</v>
      </c>
      <c r="H747" s="31" t="s">
        <v>2328</v>
      </c>
      <c r="I747" s="37" t="s">
        <v>2328</v>
      </c>
      <c r="J747" s="31" t="s">
        <v>2328</v>
      </c>
      <c r="K747" s="31" t="s">
        <v>366</v>
      </c>
      <c r="L747" s="30" t="s">
        <v>2265</v>
      </c>
      <c r="M747" s="31" t="s">
        <v>2328</v>
      </c>
      <c r="N747" s="30"/>
    </row>
    <row r="748" spans="1:18" ht="30" x14ac:dyDescent="0.25">
      <c r="A748" s="31" t="s">
        <v>2328</v>
      </c>
      <c r="B748" s="32" t="s">
        <v>1403</v>
      </c>
      <c r="C748" s="31" t="b">
        <v>0</v>
      </c>
      <c r="D748" s="31">
        <v>6</v>
      </c>
      <c r="E748" s="38" t="s">
        <v>1405</v>
      </c>
      <c r="F748" s="31" t="s">
        <v>131</v>
      </c>
      <c r="G748" s="31" t="s">
        <v>2328</v>
      </c>
      <c r="H748" s="31" t="s">
        <v>2328</v>
      </c>
      <c r="I748" s="37" t="s">
        <v>2328</v>
      </c>
      <c r="J748" s="31" t="s">
        <v>2328</v>
      </c>
      <c r="K748" s="31" t="s">
        <v>366</v>
      </c>
      <c r="L748" s="30" t="s">
        <v>2265</v>
      </c>
      <c r="M748" s="31" t="s">
        <v>2328</v>
      </c>
      <c r="N748" s="30"/>
      <c r="R748" s="9"/>
    </row>
    <row r="749" spans="1:18" ht="30" x14ac:dyDescent="0.25">
      <c r="A749" s="31" t="s">
        <v>2328</v>
      </c>
      <c r="B749" s="32" t="s">
        <v>1418</v>
      </c>
      <c r="C749" s="31" t="b">
        <v>0</v>
      </c>
      <c r="D749" s="31">
        <v>6</v>
      </c>
      <c r="E749" s="38" t="s">
        <v>1419</v>
      </c>
      <c r="F749" s="31" t="s">
        <v>131</v>
      </c>
      <c r="G749" s="31" t="s">
        <v>2328</v>
      </c>
      <c r="H749" s="31" t="s">
        <v>2328</v>
      </c>
      <c r="I749" s="37" t="s">
        <v>2328</v>
      </c>
      <c r="J749" s="31" t="s">
        <v>2328</v>
      </c>
      <c r="K749" s="31" t="s">
        <v>366</v>
      </c>
      <c r="L749" s="30" t="s">
        <v>2265</v>
      </c>
      <c r="M749" s="31" t="s">
        <v>2328</v>
      </c>
      <c r="N749" s="30"/>
    </row>
    <row r="750" spans="1:18" ht="30" x14ac:dyDescent="0.25">
      <c r="A750" s="31" t="s">
        <v>2328</v>
      </c>
      <c r="B750" s="32" t="s">
        <v>1406</v>
      </c>
      <c r="C750" s="31" t="b">
        <v>0</v>
      </c>
      <c r="D750" s="31">
        <v>6</v>
      </c>
      <c r="E750" s="38" t="s">
        <v>1408</v>
      </c>
      <c r="F750" s="31" t="s">
        <v>131</v>
      </c>
      <c r="G750" s="31" t="s">
        <v>2328</v>
      </c>
      <c r="H750" s="31" t="s">
        <v>2328</v>
      </c>
      <c r="I750" s="37" t="s">
        <v>2328</v>
      </c>
      <c r="J750" s="31" t="s">
        <v>2328</v>
      </c>
      <c r="K750" s="31" t="s">
        <v>366</v>
      </c>
      <c r="L750" s="30" t="s">
        <v>2265</v>
      </c>
      <c r="M750" s="31" t="s">
        <v>2328</v>
      </c>
      <c r="N750" s="30"/>
    </row>
    <row r="751" spans="1:18" ht="30" x14ac:dyDescent="0.25">
      <c r="A751" s="31" t="s">
        <v>2328</v>
      </c>
      <c r="B751" s="32" t="s">
        <v>1412</v>
      </c>
      <c r="C751" s="31" t="b">
        <v>0</v>
      </c>
      <c r="D751" s="31">
        <v>6</v>
      </c>
      <c r="E751" s="38" t="s">
        <v>1414</v>
      </c>
      <c r="F751" s="31" t="s">
        <v>131</v>
      </c>
      <c r="G751" s="31" t="s">
        <v>2328</v>
      </c>
      <c r="H751" s="31" t="s">
        <v>2328</v>
      </c>
      <c r="I751" s="37" t="s">
        <v>2328</v>
      </c>
      <c r="J751" s="31" t="s">
        <v>2328</v>
      </c>
      <c r="K751" s="31" t="s">
        <v>366</v>
      </c>
      <c r="L751" s="30" t="s">
        <v>2265</v>
      </c>
      <c r="M751" s="31" t="s">
        <v>2328</v>
      </c>
      <c r="N751" s="30"/>
    </row>
    <row r="752" spans="1:18" ht="45" x14ac:dyDescent="0.25">
      <c r="A752" s="31" t="s">
        <v>3040</v>
      </c>
      <c r="B752" s="32" t="s">
        <v>1685</v>
      </c>
      <c r="C752" s="31" t="b">
        <v>0</v>
      </c>
      <c r="D752" s="31">
        <v>4</v>
      </c>
      <c r="E752" s="35" t="s">
        <v>1686</v>
      </c>
      <c r="F752" s="31" t="s">
        <v>131</v>
      </c>
      <c r="G752" s="31" t="s">
        <v>3665</v>
      </c>
      <c r="H752" s="31" t="s">
        <v>3666</v>
      </c>
      <c r="I752" s="37" t="s">
        <v>3667</v>
      </c>
      <c r="J752" s="31" t="s">
        <v>2328</v>
      </c>
      <c r="K752" s="31" t="s">
        <v>408</v>
      </c>
      <c r="L752" s="30" t="s">
        <v>2232</v>
      </c>
      <c r="M752" s="31" t="s">
        <v>2328</v>
      </c>
      <c r="N752" s="30"/>
      <c r="R752" s="9"/>
    </row>
    <row r="753" spans="1:18" ht="45" x14ac:dyDescent="0.25">
      <c r="A753" s="31" t="s">
        <v>3040</v>
      </c>
      <c r="B753" s="32" t="s">
        <v>1687</v>
      </c>
      <c r="C753" s="31" t="b">
        <v>0</v>
      </c>
      <c r="D753" s="31">
        <v>4</v>
      </c>
      <c r="E753" s="35" t="s">
        <v>3563</v>
      </c>
      <c r="F753" s="31" t="s">
        <v>131</v>
      </c>
      <c r="G753" s="31" t="s">
        <v>3665</v>
      </c>
      <c r="H753" s="31" t="s">
        <v>3666</v>
      </c>
      <c r="I753" s="37" t="s">
        <v>3667</v>
      </c>
      <c r="J753" s="31" t="s">
        <v>2328</v>
      </c>
      <c r="K753" s="31" t="s">
        <v>408</v>
      </c>
      <c r="L753" s="30" t="s">
        <v>2232</v>
      </c>
      <c r="M753" s="31" t="s">
        <v>2328</v>
      </c>
      <c r="N753" s="30"/>
    </row>
    <row r="754" spans="1:18" ht="45" x14ac:dyDescent="0.25">
      <c r="A754" s="31" t="s">
        <v>2328</v>
      </c>
      <c r="B754" s="32" t="s">
        <v>2323</v>
      </c>
      <c r="C754" s="31" t="b">
        <v>1</v>
      </c>
      <c r="D754" s="31">
        <v>2</v>
      </c>
      <c r="E754" s="34" t="s">
        <v>3381</v>
      </c>
      <c r="F754" s="31" t="s">
        <v>3443</v>
      </c>
      <c r="G754" s="31" t="s">
        <v>3665</v>
      </c>
      <c r="H754" s="31" t="s">
        <v>3666</v>
      </c>
      <c r="I754" s="37" t="s">
        <v>3667</v>
      </c>
      <c r="J754" s="31" t="s">
        <v>2328</v>
      </c>
      <c r="K754" s="31" t="s">
        <v>2328</v>
      </c>
      <c r="L754" s="30" t="s">
        <v>2232</v>
      </c>
      <c r="M754" s="31" t="s">
        <v>2328</v>
      </c>
      <c r="N754" s="30"/>
    </row>
    <row r="755" spans="1:18" ht="45" x14ac:dyDescent="0.25">
      <c r="A755" s="31" t="s">
        <v>2328</v>
      </c>
      <c r="B755" s="32" t="s">
        <v>2260</v>
      </c>
      <c r="C755" s="31" t="b">
        <v>1</v>
      </c>
      <c r="D755" s="31">
        <v>2</v>
      </c>
      <c r="E755" s="34" t="s">
        <v>2360</v>
      </c>
      <c r="F755" s="31" t="s">
        <v>3443</v>
      </c>
      <c r="G755" s="31" t="s">
        <v>3665</v>
      </c>
      <c r="H755" s="31" t="s">
        <v>3666</v>
      </c>
      <c r="I755" s="37" t="s">
        <v>3667</v>
      </c>
      <c r="J755" s="31" t="s">
        <v>2328</v>
      </c>
      <c r="K755" s="31" t="s">
        <v>2328</v>
      </c>
      <c r="L755" s="30" t="s">
        <v>2232</v>
      </c>
      <c r="M755" s="31" t="s">
        <v>2328</v>
      </c>
      <c r="N755" s="30"/>
    </row>
    <row r="756" spans="1:18" ht="45" x14ac:dyDescent="0.25">
      <c r="A756" s="31" t="s">
        <v>2328</v>
      </c>
      <c r="B756" s="32" t="s">
        <v>2261</v>
      </c>
      <c r="C756" s="31" t="b">
        <v>1</v>
      </c>
      <c r="D756" s="31">
        <v>4</v>
      </c>
      <c r="E756" s="35" t="s">
        <v>3345</v>
      </c>
      <c r="F756" s="31" t="s">
        <v>3443</v>
      </c>
      <c r="G756" s="31" t="s">
        <v>3665</v>
      </c>
      <c r="H756" s="31" t="s">
        <v>3666</v>
      </c>
      <c r="I756" s="37" t="s">
        <v>3667</v>
      </c>
      <c r="J756" s="31" t="s">
        <v>2328</v>
      </c>
      <c r="K756" s="31" t="s">
        <v>124</v>
      </c>
      <c r="L756" s="30" t="s">
        <v>2232</v>
      </c>
      <c r="M756" s="31" t="s">
        <v>2328</v>
      </c>
      <c r="N756" s="30"/>
      <c r="R756" s="9"/>
    </row>
    <row r="757" spans="1:18" ht="60" x14ac:dyDescent="0.25">
      <c r="A757" s="31" t="s">
        <v>2328</v>
      </c>
      <c r="B757" s="32" t="s">
        <v>2263</v>
      </c>
      <c r="C757" s="31" t="b">
        <v>0</v>
      </c>
      <c r="D757" s="31">
        <v>6</v>
      </c>
      <c r="E757" s="38" t="s">
        <v>2264</v>
      </c>
      <c r="F757" s="31" t="s">
        <v>131</v>
      </c>
      <c r="G757" s="31" t="s">
        <v>3665</v>
      </c>
      <c r="H757" s="31" t="s">
        <v>3666</v>
      </c>
      <c r="I757" s="37" t="s">
        <v>3667</v>
      </c>
      <c r="J757" s="31" t="s">
        <v>2328</v>
      </c>
      <c r="K757" s="31" t="s">
        <v>3664</v>
      </c>
      <c r="L757" s="30" t="s">
        <v>2232</v>
      </c>
      <c r="M757" s="31" t="s">
        <v>2328</v>
      </c>
      <c r="N757" s="30"/>
    </row>
    <row r="758" spans="1:18" ht="45" x14ac:dyDescent="0.25">
      <c r="A758" s="31" t="s">
        <v>2328</v>
      </c>
      <c r="B758" s="32" t="s">
        <v>2834</v>
      </c>
      <c r="C758" s="31" t="b">
        <v>1</v>
      </c>
      <c r="D758" s="31">
        <v>4</v>
      </c>
      <c r="E758" s="35" t="s">
        <v>3412</v>
      </c>
      <c r="F758" s="31" t="s">
        <v>3443</v>
      </c>
      <c r="G758" s="31" t="s">
        <v>3665</v>
      </c>
      <c r="H758" s="31" t="s">
        <v>3666</v>
      </c>
      <c r="I758" s="37" t="s">
        <v>3667</v>
      </c>
      <c r="J758" s="31" t="s">
        <v>2328</v>
      </c>
      <c r="K758" s="31" t="s">
        <v>303</v>
      </c>
      <c r="L758" s="30" t="s">
        <v>2232</v>
      </c>
      <c r="M758" s="31" t="s">
        <v>2328</v>
      </c>
      <c r="N758" s="30"/>
    </row>
    <row r="759" spans="1:18" ht="45" x14ac:dyDescent="0.25">
      <c r="A759" s="31" t="s">
        <v>2829</v>
      </c>
      <c r="B759" s="32" t="s">
        <v>2830</v>
      </c>
      <c r="C759" s="31" t="b">
        <v>0</v>
      </c>
      <c r="D759" s="31">
        <v>6</v>
      </c>
      <c r="E759" s="38" t="s">
        <v>3319</v>
      </c>
      <c r="F759" s="31" t="s">
        <v>131</v>
      </c>
      <c r="G759" s="31" t="s">
        <v>3665</v>
      </c>
      <c r="H759" s="31" t="s">
        <v>3666</v>
      </c>
      <c r="I759" s="37" t="s">
        <v>3667</v>
      </c>
      <c r="J759" s="31" t="s">
        <v>2328</v>
      </c>
      <c r="K759" s="31" t="s">
        <v>303</v>
      </c>
      <c r="L759" s="30" t="s">
        <v>2232</v>
      </c>
      <c r="M759" s="31" t="s">
        <v>2328</v>
      </c>
      <c r="N759" s="30"/>
    </row>
    <row r="760" spans="1:18" ht="45" x14ac:dyDescent="0.25">
      <c r="A760" s="31" t="s">
        <v>2829</v>
      </c>
      <c r="B760" s="32" t="s">
        <v>2832</v>
      </c>
      <c r="C760" s="31" t="b">
        <v>0</v>
      </c>
      <c r="D760" s="31">
        <v>6</v>
      </c>
      <c r="E760" s="38" t="s">
        <v>3320</v>
      </c>
      <c r="F760" s="31" t="s">
        <v>131</v>
      </c>
      <c r="G760" s="31" t="s">
        <v>3665</v>
      </c>
      <c r="H760" s="31" t="s">
        <v>3666</v>
      </c>
      <c r="I760" s="37" t="s">
        <v>3667</v>
      </c>
      <c r="J760" s="31" t="s">
        <v>2328</v>
      </c>
      <c r="K760" s="31" t="s">
        <v>303</v>
      </c>
      <c r="L760" s="30" t="s">
        <v>2232</v>
      </c>
      <c r="M760" s="31" t="s">
        <v>2328</v>
      </c>
      <c r="N760" s="30"/>
    </row>
    <row r="761" spans="1:18" ht="45" x14ac:dyDescent="0.25">
      <c r="A761" s="31" t="s">
        <v>2844</v>
      </c>
      <c r="B761" s="32" t="s">
        <v>2845</v>
      </c>
      <c r="C761" s="31" t="b">
        <v>0</v>
      </c>
      <c r="D761" s="31">
        <v>6</v>
      </c>
      <c r="E761" s="38" t="s">
        <v>3321</v>
      </c>
      <c r="F761" s="31" t="s">
        <v>131</v>
      </c>
      <c r="G761" s="31" t="s">
        <v>3665</v>
      </c>
      <c r="H761" s="31" t="s">
        <v>3666</v>
      </c>
      <c r="I761" s="37" t="s">
        <v>3667</v>
      </c>
      <c r="J761" s="31" t="s">
        <v>2328</v>
      </c>
      <c r="K761" s="31" t="s">
        <v>303</v>
      </c>
      <c r="L761" s="30" t="s">
        <v>2232</v>
      </c>
      <c r="M761" s="31" t="s">
        <v>2328</v>
      </c>
      <c r="N761" s="30"/>
    </row>
    <row r="762" spans="1:18" ht="45" x14ac:dyDescent="0.25">
      <c r="A762" s="31" t="s">
        <v>2848</v>
      </c>
      <c r="B762" s="32" t="s">
        <v>2849</v>
      </c>
      <c r="C762" s="31" t="b">
        <v>0</v>
      </c>
      <c r="D762" s="31">
        <v>6</v>
      </c>
      <c r="E762" s="38" t="s">
        <v>3322</v>
      </c>
      <c r="F762" s="31" t="s">
        <v>131</v>
      </c>
      <c r="G762" s="31" t="s">
        <v>3665</v>
      </c>
      <c r="H762" s="31" t="s">
        <v>3666</v>
      </c>
      <c r="I762" s="37" t="s">
        <v>3667</v>
      </c>
      <c r="J762" s="31" t="s">
        <v>2328</v>
      </c>
      <c r="K762" s="31" t="s">
        <v>303</v>
      </c>
      <c r="L762" s="30" t="s">
        <v>2232</v>
      </c>
      <c r="M762" s="31" t="s">
        <v>2328</v>
      </c>
      <c r="N762" s="30"/>
    </row>
    <row r="763" spans="1:18" ht="45" x14ac:dyDescent="0.25">
      <c r="A763" s="31" t="s">
        <v>2328</v>
      </c>
      <c r="B763" s="32" t="s">
        <v>3077</v>
      </c>
      <c r="C763" s="31" t="b">
        <v>1</v>
      </c>
      <c r="D763" s="31">
        <v>4</v>
      </c>
      <c r="E763" s="35" t="s">
        <v>3415</v>
      </c>
      <c r="F763" s="31" t="s">
        <v>3443</v>
      </c>
      <c r="G763" s="31" t="s">
        <v>3665</v>
      </c>
      <c r="H763" s="31" t="s">
        <v>3666</v>
      </c>
      <c r="I763" s="37" t="s">
        <v>3667</v>
      </c>
      <c r="J763" s="31" t="s">
        <v>2328</v>
      </c>
      <c r="K763" s="31" t="s">
        <v>125</v>
      </c>
      <c r="L763" s="30" t="s">
        <v>2232</v>
      </c>
      <c r="M763" s="31" t="s">
        <v>2328</v>
      </c>
      <c r="N763" s="30"/>
    </row>
    <row r="764" spans="1:18" ht="45" x14ac:dyDescent="0.25">
      <c r="A764" s="31" t="s">
        <v>3062</v>
      </c>
      <c r="B764" s="32" t="s">
        <v>3079</v>
      </c>
      <c r="C764" s="31" t="b">
        <v>0</v>
      </c>
      <c r="D764" s="31">
        <v>6</v>
      </c>
      <c r="E764" s="38" t="s">
        <v>3326</v>
      </c>
      <c r="F764" s="31" t="s">
        <v>131</v>
      </c>
      <c r="G764" s="31" t="s">
        <v>3665</v>
      </c>
      <c r="H764" s="31" t="s">
        <v>3666</v>
      </c>
      <c r="I764" s="37" t="s">
        <v>3667</v>
      </c>
      <c r="J764" s="31" t="s">
        <v>2328</v>
      </c>
      <c r="K764" s="31" t="s">
        <v>411</v>
      </c>
      <c r="L764" s="30" t="s">
        <v>2232</v>
      </c>
      <c r="M764" s="31" t="s">
        <v>2328</v>
      </c>
      <c r="N764" s="30"/>
      <c r="R764" s="9"/>
    </row>
    <row r="765" spans="1:18" ht="45" x14ac:dyDescent="0.25">
      <c r="A765" s="31" t="s">
        <v>3062</v>
      </c>
      <c r="B765" s="32" t="s">
        <v>3081</v>
      </c>
      <c r="C765" s="31" t="b">
        <v>0</v>
      </c>
      <c r="D765" s="31">
        <v>6</v>
      </c>
      <c r="E765" s="38" t="s">
        <v>3327</v>
      </c>
      <c r="F765" s="31" t="s">
        <v>131</v>
      </c>
      <c r="G765" s="31" t="s">
        <v>3665</v>
      </c>
      <c r="H765" s="31" t="s">
        <v>3666</v>
      </c>
      <c r="I765" s="37" t="s">
        <v>3667</v>
      </c>
      <c r="J765" s="31" t="s">
        <v>2328</v>
      </c>
      <c r="K765" s="31" t="s">
        <v>411</v>
      </c>
      <c r="L765" s="30" t="s">
        <v>2232</v>
      </c>
      <c r="M765" s="31" t="s">
        <v>2328</v>
      </c>
      <c r="N765" s="30"/>
    </row>
    <row r="766" spans="1:18" ht="45" x14ac:dyDescent="0.25">
      <c r="A766" s="31" t="s">
        <v>3074</v>
      </c>
      <c r="B766" s="32" t="s">
        <v>3075</v>
      </c>
      <c r="C766" s="31" t="b">
        <v>0</v>
      </c>
      <c r="D766" s="31">
        <v>6</v>
      </c>
      <c r="E766" s="38" t="s">
        <v>3325</v>
      </c>
      <c r="F766" s="31" t="s">
        <v>131</v>
      </c>
      <c r="G766" s="31" t="s">
        <v>3665</v>
      </c>
      <c r="H766" s="31" t="s">
        <v>3666</v>
      </c>
      <c r="I766" s="37" t="s">
        <v>3667</v>
      </c>
      <c r="J766" s="31" t="s">
        <v>2328</v>
      </c>
      <c r="K766" s="31" t="s">
        <v>125</v>
      </c>
      <c r="L766" s="30" t="s">
        <v>2232</v>
      </c>
      <c r="M766" s="31" t="s">
        <v>2328</v>
      </c>
      <c r="N766" s="30"/>
    </row>
    <row r="767" spans="1:18" ht="45" x14ac:dyDescent="0.25">
      <c r="A767" s="31" t="s">
        <v>2328</v>
      </c>
      <c r="B767" s="32" t="s">
        <v>2780</v>
      </c>
      <c r="C767" s="31" t="b">
        <v>0</v>
      </c>
      <c r="D767" s="31">
        <v>8</v>
      </c>
      <c r="E767" s="36" t="s">
        <v>3310</v>
      </c>
      <c r="F767" s="31" t="s">
        <v>131</v>
      </c>
      <c r="G767" s="31" t="s">
        <v>3665</v>
      </c>
      <c r="H767" s="31" t="s">
        <v>3666</v>
      </c>
      <c r="I767" s="37" t="s">
        <v>3667</v>
      </c>
      <c r="J767" s="31" t="s">
        <v>2328</v>
      </c>
      <c r="K767" s="31" t="s">
        <v>3662</v>
      </c>
      <c r="L767" s="30" t="s">
        <v>2232</v>
      </c>
      <c r="M767" s="31" t="s">
        <v>2328</v>
      </c>
      <c r="N767" s="30"/>
    </row>
    <row r="768" spans="1:18" ht="45" x14ac:dyDescent="0.25">
      <c r="A768" s="31" t="s">
        <v>2328</v>
      </c>
      <c r="B768" s="32" t="s">
        <v>2778</v>
      </c>
      <c r="C768" s="31" t="b">
        <v>0</v>
      </c>
      <c r="D768" s="31">
        <v>6</v>
      </c>
      <c r="E768" s="38" t="s">
        <v>3309</v>
      </c>
      <c r="F768" s="31" t="s">
        <v>131</v>
      </c>
      <c r="G768" s="31" t="s">
        <v>3665</v>
      </c>
      <c r="H768" s="31" t="s">
        <v>3666</v>
      </c>
      <c r="I768" s="37" t="s">
        <v>3667</v>
      </c>
      <c r="J768" s="31" t="s">
        <v>2328</v>
      </c>
      <c r="K768" s="31" t="s">
        <v>3662</v>
      </c>
      <c r="L768" s="30" t="s">
        <v>2232</v>
      </c>
      <c r="M768" s="31" t="s">
        <v>2328</v>
      </c>
      <c r="N768" s="30"/>
    </row>
    <row r="769" spans="1:18" ht="45" x14ac:dyDescent="0.25">
      <c r="A769" s="31" t="s">
        <v>2328</v>
      </c>
      <c r="B769" s="32" t="s">
        <v>2790</v>
      </c>
      <c r="C769" s="31" t="b">
        <v>0</v>
      </c>
      <c r="D769" s="31">
        <v>6</v>
      </c>
      <c r="E769" s="38" t="s">
        <v>3316</v>
      </c>
      <c r="F769" s="31" t="s">
        <v>131</v>
      </c>
      <c r="G769" s="31" t="s">
        <v>3665</v>
      </c>
      <c r="H769" s="31" t="s">
        <v>3666</v>
      </c>
      <c r="I769" s="37" t="s">
        <v>3667</v>
      </c>
      <c r="J769" s="31" t="s">
        <v>2328</v>
      </c>
      <c r="K769" s="31" t="s">
        <v>272</v>
      </c>
      <c r="L769" s="30" t="s">
        <v>2232</v>
      </c>
      <c r="M769" s="31" t="s">
        <v>2328</v>
      </c>
      <c r="N769" s="30"/>
    </row>
    <row r="770" spans="1:18" ht="45" x14ac:dyDescent="0.25">
      <c r="A770" s="31" t="s">
        <v>2328</v>
      </c>
      <c r="B770" s="32" t="s">
        <v>3425</v>
      </c>
      <c r="C770" s="31" t="b">
        <v>0</v>
      </c>
      <c r="D770" s="31">
        <v>6</v>
      </c>
      <c r="E770" s="38" t="s">
        <v>3426</v>
      </c>
      <c r="F770" s="31" t="s">
        <v>131</v>
      </c>
      <c r="G770" s="31" t="s">
        <v>3665</v>
      </c>
      <c r="H770" s="31" t="s">
        <v>3666</v>
      </c>
      <c r="I770" s="37" t="s">
        <v>3667</v>
      </c>
      <c r="J770" s="31" t="s">
        <v>2328</v>
      </c>
      <c r="K770" s="31" t="s">
        <v>125</v>
      </c>
      <c r="L770" s="30" t="s">
        <v>2232</v>
      </c>
      <c r="M770" s="31" t="s">
        <v>2328</v>
      </c>
      <c r="N770" s="30"/>
    </row>
    <row r="771" spans="1:18" ht="45" x14ac:dyDescent="0.25">
      <c r="A771" s="31" t="s">
        <v>2328</v>
      </c>
      <c r="B771" s="32" t="s">
        <v>3427</v>
      </c>
      <c r="C771" s="31" t="b">
        <v>0</v>
      </c>
      <c r="D771" s="31">
        <v>6</v>
      </c>
      <c r="E771" s="38" t="s">
        <v>3428</v>
      </c>
      <c r="F771" s="31" t="s">
        <v>131</v>
      </c>
      <c r="G771" s="31" t="s">
        <v>3665</v>
      </c>
      <c r="H771" s="31" t="s">
        <v>3666</v>
      </c>
      <c r="I771" s="37" t="s">
        <v>3667</v>
      </c>
      <c r="J771" s="31" t="s">
        <v>2328</v>
      </c>
      <c r="K771" s="31" t="s">
        <v>125</v>
      </c>
      <c r="L771" s="30" t="s">
        <v>2232</v>
      </c>
      <c r="M771" s="31" t="s">
        <v>2328</v>
      </c>
      <c r="N771" s="30"/>
      <c r="R771" s="8"/>
    </row>
    <row r="772" spans="1:18" ht="45" x14ac:dyDescent="0.25">
      <c r="A772" s="31" t="s">
        <v>2733</v>
      </c>
      <c r="B772" s="32" t="s">
        <v>3445</v>
      </c>
      <c r="C772" s="31" t="b">
        <v>0</v>
      </c>
      <c r="D772" s="31">
        <v>8</v>
      </c>
      <c r="E772" s="36" t="s">
        <v>3446</v>
      </c>
      <c r="F772" s="31" t="s">
        <v>139</v>
      </c>
      <c r="G772" s="31" t="s">
        <v>3665</v>
      </c>
      <c r="H772" s="31" t="s">
        <v>3666</v>
      </c>
      <c r="I772" s="37" t="s">
        <v>3667</v>
      </c>
      <c r="J772" s="31" t="s">
        <v>2328</v>
      </c>
      <c r="K772" s="31" t="s">
        <v>2328</v>
      </c>
      <c r="L772" s="30" t="s">
        <v>2232</v>
      </c>
      <c r="M772" s="31" t="s">
        <v>2328</v>
      </c>
      <c r="N772" s="30"/>
    </row>
    <row r="773" spans="1:18" ht="45" x14ac:dyDescent="0.25">
      <c r="A773" s="31" t="s">
        <v>2328</v>
      </c>
      <c r="B773" s="32" t="s">
        <v>3451</v>
      </c>
      <c r="C773" s="31" t="b">
        <v>0</v>
      </c>
      <c r="D773" s="31">
        <v>4</v>
      </c>
      <c r="E773" s="35" t="s">
        <v>3450</v>
      </c>
      <c r="F773" s="31" t="s">
        <v>139</v>
      </c>
      <c r="G773" s="31" t="s">
        <v>3665</v>
      </c>
      <c r="H773" s="31" t="s">
        <v>3666</v>
      </c>
      <c r="I773" s="37" t="s">
        <v>3667</v>
      </c>
      <c r="J773" s="31" t="s">
        <v>2328</v>
      </c>
      <c r="K773" s="31" t="s">
        <v>2328</v>
      </c>
      <c r="L773" s="30" t="s">
        <v>3437</v>
      </c>
      <c r="M773" s="31" t="s">
        <v>3450</v>
      </c>
      <c r="N773" s="30"/>
    </row>
    <row r="774" spans="1:18" ht="60" x14ac:dyDescent="0.25">
      <c r="A774" s="31" t="s">
        <v>2328</v>
      </c>
      <c r="B774" s="32" t="s">
        <v>3478</v>
      </c>
      <c r="C774" s="31" t="b">
        <v>0</v>
      </c>
      <c r="D774" s="31">
        <v>4</v>
      </c>
      <c r="E774" s="35" t="s">
        <v>3477</v>
      </c>
      <c r="F774" s="31" t="s">
        <v>139</v>
      </c>
      <c r="G774" s="31" t="s">
        <v>3665</v>
      </c>
      <c r="H774" s="31" t="s">
        <v>3666</v>
      </c>
      <c r="I774" s="37" t="s">
        <v>3667</v>
      </c>
      <c r="J774" s="31" t="s">
        <v>2328</v>
      </c>
      <c r="K774" s="31" t="s">
        <v>2328</v>
      </c>
      <c r="L774" s="30" t="s">
        <v>2232</v>
      </c>
      <c r="M774" s="31" t="s">
        <v>2328</v>
      </c>
      <c r="N774" s="30"/>
    </row>
    <row r="775" spans="1:18" ht="45" x14ac:dyDescent="0.25">
      <c r="A775" s="31" t="s">
        <v>2328</v>
      </c>
      <c r="B775" s="32" t="s">
        <v>3481</v>
      </c>
      <c r="C775" s="31" t="b">
        <v>0</v>
      </c>
      <c r="D775" s="31">
        <v>4</v>
      </c>
      <c r="E775" s="35" t="s">
        <v>3480</v>
      </c>
      <c r="F775" s="31" t="s">
        <v>139</v>
      </c>
      <c r="G775" s="31" t="s">
        <v>3665</v>
      </c>
      <c r="H775" s="31" t="s">
        <v>3666</v>
      </c>
      <c r="I775" s="37" t="s">
        <v>3667</v>
      </c>
      <c r="J775" s="31" t="s">
        <v>2328</v>
      </c>
      <c r="K775" s="31" t="s">
        <v>2328</v>
      </c>
      <c r="L775" s="30" t="s">
        <v>2232</v>
      </c>
      <c r="M775" s="31" t="s">
        <v>2328</v>
      </c>
      <c r="N775" s="30"/>
    </row>
    <row r="776" spans="1:18" ht="45" x14ac:dyDescent="0.25">
      <c r="A776" s="31" t="s">
        <v>2989</v>
      </c>
      <c r="B776" s="32" t="s">
        <v>3484</v>
      </c>
      <c r="C776" s="31" t="b">
        <v>0</v>
      </c>
      <c r="D776" s="31">
        <v>4</v>
      </c>
      <c r="E776" s="35" t="s">
        <v>3483</v>
      </c>
      <c r="F776" s="31" t="s">
        <v>139</v>
      </c>
      <c r="G776" s="31" t="s">
        <v>3665</v>
      </c>
      <c r="H776" s="31" t="s">
        <v>3666</v>
      </c>
      <c r="I776" s="37" t="s">
        <v>3667</v>
      </c>
      <c r="J776" s="31" t="s">
        <v>2328</v>
      </c>
      <c r="K776" s="31" t="s">
        <v>2328</v>
      </c>
      <c r="L776" s="30" t="s">
        <v>2232</v>
      </c>
      <c r="M776" s="31" t="s">
        <v>2328</v>
      </c>
      <c r="N776" s="30"/>
    </row>
    <row r="777" spans="1:18" ht="45" x14ac:dyDescent="0.25">
      <c r="A777" s="31" t="s">
        <v>2328</v>
      </c>
      <c r="B777" s="32" t="s">
        <v>3521</v>
      </c>
      <c r="C777" s="31" t="b">
        <v>0</v>
      </c>
      <c r="D777" s="31">
        <v>6</v>
      </c>
      <c r="E777" s="38" t="s">
        <v>3520</v>
      </c>
      <c r="F777" s="31" t="s">
        <v>139</v>
      </c>
      <c r="G777" s="31" t="s">
        <v>3665</v>
      </c>
      <c r="H777" s="31" t="s">
        <v>3666</v>
      </c>
      <c r="I777" s="37" t="s">
        <v>3667</v>
      </c>
      <c r="J777" s="31" t="s">
        <v>2328</v>
      </c>
      <c r="K777" s="31" t="s">
        <v>2328</v>
      </c>
      <c r="L777" s="30" t="s">
        <v>2232</v>
      </c>
      <c r="M777" s="31" t="s">
        <v>2328</v>
      </c>
      <c r="N777" s="30"/>
      <c r="R777" s="9"/>
    </row>
    <row r="778" spans="1:18" ht="105" x14ac:dyDescent="0.25">
      <c r="A778" s="31" t="s">
        <v>2328</v>
      </c>
      <c r="B778" s="32" t="s">
        <v>3525</v>
      </c>
      <c r="C778" s="31" t="b">
        <v>0</v>
      </c>
      <c r="D778" s="31">
        <v>6</v>
      </c>
      <c r="E778" s="38" t="s">
        <v>3524</v>
      </c>
      <c r="F778" s="31" t="s">
        <v>139</v>
      </c>
      <c r="G778" s="31" t="s">
        <v>3665</v>
      </c>
      <c r="H778" s="31" t="s">
        <v>3666</v>
      </c>
      <c r="I778" s="37" t="s">
        <v>3667</v>
      </c>
      <c r="J778" s="31" t="s">
        <v>2328</v>
      </c>
      <c r="K778" s="31" t="s">
        <v>2328</v>
      </c>
      <c r="L778" s="30" t="s">
        <v>2232</v>
      </c>
      <c r="M778" s="31" t="s">
        <v>2328</v>
      </c>
      <c r="N778" s="30"/>
      <c r="R778" s="9"/>
    </row>
    <row r="779" spans="1:18" ht="75" x14ac:dyDescent="0.25">
      <c r="A779" s="31" t="s">
        <v>2328</v>
      </c>
      <c r="B779" s="32" t="s">
        <v>3529</v>
      </c>
      <c r="C779" s="31" t="b">
        <v>0</v>
      </c>
      <c r="D779" s="31">
        <v>6</v>
      </c>
      <c r="E779" s="38" t="s">
        <v>3528</v>
      </c>
      <c r="F779" s="31" t="s">
        <v>139</v>
      </c>
      <c r="G779" s="31" t="s">
        <v>3665</v>
      </c>
      <c r="H779" s="31" t="s">
        <v>3666</v>
      </c>
      <c r="I779" s="37" t="s">
        <v>3667</v>
      </c>
      <c r="J779" s="31" t="s">
        <v>2328</v>
      </c>
      <c r="K779" s="31" t="s">
        <v>2328</v>
      </c>
      <c r="L779" s="30" t="s">
        <v>2232</v>
      </c>
      <c r="M779" s="31" t="s">
        <v>2328</v>
      </c>
      <c r="N779" s="30"/>
    </row>
    <row r="780" spans="1:18" ht="45" x14ac:dyDescent="0.25">
      <c r="A780" s="31" t="s">
        <v>3285</v>
      </c>
      <c r="B780" s="32" t="s">
        <v>3532</v>
      </c>
      <c r="C780" s="31" t="b">
        <v>0</v>
      </c>
      <c r="D780" s="31">
        <v>4</v>
      </c>
      <c r="E780" s="35" t="s">
        <v>481</v>
      </c>
      <c r="F780" s="31" t="s">
        <v>139</v>
      </c>
      <c r="G780" s="31" t="s">
        <v>3665</v>
      </c>
      <c r="H780" s="31" t="s">
        <v>3666</v>
      </c>
      <c r="I780" s="37" t="s">
        <v>3667</v>
      </c>
      <c r="J780" s="31" t="s">
        <v>2328</v>
      </c>
      <c r="K780" s="31" t="s">
        <v>2328</v>
      </c>
      <c r="L780" s="30" t="s">
        <v>2232</v>
      </c>
      <c r="M780" s="31" t="s">
        <v>2328</v>
      </c>
      <c r="N780" s="30"/>
    </row>
    <row r="781" spans="1:18" ht="45" x14ac:dyDescent="0.25">
      <c r="A781" s="31" t="s">
        <v>3293</v>
      </c>
      <c r="B781" s="32" t="s">
        <v>3536</v>
      </c>
      <c r="C781" s="31" t="b">
        <v>0</v>
      </c>
      <c r="D781" s="31">
        <v>4</v>
      </c>
      <c r="E781" s="35" t="s">
        <v>3535</v>
      </c>
      <c r="F781" s="31" t="s">
        <v>139</v>
      </c>
      <c r="G781" s="31" t="s">
        <v>3665</v>
      </c>
      <c r="H781" s="31" t="s">
        <v>3666</v>
      </c>
      <c r="I781" s="37" t="s">
        <v>3667</v>
      </c>
      <c r="J781" s="31" t="s">
        <v>2328</v>
      </c>
      <c r="K781" s="31" t="s">
        <v>2328</v>
      </c>
      <c r="L781" s="30" t="s">
        <v>2232</v>
      </c>
      <c r="M781" s="31" t="s">
        <v>2328</v>
      </c>
      <c r="N781" s="30"/>
      <c r="R781" s="9"/>
    </row>
    <row r="782" spans="1:18" ht="45" x14ac:dyDescent="0.25">
      <c r="A782" s="31" t="s">
        <v>3007</v>
      </c>
      <c r="B782" s="32" t="s">
        <v>3487</v>
      </c>
      <c r="C782" s="31" t="b">
        <v>0</v>
      </c>
      <c r="D782" s="31">
        <v>4</v>
      </c>
      <c r="E782" s="35" t="s">
        <v>3489</v>
      </c>
      <c r="F782" s="31" t="s">
        <v>139</v>
      </c>
      <c r="G782" s="31" t="s">
        <v>3665</v>
      </c>
      <c r="H782" s="31" t="s">
        <v>3666</v>
      </c>
      <c r="I782" s="37" t="s">
        <v>3667</v>
      </c>
      <c r="J782" s="31" t="s">
        <v>2328</v>
      </c>
      <c r="K782" s="31" t="s">
        <v>2328</v>
      </c>
      <c r="L782" s="30" t="s">
        <v>2232</v>
      </c>
      <c r="M782" s="31" t="s">
        <v>2328</v>
      </c>
      <c r="N782" s="30"/>
    </row>
    <row r="783" spans="1:18" ht="30" x14ac:dyDescent="0.25">
      <c r="A783" s="30" t="s">
        <v>3007</v>
      </c>
      <c r="B783" s="32" t="s">
        <v>3487</v>
      </c>
      <c r="C783" s="31" t="b">
        <v>0</v>
      </c>
      <c r="D783" s="31">
        <v>4</v>
      </c>
      <c r="E783" s="35" t="s">
        <v>3489</v>
      </c>
      <c r="F783" s="31" t="s">
        <v>139</v>
      </c>
      <c r="G783" s="31" t="s">
        <v>2328</v>
      </c>
      <c r="H783" s="31" t="s">
        <v>210</v>
      </c>
      <c r="I783" s="37" t="s">
        <v>210</v>
      </c>
      <c r="J783" s="31" t="s">
        <v>2328</v>
      </c>
      <c r="K783" s="30" t="s">
        <v>2328</v>
      </c>
      <c r="L783" s="30" t="s">
        <v>3437</v>
      </c>
      <c r="M783" s="31" t="e">
        <v>#N/A</v>
      </c>
      <c r="N783" s="30"/>
    </row>
    <row r="784" spans="1:18" ht="45" x14ac:dyDescent="0.25">
      <c r="A784" s="31" t="s">
        <v>3034</v>
      </c>
      <c r="B784" s="32" t="s">
        <v>3491</v>
      </c>
      <c r="C784" s="31" t="b">
        <v>0</v>
      </c>
      <c r="D784" s="31">
        <v>4</v>
      </c>
      <c r="E784" s="35" t="s">
        <v>3492</v>
      </c>
      <c r="F784" s="31" t="s">
        <v>139</v>
      </c>
      <c r="G784" s="31" t="s">
        <v>3665</v>
      </c>
      <c r="H784" s="31" t="s">
        <v>3666</v>
      </c>
      <c r="I784" s="37" t="s">
        <v>3667</v>
      </c>
      <c r="J784" s="31" t="s">
        <v>2328</v>
      </c>
      <c r="K784" s="31" t="s">
        <v>2328</v>
      </c>
      <c r="L784" s="30" t="s">
        <v>2232</v>
      </c>
      <c r="M784" s="31" t="s">
        <v>2328</v>
      </c>
      <c r="N784" s="30"/>
    </row>
    <row r="785" spans="1:18" ht="30" x14ac:dyDescent="0.25">
      <c r="A785" s="30" t="s">
        <v>3034</v>
      </c>
      <c r="B785" s="32" t="s">
        <v>3491</v>
      </c>
      <c r="C785" s="31" t="b">
        <v>0</v>
      </c>
      <c r="D785" s="31">
        <v>4</v>
      </c>
      <c r="E785" s="35" t="s">
        <v>3492</v>
      </c>
      <c r="F785" s="31" t="s">
        <v>139</v>
      </c>
      <c r="G785" s="31" t="s">
        <v>2328</v>
      </c>
      <c r="H785" s="31" t="s">
        <v>210</v>
      </c>
      <c r="I785" s="37" t="s">
        <v>210</v>
      </c>
      <c r="J785" s="31" t="s">
        <v>2328</v>
      </c>
      <c r="K785" s="30" t="s">
        <v>2328</v>
      </c>
      <c r="L785" s="30" t="s">
        <v>3437</v>
      </c>
      <c r="M785" s="31" t="e">
        <v>#N/A</v>
      </c>
      <c r="N785" s="30"/>
    </row>
    <row r="786" spans="1:18" ht="45" x14ac:dyDescent="0.25">
      <c r="A786" s="31" t="s">
        <v>2328</v>
      </c>
      <c r="B786" s="32" t="s">
        <v>3465</v>
      </c>
      <c r="C786" s="31" t="b">
        <v>1</v>
      </c>
      <c r="D786" s="31">
        <v>2</v>
      </c>
      <c r="E786" s="34" t="s">
        <v>3545</v>
      </c>
      <c r="F786" s="31" t="s">
        <v>3443</v>
      </c>
      <c r="G786" s="31" t="s">
        <v>3665</v>
      </c>
      <c r="H786" s="31" t="s">
        <v>3666</v>
      </c>
      <c r="I786" s="37" t="s">
        <v>3667</v>
      </c>
      <c r="J786" s="31" t="s">
        <v>2328</v>
      </c>
      <c r="K786" s="31" t="s">
        <v>2328</v>
      </c>
      <c r="L786" s="30" t="s">
        <v>2232</v>
      </c>
      <c r="M786" s="31" t="s">
        <v>2328</v>
      </c>
      <c r="N786" s="30"/>
    </row>
    <row r="787" spans="1:18" ht="30" x14ac:dyDescent="0.25">
      <c r="A787" s="30" t="s">
        <v>2328</v>
      </c>
      <c r="B787" s="32" t="s">
        <v>3465</v>
      </c>
      <c r="C787" s="31" t="b">
        <v>1</v>
      </c>
      <c r="D787" s="31">
        <v>2</v>
      </c>
      <c r="E787" s="34" t="s">
        <v>3545</v>
      </c>
      <c r="F787" s="31" t="s">
        <v>3443</v>
      </c>
      <c r="G787" s="31" t="s">
        <v>2328</v>
      </c>
      <c r="H787" s="31" t="s">
        <v>210</v>
      </c>
      <c r="I787" s="37" t="s">
        <v>210</v>
      </c>
      <c r="J787" s="31" t="s">
        <v>2328</v>
      </c>
      <c r="K787" s="30" t="s">
        <v>2328</v>
      </c>
      <c r="L787" s="30" t="s">
        <v>3419</v>
      </c>
      <c r="M787" s="31" t="s">
        <v>2328</v>
      </c>
      <c r="N787" s="30"/>
    </row>
    <row r="788" spans="1:18" ht="45" x14ac:dyDescent="0.25">
      <c r="A788" s="31" t="s">
        <v>2328</v>
      </c>
      <c r="B788" s="32" t="s">
        <v>3467</v>
      </c>
      <c r="C788" s="31" t="b">
        <v>0</v>
      </c>
      <c r="D788" s="31">
        <v>4</v>
      </c>
      <c r="E788" s="35" t="s">
        <v>3468</v>
      </c>
      <c r="F788" s="31" t="s">
        <v>131</v>
      </c>
      <c r="G788" s="31" t="s">
        <v>3665</v>
      </c>
      <c r="H788" s="31" t="s">
        <v>3666</v>
      </c>
      <c r="I788" s="37" t="s">
        <v>3667</v>
      </c>
      <c r="J788" s="31" t="s">
        <v>2328</v>
      </c>
      <c r="K788" s="31" t="s">
        <v>2328</v>
      </c>
      <c r="L788" s="30" t="s">
        <v>2232</v>
      </c>
      <c r="M788" s="31" t="s">
        <v>2328</v>
      </c>
      <c r="N788" s="30"/>
    </row>
    <row r="789" spans="1:18" ht="30" x14ac:dyDescent="0.25">
      <c r="A789" s="30" t="s">
        <v>2328</v>
      </c>
      <c r="B789" s="32" t="s">
        <v>3467</v>
      </c>
      <c r="C789" s="31" t="b">
        <v>0</v>
      </c>
      <c r="D789" s="31">
        <v>4</v>
      </c>
      <c r="E789" s="35" t="s">
        <v>3468</v>
      </c>
      <c r="F789" s="31" t="s">
        <v>131</v>
      </c>
      <c r="G789" s="31" t="s">
        <v>2328</v>
      </c>
      <c r="H789" s="31" t="s">
        <v>210</v>
      </c>
      <c r="I789" s="37" t="s">
        <v>210</v>
      </c>
      <c r="J789" s="31" t="s">
        <v>2328</v>
      </c>
      <c r="K789" s="30" t="s">
        <v>2328</v>
      </c>
      <c r="L789" s="30" t="s">
        <v>3419</v>
      </c>
      <c r="M789" s="31" t="s">
        <v>2328</v>
      </c>
      <c r="N789" s="30"/>
      <c r="R789" s="9"/>
    </row>
    <row r="790" spans="1:18" ht="75" x14ac:dyDescent="0.25">
      <c r="A790" s="31" t="s">
        <v>2328</v>
      </c>
      <c r="B790" s="32" t="s">
        <v>3469</v>
      </c>
      <c r="C790" s="31" t="b">
        <v>0</v>
      </c>
      <c r="D790" s="31">
        <v>4</v>
      </c>
      <c r="E790" s="35" t="s">
        <v>3470</v>
      </c>
      <c r="F790" s="31" t="s">
        <v>131</v>
      </c>
      <c r="G790" s="31" t="s">
        <v>3665</v>
      </c>
      <c r="H790" s="31" t="s">
        <v>3666</v>
      </c>
      <c r="I790" s="37" t="s">
        <v>3667</v>
      </c>
      <c r="J790" s="31" t="s">
        <v>2328</v>
      </c>
      <c r="K790" s="31" t="s">
        <v>2328</v>
      </c>
      <c r="L790" s="30" t="s">
        <v>2232</v>
      </c>
      <c r="M790" s="31" t="s">
        <v>2328</v>
      </c>
      <c r="N790" s="30"/>
      <c r="R790" s="8"/>
    </row>
    <row r="791" spans="1:18" ht="75" x14ac:dyDescent="0.25">
      <c r="A791" s="30" t="s">
        <v>2328</v>
      </c>
      <c r="B791" s="32" t="s">
        <v>3469</v>
      </c>
      <c r="C791" s="31" t="b">
        <v>0</v>
      </c>
      <c r="D791" s="31">
        <v>4</v>
      </c>
      <c r="E791" s="35" t="s">
        <v>3470</v>
      </c>
      <c r="F791" s="31" t="s">
        <v>131</v>
      </c>
      <c r="G791" s="31" t="s">
        <v>2328</v>
      </c>
      <c r="H791" s="31" t="s">
        <v>210</v>
      </c>
      <c r="I791" s="37" t="s">
        <v>210</v>
      </c>
      <c r="J791" s="31" t="s">
        <v>2328</v>
      </c>
      <c r="K791" s="30" t="s">
        <v>2328</v>
      </c>
      <c r="L791" s="30" t="s">
        <v>3419</v>
      </c>
      <c r="M791" s="31" t="s">
        <v>2328</v>
      </c>
      <c r="N791" s="30"/>
    </row>
    <row r="792" spans="1:18" ht="240" x14ac:dyDescent="0.25">
      <c r="A792" s="31" t="s">
        <v>2328</v>
      </c>
      <c r="B792" s="32" t="s">
        <v>3471</v>
      </c>
      <c r="C792" s="31" t="b">
        <v>0</v>
      </c>
      <c r="D792" s="31">
        <v>4</v>
      </c>
      <c r="E792" s="35" t="s">
        <v>3472</v>
      </c>
      <c r="F792" s="31" t="s">
        <v>131</v>
      </c>
      <c r="G792" s="31" t="s">
        <v>3665</v>
      </c>
      <c r="H792" s="31" t="s">
        <v>3666</v>
      </c>
      <c r="I792" s="37" t="s">
        <v>3667</v>
      </c>
      <c r="J792" s="31" t="s">
        <v>2328</v>
      </c>
      <c r="K792" s="31" t="s">
        <v>2328</v>
      </c>
      <c r="L792" s="30" t="s">
        <v>2232</v>
      </c>
      <c r="M792" s="31" t="s">
        <v>2328</v>
      </c>
      <c r="N792" s="30"/>
    </row>
    <row r="793" spans="1:18" ht="240" x14ac:dyDescent="0.25">
      <c r="A793" s="30" t="s">
        <v>2328</v>
      </c>
      <c r="B793" s="32" t="s">
        <v>3471</v>
      </c>
      <c r="C793" s="31" t="b">
        <v>0</v>
      </c>
      <c r="D793" s="31">
        <v>4</v>
      </c>
      <c r="E793" s="35" t="s">
        <v>3472</v>
      </c>
      <c r="F793" s="31" t="s">
        <v>131</v>
      </c>
      <c r="G793" s="31" t="s">
        <v>2328</v>
      </c>
      <c r="H793" s="31" t="s">
        <v>210</v>
      </c>
      <c r="I793" s="37" t="s">
        <v>210</v>
      </c>
      <c r="J793" s="31" t="s">
        <v>2328</v>
      </c>
      <c r="K793" s="30" t="s">
        <v>2328</v>
      </c>
      <c r="L793" s="30" t="s">
        <v>3419</v>
      </c>
      <c r="M793" s="31" t="s">
        <v>2328</v>
      </c>
      <c r="N793" s="30"/>
    </row>
    <row r="794" spans="1:18" ht="45" x14ac:dyDescent="0.25">
      <c r="A794" s="31" t="s">
        <v>2328</v>
      </c>
      <c r="B794" s="32" t="s">
        <v>3494</v>
      </c>
      <c r="C794" s="31" t="b">
        <v>1</v>
      </c>
      <c r="D794" s="31">
        <v>4</v>
      </c>
      <c r="E794" s="35" t="s">
        <v>3552</v>
      </c>
      <c r="F794" s="31" t="s">
        <v>3443</v>
      </c>
      <c r="G794" s="31" t="s">
        <v>3665</v>
      </c>
      <c r="H794" s="31" t="s">
        <v>3666</v>
      </c>
      <c r="I794" s="37" t="s">
        <v>3667</v>
      </c>
      <c r="J794" s="31" t="s">
        <v>2328</v>
      </c>
      <c r="K794" s="31" t="s">
        <v>2328</v>
      </c>
      <c r="L794" s="30" t="s">
        <v>2232</v>
      </c>
      <c r="M794" s="31" t="s">
        <v>2328</v>
      </c>
      <c r="N794" s="30"/>
    </row>
    <row r="795" spans="1:18" ht="30" x14ac:dyDescent="0.25">
      <c r="A795" s="30" t="s">
        <v>2328</v>
      </c>
      <c r="B795" s="32" t="s">
        <v>3494</v>
      </c>
      <c r="C795" s="31" t="b">
        <v>1</v>
      </c>
      <c r="D795" s="31">
        <v>4</v>
      </c>
      <c r="E795" s="35" t="s">
        <v>3552</v>
      </c>
      <c r="F795" s="31" t="s">
        <v>3443</v>
      </c>
      <c r="G795" s="31" t="s">
        <v>2328</v>
      </c>
      <c r="H795" s="31" t="s">
        <v>210</v>
      </c>
      <c r="I795" s="37" t="s">
        <v>210</v>
      </c>
      <c r="J795" s="31" t="s">
        <v>2328</v>
      </c>
      <c r="K795" s="30" t="s">
        <v>2328</v>
      </c>
      <c r="L795" s="30" t="s">
        <v>3419</v>
      </c>
      <c r="M795" s="31" t="s">
        <v>2328</v>
      </c>
      <c r="N795" s="30"/>
    </row>
    <row r="796" spans="1:18" ht="45" x14ac:dyDescent="0.25">
      <c r="A796" s="31" t="s">
        <v>2328</v>
      </c>
      <c r="B796" s="32" t="s">
        <v>3496</v>
      </c>
      <c r="C796" s="31" t="b">
        <v>0</v>
      </c>
      <c r="D796" s="31">
        <v>6</v>
      </c>
      <c r="E796" s="38" t="s">
        <v>3498</v>
      </c>
      <c r="F796" s="31" t="s">
        <v>131</v>
      </c>
      <c r="G796" s="31" t="s">
        <v>3665</v>
      </c>
      <c r="H796" s="31" t="s">
        <v>3666</v>
      </c>
      <c r="I796" s="37" t="s">
        <v>3667</v>
      </c>
      <c r="J796" s="31" t="s">
        <v>2328</v>
      </c>
      <c r="K796" s="31" t="s">
        <v>2328</v>
      </c>
      <c r="L796" s="30" t="s">
        <v>2232</v>
      </c>
      <c r="M796" s="31" t="s">
        <v>2328</v>
      </c>
      <c r="N796" s="30"/>
    </row>
    <row r="797" spans="1:18" ht="30" x14ac:dyDescent="0.25">
      <c r="A797" s="30" t="s">
        <v>2328</v>
      </c>
      <c r="B797" s="32" t="s">
        <v>3496</v>
      </c>
      <c r="C797" s="31" t="b">
        <v>0</v>
      </c>
      <c r="D797" s="31">
        <v>6</v>
      </c>
      <c r="E797" s="38" t="s">
        <v>3498</v>
      </c>
      <c r="F797" s="31" t="s">
        <v>131</v>
      </c>
      <c r="G797" s="31" t="s">
        <v>2328</v>
      </c>
      <c r="H797" s="31" t="s">
        <v>210</v>
      </c>
      <c r="I797" s="37" t="s">
        <v>210</v>
      </c>
      <c r="J797" s="31" t="s">
        <v>2328</v>
      </c>
      <c r="K797" s="30" t="s">
        <v>2328</v>
      </c>
      <c r="L797" s="30" t="s">
        <v>3419</v>
      </c>
      <c r="M797" s="31" t="s">
        <v>2328</v>
      </c>
      <c r="N797" s="30"/>
      <c r="R797" s="9"/>
    </row>
    <row r="798" spans="1:18" ht="45" x14ac:dyDescent="0.25">
      <c r="A798" s="31" t="s">
        <v>2328</v>
      </c>
      <c r="B798" s="32" t="s">
        <v>3499</v>
      </c>
      <c r="C798" s="31" t="b">
        <v>0</v>
      </c>
      <c r="D798" s="31">
        <v>6</v>
      </c>
      <c r="E798" s="38" t="s">
        <v>3501</v>
      </c>
      <c r="F798" s="31" t="s">
        <v>131</v>
      </c>
      <c r="G798" s="31" t="s">
        <v>3665</v>
      </c>
      <c r="H798" s="31" t="s">
        <v>3666</v>
      </c>
      <c r="I798" s="37" t="s">
        <v>3667</v>
      </c>
      <c r="J798" s="31" t="s">
        <v>2328</v>
      </c>
      <c r="K798" s="31" t="s">
        <v>2328</v>
      </c>
      <c r="L798" s="30" t="s">
        <v>2232</v>
      </c>
      <c r="M798" s="31" t="s">
        <v>2328</v>
      </c>
      <c r="N798" s="30"/>
    </row>
    <row r="799" spans="1:18" ht="30" x14ac:dyDescent="0.25">
      <c r="A799" s="30" t="s">
        <v>2328</v>
      </c>
      <c r="B799" s="32" t="s">
        <v>3499</v>
      </c>
      <c r="C799" s="31" t="b">
        <v>0</v>
      </c>
      <c r="D799" s="31">
        <v>6</v>
      </c>
      <c r="E799" s="38" t="s">
        <v>3501</v>
      </c>
      <c r="F799" s="31" t="s">
        <v>131</v>
      </c>
      <c r="G799" s="31" t="s">
        <v>2328</v>
      </c>
      <c r="H799" s="31" t="s">
        <v>210</v>
      </c>
      <c r="I799" s="37" t="s">
        <v>210</v>
      </c>
      <c r="J799" s="31" t="s">
        <v>2328</v>
      </c>
      <c r="K799" s="30" t="s">
        <v>2328</v>
      </c>
      <c r="L799" s="30" t="s">
        <v>3419</v>
      </c>
      <c r="M799" s="31" t="s">
        <v>2328</v>
      </c>
      <c r="N799" s="30"/>
    </row>
    <row r="800" spans="1:18" ht="45" x14ac:dyDescent="0.25">
      <c r="A800" s="31" t="s">
        <v>2328</v>
      </c>
      <c r="B800" s="32" t="s">
        <v>3502</v>
      </c>
      <c r="C800" s="31" t="b">
        <v>0</v>
      </c>
      <c r="D800" s="31">
        <v>6</v>
      </c>
      <c r="E800" s="38" t="s">
        <v>3504</v>
      </c>
      <c r="F800" s="31" t="s">
        <v>131</v>
      </c>
      <c r="G800" s="31" t="s">
        <v>3665</v>
      </c>
      <c r="H800" s="31" t="s">
        <v>3666</v>
      </c>
      <c r="I800" s="37" t="s">
        <v>3667</v>
      </c>
      <c r="J800" s="31" t="s">
        <v>2328</v>
      </c>
      <c r="K800" s="31" t="s">
        <v>2328</v>
      </c>
      <c r="L800" s="30" t="s">
        <v>2232</v>
      </c>
      <c r="M800" s="31" t="s">
        <v>2328</v>
      </c>
      <c r="N800" s="30"/>
    </row>
    <row r="801" spans="1:18" ht="30" x14ac:dyDescent="0.25">
      <c r="A801" s="30" t="s">
        <v>2328</v>
      </c>
      <c r="B801" s="32" t="s">
        <v>3502</v>
      </c>
      <c r="C801" s="31" t="b">
        <v>0</v>
      </c>
      <c r="D801" s="31">
        <v>6</v>
      </c>
      <c r="E801" s="38" t="s">
        <v>3504</v>
      </c>
      <c r="F801" s="31" t="s">
        <v>131</v>
      </c>
      <c r="G801" s="31" t="s">
        <v>2328</v>
      </c>
      <c r="H801" s="31" t="s">
        <v>210</v>
      </c>
      <c r="I801" s="37" t="s">
        <v>210</v>
      </c>
      <c r="J801" s="31" t="s">
        <v>2328</v>
      </c>
      <c r="K801" s="30" t="s">
        <v>2328</v>
      </c>
      <c r="L801" s="30" t="s">
        <v>3419</v>
      </c>
      <c r="M801" s="31" t="s">
        <v>2328</v>
      </c>
      <c r="N801" s="30"/>
      <c r="R801" s="9"/>
    </row>
    <row r="802" spans="1:18" ht="45" x14ac:dyDescent="0.25">
      <c r="A802" s="31" t="s">
        <v>2328</v>
      </c>
      <c r="B802" s="32" t="s">
        <v>3505</v>
      </c>
      <c r="C802" s="31" t="b">
        <v>0</v>
      </c>
      <c r="D802" s="31">
        <v>6</v>
      </c>
      <c r="E802" s="38" t="s">
        <v>3507</v>
      </c>
      <c r="F802" s="31" t="s">
        <v>131</v>
      </c>
      <c r="G802" s="31" t="s">
        <v>3665</v>
      </c>
      <c r="H802" s="31" t="s">
        <v>3666</v>
      </c>
      <c r="I802" s="37" t="s">
        <v>3667</v>
      </c>
      <c r="J802" s="31" t="s">
        <v>2328</v>
      </c>
      <c r="K802" s="31" t="s">
        <v>2328</v>
      </c>
      <c r="L802" s="30" t="s">
        <v>2232</v>
      </c>
      <c r="M802" s="31" t="s">
        <v>2328</v>
      </c>
      <c r="N802" s="30"/>
    </row>
    <row r="803" spans="1:18" ht="30" x14ac:dyDescent="0.25">
      <c r="A803" s="30" t="s">
        <v>2328</v>
      </c>
      <c r="B803" s="32" t="s">
        <v>3505</v>
      </c>
      <c r="C803" s="31" t="b">
        <v>0</v>
      </c>
      <c r="D803" s="31">
        <v>6</v>
      </c>
      <c r="E803" s="38" t="s">
        <v>3507</v>
      </c>
      <c r="F803" s="31" t="s">
        <v>131</v>
      </c>
      <c r="G803" s="31" t="s">
        <v>2328</v>
      </c>
      <c r="H803" s="31" t="s">
        <v>210</v>
      </c>
      <c r="I803" s="37" t="s">
        <v>210</v>
      </c>
      <c r="J803" s="31" t="s">
        <v>2328</v>
      </c>
      <c r="K803" s="30" t="s">
        <v>2328</v>
      </c>
      <c r="L803" s="30" t="s">
        <v>3419</v>
      </c>
      <c r="M803" s="31" t="s">
        <v>2328</v>
      </c>
      <c r="N803" s="30"/>
    </row>
    <row r="804" spans="1:18" ht="45" x14ac:dyDescent="0.25">
      <c r="A804" s="31" t="s">
        <v>2328</v>
      </c>
      <c r="B804" s="32" t="s">
        <v>3508</v>
      </c>
      <c r="C804" s="31" t="b">
        <v>0</v>
      </c>
      <c r="D804" s="31">
        <v>6</v>
      </c>
      <c r="E804" s="38" t="s">
        <v>3510</v>
      </c>
      <c r="F804" s="31" t="s">
        <v>131</v>
      </c>
      <c r="G804" s="31" t="s">
        <v>3665</v>
      </c>
      <c r="H804" s="31" t="s">
        <v>3666</v>
      </c>
      <c r="I804" s="37" t="s">
        <v>3667</v>
      </c>
      <c r="J804" s="31" t="s">
        <v>2328</v>
      </c>
      <c r="K804" s="31" t="s">
        <v>2328</v>
      </c>
      <c r="L804" s="30" t="s">
        <v>2232</v>
      </c>
      <c r="M804" s="31" t="s">
        <v>2328</v>
      </c>
      <c r="N804" s="30"/>
    </row>
    <row r="805" spans="1:18" ht="30" x14ac:dyDescent="0.25">
      <c r="A805" s="30" t="s">
        <v>2328</v>
      </c>
      <c r="B805" s="32" t="s">
        <v>3508</v>
      </c>
      <c r="C805" s="31" t="b">
        <v>0</v>
      </c>
      <c r="D805" s="31">
        <v>6</v>
      </c>
      <c r="E805" s="38" t="s">
        <v>3510</v>
      </c>
      <c r="F805" s="31" t="s">
        <v>131</v>
      </c>
      <c r="G805" s="31" t="s">
        <v>2328</v>
      </c>
      <c r="H805" s="31" t="s">
        <v>210</v>
      </c>
      <c r="I805" s="37" t="s">
        <v>210</v>
      </c>
      <c r="J805" s="31" t="s">
        <v>2328</v>
      </c>
      <c r="K805" s="30" t="s">
        <v>2328</v>
      </c>
      <c r="L805" s="30" t="s">
        <v>3419</v>
      </c>
      <c r="M805" s="31" t="s">
        <v>2328</v>
      </c>
      <c r="N805" s="30"/>
      <c r="R805" s="9"/>
    </row>
    <row r="806" spans="1:18" ht="45" x14ac:dyDescent="0.25">
      <c r="A806" s="31" t="s">
        <v>2328</v>
      </c>
      <c r="B806" s="32" t="s">
        <v>3456</v>
      </c>
      <c r="C806" s="31" t="b">
        <v>1</v>
      </c>
      <c r="D806" s="31">
        <v>4</v>
      </c>
      <c r="E806" s="35" t="s">
        <v>3544</v>
      </c>
      <c r="F806" s="31" t="s">
        <v>3443</v>
      </c>
      <c r="G806" s="31" t="s">
        <v>3665</v>
      </c>
      <c r="H806" s="31" t="s">
        <v>3666</v>
      </c>
      <c r="I806" s="37" t="s">
        <v>3667</v>
      </c>
      <c r="J806" s="31" t="s">
        <v>2328</v>
      </c>
      <c r="K806" s="31" t="s">
        <v>2328</v>
      </c>
      <c r="L806" s="30" t="s">
        <v>2232</v>
      </c>
      <c r="M806" s="31" t="s">
        <v>2328</v>
      </c>
      <c r="N806" s="30"/>
      <c r="R806" s="9"/>
    </row>
    <row r="807" spans="1:18" ht="30" x14ac:dyDescent="0.25">
      <c r="A807" s="31" t="s">
        <v>2328</v>
      </c>
      <c r="B807" s="32" t="s">
        <v>3456</v>
      </c>
      <c r="C807" s="31" t="b">
        <v>1</v>
      </c>
      <c r="D807" s="31">
        <v>4</v>
      </c>
      <c r="E807" s="35" t="s">
        <v>3544</v>
      </c>
      <c r="F807" s="31" t="s">
        <v>3443</v>
      </c>
      <c r="G807" s="31" t="s">
        <v>2328</v>
      </c>
      <c r="H807" s="31" t="s">
        <v>210</v>
      </c>
      <c r="I807" s="37" t="s">
        <v>210</v>
      </c>
      <c r="J807" s="31" t="s">
        <v>2328</v>
      </c>
      <c r="K807" s="31" t="s">
        <v>2328</v>
      </c>
      <c r="L807" s="31" t="s">
        <v>3419</v>
      </c>
      <c r="M807" s="31" t="s">
        <v>2328</v>
      </c>
    </row>
    <row r="808" spans="1:18" ht="45" x14ac:dyDescent="0.25">
      <c r="A808" s="31" t="s">
        <v>2328</v>
      </c>
      <c r="B808" s="32" t="s">
        <v>3459</v>
      </c>
      <c r="C808" s="31" t="b">
        <v>0</v>
      </c>
      <c r="D808" s="31">
        <v>6</v>
      </c>
      <c r="E808" s="38" t="s">
        <v>3461</v>
      </c>
      <c r="F808" s="31" t="s">
        <v>131</v>
      </c>
      <c r="G808" s="31" t="s">
        <v>3665</v>
      </c>
      <c r="H808" s="31" t="s">
        <v>3666</v>
      </c>
      <c r="I808" s="37" t="s">
        <v>3667</v>
      </c>
      <c r="J808" s="31" t="s">
        <v>2328</v>
      </c>
      <c r="K808" s="31" t="s">
        <v>2328</v>
      </c>
      <c r="L808" s="30" t="s">
        <v>2232</v>
      </c>
      <c r="M808" s="31" t="s">
        <v>2328</v>
      </c>
    </row>
    <row r="809" spans="1:18" ht="45" x14ac:dyDescent="0.25">
      <c r="A809" s="30" t="s">
        <v>2328</v>
      </c>
      <c r="B809" s="32" t="s">
        <v>3459</v>
      </c>
      <c r="C809" s="31" t="b">
        <v>0</v>
      </c>
      <c r="D809" s="31">
        <v>6</v>
      </c>
      <c r="E809" s="38" t="s">
        <v>3461</v>
      </c>
      <c r="F809" s="31" t="s">
        <v>131</v>
      </c>
      <c r="G809" s="31" t="s">
        <v>2328</v>
      </c>
      <c r="H809" s="31" t="s">
        <v>210</v>
      </c>
      <c r="I809" s="37" t="s">
        <v>210</v>
      </c>
      <c r="J809" s="31" t="s">
        <v>2328</v>
      </c>
      <c r="K809" s="30" t="s">
        <v>2328</v>
      </c>
      <c r="L809" s="30" t="s">
        <v>3419</v>
      </c>
      <c r="M809" s="31" t="s">
        <v>2328</v>
      </c>
    </row>
    <row r="810" spans="1:18" ht="75" x14ac:dyDescent="0.25">
      <c r="A810" s="31" t="s">
        <v>2328</v>
      </c>
      <c r="B810" s="32" t="s">
        <v>3462</v>
      </c>
      <c r="C810" s="31" t="b">
        <v>0</v>
      </c>
      <c r="D810" s="31">
        <v>6</v>
      </c>
      <c r="E810" s="38" t="s">
        <v>3464</v>
      </c>
      <c r="F810" s="31" t="s">
        <v>131</v>
      </c>
      <c r="G810" s="31" t="s">
        <v>3665</v>
      </c>
      <c r="H810" s="31" t="s">
        <v>3666</v>
      </c>
      <c r="I810" s="37" t="s">
        <v>3667</v>
      </c>
      <c r="J810" s="31" t="s">
        <v>2328</v>
      </c>
      <c r="K810" s="31" t="s">
        <v>2328</v>
      </c>
      <c r="L810" s="30" t="s">
        <v>2232</v>
      </c>
      <c r="M810" s="31" t="s">
        <v>2328</v>
      </c>
    </row>
    <row r="811" spans="1:18" ht="75" x14ac:dyDescent="0.25">
      <c r="A811" s="30" t="s">
        <v>2328</v>
      </c>
      <c r="B811" s="32" t="s">
        <v>3462</v>
      </c>
      <c r="C811" s="31" t="b">
        <v>0</v>
      </c>
      <c r="D811" s="31">
        <v>6</v>
      </c>
      <c r="E811" s="38" t="s">
        <v>3464</v>
      </c>
      <c r="F811" s="31" t="s">
        <v>131</v>
      </c>
      <c r="G811" s="31" t="s">
        <v>2328</v>
      </c>
      <c r="H811" s="31" t="s">
        <v>210</v>
      </c>
      <c r="I811" s="37" t="s">
        <v>210</v>
      </c>
      <c r="J811" s="31" t="s">
        <v>2328</v>
      </c>
      <c r="K811" s="30" t="s">
        <v>2328</v>
      </c>
      <c r="L811" s="30" t="s">
        <v>3419</v>
      </c>
      <c r="M811" s="31" t="s">
        <v>2328</v>
      </c>
    </row>
    <row r="812" spans="1:18" ht="45" x14ac:dyDescent="0.25">
      <c r="A812" s="31" t="s">
        <v>3046</v>
      </c>
      <c r="B812" s="32" t="s">
        <v>3564</v>
      </c>
      <c r="C812" s="31" t="b">
        <v>0</v>
      </c>
      <c r="D812" s="31">
        <v>6</v>
      </c>
      <c r="E812" s="38" t="s">
        <v>3565</v>
      </c>
      <c r="F812" s="31" t="s">
        <v>131</v>
      </c>
      <c r="G812" s="31" t="s">
        <v>3665</v>
      </c>
      <c r="H812" s="31" t="s">
        <v>3666</v>
      </c>
      <c r="I812" s="37" t="s">
        <v>3667</v>
      </c>
      <c r="J812" s="31" t="s">
        <v>2328</v>
      </c>
      <c r="K812" s="31" t="s">
        <v>411</v>
      </c>
      <c r="L812" s="30" t="s">
        <v>2232</v>
      </c>
      <c r="M812" s="31" t="s">
        <v>2328</v>
      </c>
    </row>
    <row r="813" spans="1:18" ht="30" x14ac:dyDescent="0.25">
      <c r="A813" s="30" t="s">
        <v>3046</v>
      </c>
      <c r="B813" s="32" t="s">
        <v>3564</v>
      </c>
      <c r="C813" s="31" t="b">
        <v>0</v>
      </c>
      <c r="D813" s="31">
        <v>6</v>
      </c>
      <c r="E813" s="38" t="s">
        <v>3565</v>
      </c>
      <c r="F813" s="31" t="s">
        <v>131</v>
      </c>
      <c r="G813" s="31" t="s">
        <v>2328</v>
      </c>
      <c r="H813" s="31" t="s">
        <v>210</v>
      </c>
      <c r="I813" s="37" t="s">
        <v>210</v>
      </c>
      <c r="J813" s="31" t="s">
        <v>2328</v>
      </c>
      <c r="K813" s="30" t="s">
        <v>2328</v>
      </c>
      <c r="L813" s="30" t="s">
        <v>3419</v>
      </c>
      <c r="M813" s="31" t="s">
        <v>2328</v>
      </c>
    </row>
    <row r="814" spans="1:18" ht="45" x14ac:dyDescent="0.25">
      <c r="A814" s="31" t="s">
        <v>2328</v>
      </c>
      <c r="B814" s="32" t="s">
        <v>3579</v>
      </c>
      <c r="C814" s="31" t="b">
        <v>0</v>
      </c>
      <c r="D814" s="31">
        <v>2</v>
      </c>
      <c r="E814" s="34" t="s">
        <v>3581</v>
      </c>
      <c r="F814" s="31" t="s">
        <v>131</v>
      </c>
      <c r="G814" s="31" t="s">
        <v>3665</v>
      </c>
      <c r="H814" s="31" t="s">
        <v>3666</v>
      </c>
      <c r="I814" s="37" t="s">
        <v>3667</v>
      </c>
      <c r="J814" s="31" t="s">
        <v>2328</v>
      </c>
      <c r="K814" s="31" t="s">
        <v>3671</v>
      </c>
      <c r="L814" s="30" t="s">
        <v>3419</v>
      </c>
      <c r="M814" s="31" t="s">
        <v>2328</v>
      </c>
    </row>
    <row r="815" spans="1:18" ht="45" x14ac:dyDescent="0.25">
      <c r="A815" s="31" t="s">
        <v>2731</v>
      </c>
      <c r="B815" s="32" t="s">
        <v>3583</v>
      </c>
      <c r="C815" s="31" t="b">
        <v>0</v>
      </c>
      <c r="D815" s="31">
        <v>4</v>
      </c>
      <c r="E815" s="35" t="s">
        <v>3585</v>
      </c>
      <c r="F815" s="31" t="s">
        <v>131</v>
      </c>
      <c r="G815" s="31" t="s">
        <v>3665</v>
      </c>
      <c r="H815" s="31" t="s">
        <v>3666</v>
      </c>
      <c r="I815" s="37" t="s">
        <v>3667</v>
      </c>
      <c r="J815" s="31" t="s">
        <v>2328</v>
      </c>
      <c r="K815" s="31" t="s">
        <v>230</v>
      </c>
      <c r="L815" s="30" t="s">
        <v>2232</v>
      </c>
      <c r="M815" s="31" t="s">
        <v>2328</v>
      </c>
    </row>
    <row r="816" spans="1:18" ht="45" x14ac:dyDescent="0.25">
      <c r="A816" s="31" t="s">
        <v>2328</v>
      </c>
      <c r="B816" s="32" t="s">
        <v>3573</v>
      </c>
      <c r="C816" s="31" t="b">
        <v>0</v>
      </c>
      <c r="D816" s="31">
        <v>2</v>
      </c>
      <c r="E816" s="34" t="s">
        <v>3575</v>
      </c>
      <c r="F816" s="31" t="s">
        <v>139</v>
      </c>
      <c r="G816" s="31" t="s">
        <v>3665</v>
      </c>
      <c r="H816" s="31" t="s">
        <v>3666</v>
      </c>
      <c r="I816" s="37" t="s">
        <v>3667</v>
      </c>
      <c r="J816" s="31" t="s">
        <v>2328</v>
      </c>
      <c r="K816" s="31" t="s">
        <v>2328</v>
      </c>
      <c r="L816" s="30" t="s">
        <v>3437</v>
      </c>
      <c r="M816" s="31"/>
    </row>
    <row r="817" spans="1:13" ht="45" x14ac:dyDescent="0.25">
      <c r="A817" s="31" t="s">
        <v>2328</v>
      </c>
      <c r="B817" s="32" t="s">
        <v>3576</v>
      </c>
      <c r="C817" s="31" t="b">
        <v>0</v>
      </c>
      <c r="D817" s="31">
        <v>2</v>
      </c>
      <c r="E817" s="34" t="s">
        <v>3418</v>
      </c>
      <c r="F817" s="31" t="s">
        <v>139</v>
      </c>
      <c r="G817" s="31" t="s">
        <v>3665</v>
      </c>
      <c r="H817" s="31" t="s">
        <v>3666</v>
      </c>
      <c r="I817" s="37" t="s">
        <v>3667</v>
      </c>
      <c r="J817" s="31" t="s">
        <v>2328</v>
      </c>
      <c r="K817" s="31" t="s">
        <v>2328</v>
      </c>
      <c r="L817" s="30" t="s">
        <v>3437</v>
      </c>
      <c r="M817" s="31"/>
    </row>
    <row r="818" spans="1:13" ht="45" x14ac:dyDescent="0.25">
      <c r="A818" s="31" t="s">
        <v>2328</v>
      </c>
      <c r="B818" s="32" t="s">
        <v>3578</v>
      </c>
      <c r="C818" s="31" t="b">
        <v>0</v>
      </c>
      <c r="D818" s="31">
        <v>2</v>
      </c>
      <c r="E818" s="34" t="s">
        <v>3418</v>
      </c>
      <c r="F818" s="31" t="s">
        <v>139</v>
      </c>
      <c r="G818" s="31" t="s">
        <v>3665</v>
      </c>
      <c r="H818" s="31" t="s">
        <v>3666</v>
      </c>
      <c r="I818" s="37" t="s">
        <v>3667</v>
      </c>
      <c r="J818" s="31" t="s">
        <v>2328</v>
      </c>
      <c r="K818" s="31" t="s">
        <v>2328</v>
      </c>
      <c r="L818" s="30" t="s">
        <v>3437</v>
      </c>
      <c r="M818" s="31"/>
    </row>
    <row r="819" spans="1:13" ht="45" x14ac:dyDescent="0.25">
      <c r="A819" s="15"/>
      <c r="B819" s="15"/>
      <c r="C819" s="15"/>
      <c r="D819" s="15"/>
      <c r="E819" s="26" t="s">
        <v>3568</v>
      </c>
      <c r="F819" s="15"/>
      <c r="G819" s="15"/>
      <c r="H819" s="15"/>
      <c r="I819" s="15"/>
      <c r="J819" s="15"/>
      <c r="K819" s="15"/>
      <c r="L819" s="25"/>
      <c r="M819" s="17"/>
    </row>
    <row r="820" spans="1:13" x14ac:dyDescent="0.25">
      <c r="A820" s="15"/>
      <c r="B820" s="15"/>
      <c r="C820" s="15"/>
      <c r="D820" s="15"/>
      <c r="E820" s="20" t="s">
        <v>2327</v>
      </c>
      <c r="F820" s="15"/>
      <c r="G820" s="15"/>
      <c r="H820" s="15"/>
      <c r="I820" s="15"/>
      <c r="J820" s="15"/>
      <c r="K820" s="15"/>
      <c r="L820" s="25"/>
      <c r="M820" s="17"/>
    </row>
    <row r="821" spans="1:13" x14ac:dyDescent="0.25">
      <c r="A821" s="15"/>
      <c r="B821" s="15"/>
      <c r="C821" s="15"/>
      <c r="D821" s="15"/>
      <c r="E821" s="21" t="s">
        <v>3417</v>
      </c>
      <c r="F821" s="15"/>
      <c r="G821" s="15"/>
      <c r="H821" s="15"/>
      <c r="I821" s="15"/>
      <c r="J821" s="15"/>
      <c r="K821" s="15"/>
      <c r="L821" s="25"/>
      <c r="M821" s="17"/>
    </row>
    <row r="822" spans="1:13" x14ac:dyDescent="0.25">
      <c r="A822" s="15"/>
      <c r="B822" s="15"/>
      <c r="C822" s="15"/>
      <c r="D822" s="15"/>
      <c r="E822" s="20" t="s">
        <v>2330</v>
      </c>
      <c r="F822" s="15"/>
      <c r="G822" s="15"/>
      <c r="H822" s="15"/>
      <c r="I822" s="15"/>
      <c r="J822" s="15"/>
      <c r="K822" s="15"/>
      <c r="L822" s="25"/>
      <c r="M822" s="17"/>
    </row>
    <row r="823" spans="1:13" x14ac:dyDescent="0.25">
      <c r="A823" s="15"/>
      <c r="B823" s="15"/>
      <c r="C823" s="15"/>
      <c r="D823" s="15"/>
      <c r="E823" s="21" t="s">
        <v>3418</v>
      </c>
      <c r="F823" s="15"/>
      <c r="G823" s="15"/>
      <c r="H823" s="15"/>
      <c r="I823" s="15"/>
      <c r="J823" s="15"/>
      <c r="K823" s="15"/>
      <c r="L823" s="25"/>
      <c r="M823" s="17"/>
    </row>
    <row r="824" spans="1:13" x14ac:dyDescent="0.25">
      <c r="A824" s="15"/>
      <c r="B824" s="15"/>
      <c r="C824" s="15"/>
      <c r="D824" s="15"/>
      <c r="E824" s="20" t="s">
        <v>2388</v>
      </c>
      <c r="F824" s="15"/>
      <c r="G824" s="15"/>
      <c r="H824" s="15"/>
      <c r="I824" s="15"/>
      <c r="J824" s="15"/>
      <c r="K824" s="15"/>
      <c r="L824" s="25"/>
      <c r="M824" s="17"/>
    </row>
    <row r="825" spans="1:13" x14ac:dyDescent="0.25">
      <c r="A825" s="15"/>
      <c r="B825" s="15"/>
      <c r="C825" s="15"/>
      <c r="D825" s="15"/>
      <c r="E825" s="21" t="s">
        <v>3418</v>
      </c>
      <c r="F825" s="15"/>
      <c r="G825" s="15"/>
      <c r="H825" s="15"/>
      <c r="I825" s="15"/>
      <c r="J825" s="15"/>
      <c r="K825" s="15"/>
      <c r="L825" s="25"/>
      <c r="M825" s="17"/>
    </row>
    <row r="826" spans="1:13" x14ac:dyDescent="0.25">
      <c r="A826" s="30"/>
      <c r="B826" s="32"/>
      <c r="C826" s="31"/>
      <c r="D826" s="31"/>
      <c r="E826" s="41"/>
      <c r="F826" s="31"/>
      <c r="G826" s="31"/>
      <c r="H826" s="31"/>
      <c r="I826" s="37"/>
      <c r="J826" s="31"/>
      <c r="K826" s="30"/>
      <c r="L826" s="30"/>
      <c r="M826" s="31"/>
    </row>
    <row r="827" spans="1:13" x14ac:dyDescent="0.25">
      <c r="A827" s="30"/>
      <c r="B827" s="32"/>
      <c r="C827" s="31"/>
      <c r="D827" s="31"/>
      <c r="E827" s="41"/>
      <c r="F827" s="31"/>
      <c r="G827" s="31"/>
      <c r="H827" s="31"/>
      <c r="I827" s="37"/>
      <c r="J827" s="31"/>
      <c r="K827" s="30"/>
      <c r="L827" s="30"/>
      <c r="M827" s="31"/>
    </row>
    <row r="828" spans="1:13" x14ac:dyDescent="0.25">
      <c r="A828" s="30"/>
      <c r="B828" s="32"/>
      <c r="C828" s="31"/>
      <c r="D828" s="31"/>
      <c r="E828" s="41"/>
      <c r="F828" s="31"/>
      <c r="G828" s="31"/>
      <c r="H828" s="31"/>
      <c r="I828" s="37"/>
      <c r="J828" s="31"/>
      <c r="K828" s="30"/>
      <c r="L828" s="30"/>
      <c r="M828" s="31"/>
    </row>
    <row r="829" spans="1:13" x14ac:dyDescent="0.25">
      <c r="A829" s="30"/>
      <c r="B829" s="32"/>
      <c r="C829" s="31"/>
      <c r="D829" s="31"/>
      <c r="E829" s="41"/>
      <c r="F829" s="31"/>
      <c r="G829" s="31"/>
      <c r="H829" s="31"/>
      <c r="I829" s="37"/>
      <c r="J829" s="31"/>
      <c r="K829" s="30"/>
      <c r="L829" s="30"/>
      <c r="M829" s="31"/>
    </row>
    <row r="830" spans="1:13" x14ac:dyDescent="0.25">
      <c r="A830" s="30" t="s">
        <v>2328</v>
      </c>
      <c r="B830" s="32"/>
      <c r="C830" s="31"/>
      <c r="D830" s="31"/>
      <c r="E830" s="35"/>
      <c r="F830" s="31"/>
      <c r="G830" s="31"/>
      <c r="H830" s="31"/>
      <c r="I830" s="37"/>
      <c r="J830" s="31"/>
      <c r="K830" s="31"/>
      <c r="L830" s="31"/>
      <c r="M830" s="31" t="s">
        <v>2328</v>
      </c>
    </row>
  </sheetData>
  <autoFilter ref="A1:M833" xr:uid="{00000000-0009-0000-0000-000005000000}">
    <sortState xmlns:xlrd2="http://schemas.microsoft.com/office/spreadsheetml/2017/richdata2" ref="A2:M830">
      <sortCondition ref="B1:B833"/>
    </sortState>
  </autoFilter>
  <sortState xmlns:xlrd2="http://schemas.microsoft.com/office/spreadsheetml/2017/richdata2" ref="A3:M830">
    <sortCondition ref="B1"/>
  </sortState>
  <conditionalFormatting sqref="E830">
    <cfRule type="expression" dxfId="222" priority="17">
      <formula>$C830</formula>
    </cfRule>
  </conditionalFormatting>
  <conditionalFormatting sqref="F830">
    <cfRule type="cellIs" dxfId="221" priority="16" operator="equal">
      <formula>"Req"</formula>
    </cfRule>
  </conditionalFormatting>
  <conditionalFormatting sqref="I830">
    <cfRule type="cellIs" dxfId="220" priority="15" operator="equal">
      <formula>"Adara 1.1"</formula>
    </cfRule>
  </conditionalFormatting>
  <conditionalFormatting sqref="L830">
    <cfRule type="cellIs" dxfId="219" priority="11" operator="notEqual">
      <formula>"Approved"</formula>
    </cfRule>
  </conditionalFormatting>
  <conditionalFormatting sqref="I803:I829">
    <cfRule type="cellIs" dxfId="218" priority="7" operator="equal">
      <formula>"Adara 1.1"</formula>
    </cfRule>
  </conditionalFormatting>
  <conditionalFormatting sqref="E803:E829">
    <cfRule type="expression" dxfId="217" priority="10">
      <formula>$C803</formula>
    </cfRule>
  </conditionalFormatting>
  <conditionalFormatting sqref="L803:L829">
    <cfRule type="cellIs" dxfId="216" priority="9" operator="notEqual">
      <formula>"Approved"</formula>
    </cfRule>
  </conditionalFormatting>
  <conditionalFormatting sqref="F803:F829">
    <cfRule type="cellIs" dxfId="215" priority="8" operator="equal">
      <formula>"Req"</formula>
    </cfRule>
  </conditionalFormatting>
  <conditionalFormatting sqref="E1:E802">
    <cfRule type="expression" dxfId="214" priority="6">
      <formula>$C1</formula>
    </cfRule>
  </conditionalFormatting>
  <conditionalFormatting sqref="L2:L802">
    <cfRule type="cellIs" dxfId="213" priority="5" operator="notEqual">
      <formula>"Approved"</formula>
    </cfRule>
  </conditionalFormatting>
  <conditionalFormatting sqref="F1:F802">
    <cfRule type="cellIs" dxfId="212" priority="4" operator="equal">
      <formula>"Req"</formula>
    </cfRule>
  </conditionalFormatting>
  <conditionalFormatting sqref="I2:I802">
    <cfRule type="cellIs" dxfId="211" priority="3" operator="equal">
      <formula>"Adara 1.1"</formula>
    </cfRule>
  </conditionalFormatting>
  <conditionalFormatting sqref="I1">
    <cfRule type="cellIs" dxfId="210" priority="2" operator="equal">
      <formula>"Adara 1.1"</formula>
    </cfRule>
  </conditionalFormatting>
  <conditionalFormatting sqref="E1:E802">
    <cfRule type="expression" dxfId="209" priority="1">
      <formula>L1="Deleted"</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820"/>
  <sheetViews>
    <sheetView zoomScale="70" zoomScaleNormal="70" workbookViewId="0">
      <selection sqref="A1:K820"/>
    </sheetView>
  </sheetViews>
  <sheetFormatPr defaultColWidth="8.85546875" defaultRowHeight="15" x14ac:dyDescent="0.25"/>
  <cols>
    <col min="1" max="3" width="8.85546875" style="28"/>
    <col min="4" max="4" width="54.7109375" style="28" customWidth="1"/>
    <col min="5" max="16384" width="8.85546875" style="28"/>
  </cols>
  <sheetData>
    <row r="1" spans="1:11" x14ac:dyDescent="0.25">
      <c r="A1" s="28" t="s">
        <v>133</v>
      </c>
      <c r="B1" s="28" t="s">
        <v>504</v>
      </c>
      <c r="C1" s="28" t="s">
        <v>503</v>
      </c>
      <c r="D1" s="28" t="s">
        <v>119</v>
      </c>
      <c r="E1" s="28" t="s">
        <v>8</v>
      </c>
      <c r="F1" s="28" t="s">
        <v>135</v>
      </c>
      <c r="G1" s="28" t="s">
        <v>122</v>
      </c>
      <c r="H1" s="28" t="s">
        <v>636</v>
      </c>
      <c r="I1" s="28" t="s">
        <v>3672</v>
      </c>
      <c r="J1" s="28" t="s">
        <v>2231</v>
      </c>
      <c r="K1" s="28" t="s">
        <v>2727</v>
      </c>
    </row>
    <row r="2" spans="1:11" ht="75" x14ac:dyDescent="0.25">
      <c r="A2" s="28" t="s">
        <v>637</v>
      </c>
      <c r="B2" s="28">
        <v>1</v>
      </c>
      <c r="C2" s="28">
        <v>1</v>
      </c>
      <c r="D2" s="9" t="s">
        <v>138</v>
      </c>
      <c r="E2" s="28" t="s">
        <v>3443</v>
      </c>
      <c r="F2" s="30" t="s">
        <v>3673</v>
      </c>
      <c r="J2" s="28" t="s">
        <v>2232</v>
      </c>
    </row>
    <row r="3" spans="1:11" ht="75" x14ac:dyDescent="0.25">
      <c r="A3" s="28" t="s">
        <v>3573</v>
      </c>
      <c r="B3" s="28" t="s">
        <v>3574</v>
      </c>
      <c r="C3" s="28">
        <v>2</v>
      </c>
      <c r="D3" s="28" t="s">
        <v>3575</v>
      </c>
      <c r="E3" s="28" t="s">
        <v>139</v>
      </c>
      <c r="F3" s="30" t="s">
        <v>3673</v>
      </c>
      <c r="J3" s="28" t="s">
        <v>2232</v>
      </c>
    </row>
    <row r="4" spans="1:11" ht="75" x14ac:dyDescent="0.25">
      <c r="A4" s="28" t="s">
        <v>667</v>
      </c>
      <c r="B4" s="28">
        <v>2</v>
      </c>
      <c r="C4" s="28">
        <v>1</v>
      </c>
      <c r="D4" s="9" t="s">
        <v>99</v>
      </c>
      <c r="E4" s="28" t="s">
        <v>3443</v>
      </c>
      <c r="F4" s="30" t="s">
        <v>3673</v>
      </c>
      <c r="J4" s="28" t="s">
        <v>2232</v>
      </c>
    </row>
    <row r="5" spans="1:11" ht="75" x14ac:dyDescent="0.25">
      <c r="A5" s="28" t="s">
        <v>3576</v>
      </c>
      <c r="B5" s="28" t="s">
        <v>530</v>
      </c>
      <c r="C5" s="28">
        <v>2</v>
      </c>
      <c r="D5" s="28" t="s">
        <v>3418</v>
      </c>
      <c r="E5" s="28" t="s">
        <v>139</v>
      </c>
      <c r="F5" s="30" t="s">
        <v>3673</v>
      </c>
      <c r="J5" s="28" t="s">
        <v>2232</v>
      </c>
    </row>
    <row r="6" spans="1:11" ht="75" x14ac:dyDescent="0.25">
      <c r="A6" s="28" t="s">
        <v>679</v>
      </c>
      <c r="B6" s="28">
        <v>3</v>
      </c>
      <c r="C6" s="28">
        <v>1</v>
      </c>
      <c r="D6" s="9" t="s">
        <v>3577</v>
      </c>
      <c r="E6" s="28" t="s">
        <v>3443</v>
      </c>
      <c r="F6" s="30" t="s">
        <v>3673</v>
      </c>
      <c r="J6" s="28" t="s">
        <v>2232</v>
      </c>
    </row>
    <row r="7" spans="1:11" ht="75" x14ac:dyDescent="0.25">
      <c r="A7" s="28" t="s">
        <v>3578</v>
      </c>
      <c r="B7" s="28" t="s">
        <v>541</v>
      </c>
      <c r="C7" s="28">
        <v>2</v>
      </c>
      <c r="D7" s="28" t="s">
        <v>3418</v>
      </c>
      <c r="E7" s="28" t="s">
        <v>139</v>
      </c>
      <c r="F7" s="30" t="s">
        <v>3673</v>
      </c>
      <c r="J7" s="28" t="s">
        <v>2232</v>
      </c>
    </row>
    <row r="8" spans="1:11" ht="105" x14ac:dyDescent="0.25">
      <c r="A8" s="28" t="s">
        <v>2233</v>
      </c>
      <c r="B8" s="28">
        <v>4</v>
      </c>
      <c r="C8" s="28">
        <v>1</v>
      </c>
      <c r="D8" s="9" t="s">
        <v>207</v>
      </c>
      <c r="E8" s="28" t="s">
        <v>3443</v>
      </c>
      <c r="F8" s="30" t="s">
        <v>3674</v>
      </c>
      <c r="H8" s="28" t="s">
        <v>206</v>
      </c>
      <c r="J8" s="28" t="s">
        <v>2232</v>
      </c>
    </row>
    <row r="9" spans="1:11" ht="60" x14ac:dyDescent="0.25">
      <c r="A9" s="28" t="s">
        <v>688</v>
      </c>
      <c r="B9" s="28" t="s">
        <v>689</v>
      </c>
      <c r="C9" s="28">
        <v>2</v>
      </c>
      <c r="D9" s="28" t="s">
        <v>2234</v>
      </c>
      <c r="E9" s="28" t="s">
        <v>131</v>
      </c>
      <c r="F9" s="30" t="s">
        <v>3675</v>
      </c>
      <c r="H9" s="28" t="s">
        <v>209</v>
      </c>
      <c r="J9" s="28" t="s">
        <v>2232</v>
      </c>
    </row>
    <row r="10" spans="1:11" ht="60" x14ac:dyDescent="0.25">
      <c r="A10" s="28" t="s">
        <v>690</v>
      </c>
      <c r="B10" s="28" t="s">
        <v>691</v>
      </c>
      <c r="C10" s="28">
        <v>2</v>
      </c>
      <c r="D10" s="28" t="s">
        <v>692</v>
      </c>
      <c r="E10" s="28" t="s">
        <v>131</v>
      </c>
      <c r="F10" s="30" t="s">
        <v>3675</v>
      </c>
      <c r="H10" s="28" t="s">
        <v>211</v>
      </c>
      <c r="J10" s="28" t="s">
        <v>2232</v>
      </c>
    </row>
    <row r="11" spans="1:11" ht="45" x14ac:dyDescent="0.25">
      <c r="A11" s="28" t="s">
        <v>3579</v>
      </c>
      <c r="B11" s="28" t="s">
        <v>3580</v>
      </c>
      <c r="C11" s="28">
        <v>2</v>
      </c>
      <c r="D11" s="28" t="s">
        <v>3581</v>
      </c>
      <c r="E11" s="28" t="s">
        <v>131</v>
      </c>
      <c r="F11" s="30" t="s">
        <v>3688</v>
      </c>
      <c r="H11" s="28" t="s">
        <v>211</v>
      </c>
      <c r="J11" s="28" t="s">
        <v>3419</v>
      </c>
    </row>
    <row r="12" spans="1:11" ht="60" x14ac:dyDescent="0.25">
      <c r="A12" s="28" t="s">
        <v>3676</v>
      </c>
      <c r="B12" s="28" t="s">
        <v>3677</v>
      </c>
      <c r="C12" s="28">
        <v>2</v>
      </c>
      <c r="D12" s="28" t="s">
        <v>3678</v>
      </c>
      <c r="E12" s="28" t="s">
        <v>131</v>
      </c>
      <c r="F12" s="30" t="s">
        <v>3675</v>
      </c>
      <c r="H12" s="28" t="s">
        <v>3679</v>
      </c>
      <c r="I12" s="28" t="s">
        <v>3680</v>
      </c>
      <c r="J12" s="28" t="s">
        <v>3419</v>
      </c>
      <c r="K12" s="28" t="s">
        <v>3681</v>
      </c>
    </row>
    <row r="13" spans="1:11" ht="60" x14ac:dyDescent="0.25">
      <c r="A13" s="28" t="s">
        <v>3682</v>
      </c>
      <c r="B13" s="28" t="s">
        <v>3683</v>
      </c>
      <c r="C13" s="28">
        <v>2</v>
      </c>
      <c r="D13" s="28" t="s">
        <v>3684</v>
      </c>
      <c r="E13" s="28" t="s">
        <v>131</v>
      </c>
      <c r="F13" s="30" t="s">
        <v>3675</v>
      </c>
      <c r="H13" s="28" t="s">
        <v>3679</v>
      </c>
      <c r="I13" s="28" t="s">
        <v>3680</v>
      </c>
      <c r="J13" s="28" t="s">
        <v>3419</v>
      </c>
      <c r="K13" s="28" t="s">
        <v>3681</v>
      </c>
    </row>
    <row r="14" spans="1:11" ht="45" x14ac:dyDescent="0.25">
      <c r="A14" s="28" t="s">
        <v>3685</v>
      </c>
      <c r="B14" s="28" t="s">
        <v>3686</v>
      </c>
      <c r="C14" s="28">
        <v>2</v>
      </c>
      <c r="D14" s="28" t="s">
        <v>3687</v>
      </c>
      <c r="E14" s="28" t="s">
        <v>131</v>
      </c>
      <c r="F14" s="30" t="s">
        <v>3688</v>
      </c>
      <c r="H14" s="28" t="s">
        <v>3679</v>
      </c>
      <c r="I14" s="28" t="s">
        <v>3680</v>
      </c>
      <c r="J14" s="28" t="s">
        <v>3419</v>
      </c>
      <c r="K14" s="28" t="s">
        <v>3681</v>
      </c>
    </row>
    <row r="15" spans="1:11" ht="60" x14ac:dyDescent="0.25">
      <c r="A15" s="28" t="s">
        <v>2236</v>
      </c>
      <c r="B15" s="28">
        <v>5</v>
      </c>
      <c r="C15" s="28">
        <v>1</v>
      </c>
      <c r="D15" s="9" t="s">
        <v>215</v>
      </c>
      <c r="E15" s="28" t="s">
        <v>3443</v>
      </c>
      <c r="F15" s="30" t="s">
        <v>3675</v>
      </c>
      <c r="H15" s="28" t="s">
        <v>214</v>
      </c>
      <c r="J15" s="28" t="s">
        <v>2232</v>
      </c>
    </row>
    <row r="16" spans="1:11" ht="75" x14ac:dyDescent="0.25">
      <c r="A16" s="28" t="s">
        <v>693</v>
      </c>
      <c r="B16" s="28" t="s">
        <v>546</v>
      </c>
      <c r="C16" s="28">
        <v>2</v>
      </c>
      <c r="D16" s="28" t="s">
        <v>694</v>
      </c>
      <c r="E16" s="28" t="s">
        <v>131</v>
      </c>
      <c r="F16" s="30" t="s">
        <v>3673</v>
      </c>
      <c r="H16" s="28" t="s">
        <v>216</v>
      </c>
      <c r="J16" s="28" t="s">
        <v>2232</v>
      </c>
      <c r="K16" s="28" t="s">
        <v>2728</v>
      </c>
    </row>
    <row r="17" spans="1:11" ht="75" x14ac:dyDescent="0.25">
      <c r="A17" s="28" t="s">
        <v>695</v>
      </c>
      <c r="B17" s="28" t="s">
        <v>696</v>
      </c>
      <c r="C17" s="28">
        <v>2</v>
      </c>
      <c r="D17" s="28" t="s">
        <v>697</v>
      </c>
      <c r="E17" s="28" t="s">
        <v>131</v>
      </c>
      <c r="F17" s="30" t="s">
        <v>3673</v>
      </c>
      <c r="H17" s="28" t="s">
        <v>216</v>
      </c>
      <c r="J17" s="28" t="s">
        <v>2232</v>
      </c>
      <c r="K17" s="28" t="s">
        <v>2729</v>
      </c>
    </row>
    <row r="18" spans="1:11" ht="75" x14ac:dyDescent="0.25">
      <c r="A18" s="28" t="s">
        <v>698</v>
      </c>
      <c r="B18" s="28" t="s">
        <v>699</v>
      </c>
      <c r="C18" s="28">
        <v>2</v>
      </c>
      <c r="D18" s="28" t="s">
        <v>700</v>
      </c>
      <c r="E18" s="28" t="s">
        <v>131</v>
      </c>
      <c r="F18" s="30" t="s">
        <v>3673</v>
      </c>
      <c r="H18" s="28" t="s">
        <v>216</v>
      </c>
      <c r="J18" s="28" t="s">
        <v>2232</v>
      </c>
      <c r="K18" s="28" t="s">
        <v>2730</v>
      </c>
    </row>
    <row r="19" spans="1:11" ht="90" x14ac:dyDescent="0.25">
      <c r="A19" s="28" t="s">
        <v>701</v>
      </c>
      <c r="B19" s="28">
        <v>6</v>
      </c>
      <c r="C19" s="28">
        <v>1</v>
      </c>
      <c r="D19" s="9" t="s">
        <v>702</v>
      </c>
      <c r="E19" s="28" t="s">
        <v>3443</v>
      </c>
      <c r="F19" s="30" t="s">
        <v>3675</v>
      </c>
      <c r="H19" s="30" t="s">
        <v>3660</v>
      </c>
      <c r="J19" s="28" t="s">
        <v>2232</v>
      </c>
    </row>
    <row r="20" spans="1:11" ht="60" x14ac:dyDescent="0.25">
      <c r="A20" s="28" t="s">
        <v>703</v>
      </c>
      <c r="B20" s="28" t="s">
        <v>547</v>
      </c>
      <c r="C20" s="28">
        <v>2</v>
      </c>
      <c r="D20" s="28" t="s">
        <v>704</v>
      </c>
      <c r="E20" s="28" t="s">
        <v>131</v>
      </c>
      <c r="F20" s="30" t="s">
        <v>3675</v>
      </c>
      <c r="H20" s="28" t="s">
        <v>221</v>
      </c>
      <c r="J20" s="28" t="s">
        <v>2232</v>
      </c>
    </row>
    <row r="21" spans="1:11" ht="75" x14ac:dyDescent="0.25">
      <c r="A21" s="28" t="s">
        <v>705</v>
      </c>
      <c r="B21" s="28">
        <v>7</v>
      </c>
      <c r="C21" s="28">
        <v>1</v>
      </c>
      <c r="D21" s="9" t="s">
        <v>225</v>
      </c>
      <c r="E21" s="28" t="s">
        <v>3443</v>
      </c>
      <c r="F21" s="30" t="s">
        <v>3673</v>
      </c>
      <c r="H21" s="28" t="s">
        <v>224</v>
      </c>
      <c r="J21" s="28" t="s">
        <v>2232</v>
      </c>
    </row>
    <row r="22" spans="1:11" ht="75" x14ac:dyDescent="0.25">
      <c r="A22" s="28" t="s">
        <v>706</v>
      </c>
      <c r="B22" s="28">
        <v>7.1</v>
      </c>
      <c r="C22" s="28">
        <v>2</v>
      </c>
      <c r="D22" s="9" t="s">
        <v>228</v>
      </c>
      <c r="E22" s="28" t="s">
        <v>3443</v>
      </c>
      <c r="F22" s="30" t="s">
        <v>3673</v>
      </c>
      <c r="H22" s="28" t="s">
        <v>227</v>
      </c>
      <c r="J22" s="28" t="s">
        <v>2232</v>
      </c>
    </row>
    <row r="23" spans="1:11" ht="60" x14ac:dyDescent="0.25">
      <c r="A23" s="28" t="s">
        <v>707</v>
      </c>
      <c r="B23" s="28" t="s">
        <v>548</v>
      </c>
      <c r="C23" s="28">
        <v>3</v>
      </c>
      <c r="D23" s="28" t="s">
        <v>3582</v>
      </c>
      <c r="E23" s="28" t="s">
        <v>131</v>
      </c>
      <c r="F23" s="30" t="s">
        <v>3675</v>
      </c>
      <c r="H23" s="28" t="s">
        <v>230</v>
      </c>
      <c r="J23" s="28" t="s">
        <v>2232</v>
      </c>
      <c r="K23" s="28" t="s">
        <v>2731</v>
      </c>
    </row>
    <row r="24" spans="1:11" ht="60" x14ac:dyDescent="0.25">
      <c r="A24" s="28" t="s">
        <v>3583</v>
      </c>
      <c r="B24" s="28" t="s">
        <v>3584</v>
      </c>
      <c r="C24" s="28">
        <v>3</v>
      </c>
      <c r="D24" s="28" t="s">
        <v>3585</v>
      </c>
      <c r="E24" s="28" t="s">
        <v>131</v>
      </c>
      <c r="F24" s="30" t="s">
        <v>3675</v>
      </c>
      <c r="H24" s="28" t="s">
        <v>230</v>
      </c>
      <c r="J24" s="28" t="s">
        <v>2232</v>
      </c>
      <c r="K24" s="28" t="s">
        <v>2731</v>
      </c>
    </row>
    <row r="25" spans="1:11" ht="60" x14ac:dyDescent="0.25">
      <c r="A25" s="28" t="s">
        <v>2238</v>
      </c>
      <c r="B25" s="28">
        <v>7.2</v>
      </c>
      <c r="C25" s="28">
        <v>2</v>
      </c>
      <c r="D25" s="9" t="s">
        <v>225</v>
      </c>
      <c r="E25" s="28" t="s">
        <v>3443</v>
      </c>
      <c r="F25" s="30" t="s">
        <v>3675</v>
      </c>
      <c r="H25" s="28" t="s">
        <v>224</v>
      </c>
      <c r="J25" s="28" t="s">
        <v>2232</v>
      </c>
    </row>
    <row r="26" spans="1:11" ht="75" x14ac:dyDescent="0.25">
      <c r="A26" s="28" t="s">
        <v>708</v>
      </c>
      <c r="B26" s="28" t="s">
        <v>709</v>
      </c>
      <c r="C26" s="28">
        <v>3</v>
      </c>
      <c r="D26" s="9" t="s">
        <v>232</v>
      </c>
      <c r="E26" s="28" t="s">
        <v>3443</v>
      </c>
      <c r="F26" s="30" t="s">
        <v>3673</v>
      </c>
      <c r="H26" s="28" t="s">
        <v>231</v>
      </c>
      <c r="J26" s="28" t="s">
        <v>2232</v>
      </c>
    </row>
    <row r="27" spans="1:11" ht="75" x14ac:dyDescent="0.25">
      <c r="A27" s="28" t="s">
        <v>710</v>
      </c>
      <c r="B27" s="28" t="s">
        <v>711</v>
      </c>
      <c r="C27" s="28">
        <v>4</v>
      </c>
      <c r="D27" s="28" t="s">
        <v>712</v>
      </c>
      <c r="E27" s="28" t="s">
        <v>131</v>
      </c>
      <c r="F27" s="30" t="s">
        <v>3673</v>
      </c>
      <c r="H27" s="28" t="s">
        <v>243</v>
      </c>
      <c r="J27" s="28" t="s">
        <v>2232</v>
      </c>
      <c r="K27" s="28" t="s">
        <v>2732</v>
      </c>
    </row>
    <row r="28" spans="1:11" ht="90" x14ac:dyDescent="0.25">
      <c r="A28" s="28" t="s">
        <v>713</v>
      </c>
      <c r="B28" s="28" t="s">
        <v>714</v>
      </c>
      <c r="C28" s="28">
        <v>4</v>
      </c>
      <c r="D28" s="28" t="s">
        <v>715</v>
      </c>
      <c r="E28" s="28" t="s">
        <v>131</v>
      </c>
      <c r="F28" s="30" t="s">
        <v>3673</v>
      </c>
      <c r="H28" s="30" t="s">
        <v>3661</v>
      </c>
      <c r="J28" s="28" t="s">
        <v>2232</v>
      </c>
      <c r="K28" s="28" t="s">
        <v>2732</v>
      </c>
    </row>
    <row r="29" spans="1:11" ht="60" x14ac:dyDescent="0.25">
      <c r="A29" s="28" t="s">
        <v>716</v>
      </c>
      <c r="B29" s="28" t="s">
        <v>717</v>
      </c>
      <c r="C29" s="28">
        <v>4</v>
      </c>
      <c r="D29" s="28" t="s">
        <v>120</v>
      </c>
      <c r="E29" s="28" t="s">
        <v>131</v>
      </c>
      <c r="F29" s="30" t="s">
        <v>3675</v>
      </c>
      <c r="H29" s="28" t="s">
        <v>241</v>
      </c>
      <c r="J29" s="28" t="s">
        <v>2232</v>
      </c>
      <c r="K29" s="28" t="s">
        <v>2732</v>
      </c>
    </row>
    <row r="30" spans="1:11" ht="75" x14ac:dyDescent="0.25">
      <c r="A30" s="28" t="s">
        <v>718</v>
      </c>
      <c r="B30" s="28" t="s">
        <v>719</v>
      </c>
      <c r="C30" s="28">
        <v>3</v>
      </c>
      <c r="D30" s="9" t="s">
        <v>247</v>
      </c>
      <c r="E30" s="28" t="s">
        <v>3443</v>
      </c>
      <c r="F30" s="30" t="s">
        <v>3673</v>
      </c>
      <c r="H30" s="28" t="s">
        <v>246</v>
      </c>
      <c r="J30" s="28" t="s">
        <v>2232</v>
      </c>
    </row>
    <row r="31" spans="1:11" ht="75" x14ac:dyDescent="0.25">
      <c r="A31" s="28" t="s">
        <v>720</v>
      </c>
      <c r="B31" s="28" t="s">
        <v>721</v>
      </c>
      <c r="C31" s="28">
        <v>4</v>
      </c>
      <c r="D31" s="9" t="s">
        <v>722</v>
      </c>
      <c r="E31" s="28" t="s">
        <v>3443</v>
      </c>
      <c r="F31" s="30" t="s">
        <v>3673</v>
      </c>
      <c r="H31" s="28" t="s">
        <v>246</v>
      </c>
      <c r="J31" s="28" t="s">
        <v>2232</v>
      </c>
    </row>
    <row r="32" spans="1:11" ht="60" x14ac:dyDescent="0.25">
      <c r="A32" s="28" t="s">
        <v>723</v>
      </c>
      <c r="B32" s="28" t="s">
        <v>724</v>
      </c>
      <c r="C32" s="28">
        <v>5</v>
      </c>
      <c r="D32" s="28" t="s">
        <v>250</v>
      </c>
      <c r="E32" s="28" t="s">
        <v>131</v>
      </c>
      <c r="F32" s="30" t="s">
        <v>3675</v>
      </c>
      <c r="H32" s="28" t="s">
        <v>249</v>
      </c>
      <c r="J32" s="28" t="s">
        <v>2232</v>
      </c>
    </row>
    <row r="33" spans="1:11" x14ac:dyDescent="0.25">
      <c r="A33" s="28" t="s">
        <v>3689</v>
      </c>
      <c r="B33" s="28" t="s">
        <v>3690</v>
      </c>
      <c r="C33" s="28">
        <v>5</v>
      </c>
      <c r="D33" s="28" t="s">
        <v>3691</v>
      </c>
      <c r="E33" s="28" t="s">
        <v>131</v>
      </c>
      <c r="F33" s="28" t="s">
        <v>3692</v>
      </c>
      <c r="H33" s="28" t="s">
        <v>3693</v>
      </c>
      <c r="I33" s="28" t="s">
        <v>3680</v>
      </c>
      <c r="J33" s="28" t="s">
        <v>3419</v>
      </c>
    </row>
    <row r="34" spans="1:11" ht="75" x14ac:dyDescent="0.25">
      <c r="A34" s="28" t="s">
        <v>725</v>
      </c>
      <c r="B34" s="28" t="s">
        <v>726</v>
      </c>
      <c r="C34" s="28">
        <v>4</v>
      </c>
      <c r="D34" s="9" t="s">
        <v>3444</v>
      </c>
      <c r="E34" s="28" t="s">
        <v>3443</v>
      </c>
      <c r="F34" s="30" t="s">
        <v>3673</v>
      </c>
      <c r="H34" s="28" t="s">
        <v>252</v>
      </c>
      <c r="J34" s="28" t="s">
        <v>2232</v>
      </c>
      <c r="K34" s="28" t="s">
        <v>2733</v>
      </c>
    </row>
    <row r="35" spans="1:11" ht="75" x14ac:dyDescent="0.25">
      <c r="A35" s="28" t="s">
        <v>3445</v>
      </c>
      <c r="B35" s="28" t="s">
        <v>728</v>
      </c>
      <c r="C35" s="28">
        <v>5</v>
      </c>
      <c r="D35" s="28" t="s">
        <v>3446</v>
      </c>
      <c r="E35" s="28" t="s">
        <v>139</v>
      </c>
      <c r="F35" s="30" t="s">
        <v>3673</v>
      </c>
      <c r="J35" s="28" t="s">
        <v>2232</v>
      </c>
      <c r="K35" s="28" t="s">
        <v>2733</v>
      </c>
    </row>
    <row r="36" spans="1:11" ht="75" x14ac:dyDescent="0.25">
      <c r="A36" s="28" t="s">
        <v>727</v>
      </c>
      <c r="B36" s="28" t="s">
        <v>3447</v>
      </c>
      <c r="C36" s="28">
        <v>5</v>
      </c>
      <c r="D36" s="28" t="s">
        <v>729</v>
      </c>
      <c r="E36" s="28" t="s">
        <v>131</v>
      </c>
      <c r="F36" s="30" t="s">
        <v>3673</v>
      </c>
      <c r="H36" s="28" t="s">
        <v>252</v>
      </c>
      <c r="J36" s="28" t="s">
        <v>2232</v>
      </c>
      <c r="K36" s="28" t="s">
        <v>2734</v>
      </c>
    </row>
    <row r="37" spans="1:11" ht="75" x14ac:dyDescent="0.25">
      <c r="A37" s="28" t="s">
        <v>730</v>
      </c>
      <c r="B37" s="28" t="s">
        <v>731</v>
      </c>
      <c r="C37" s="28">
        <v>3</v>
      </c>
      <c r="D37" s="9" t="s">
        <v>3448</v>
      </c>
      <c r="E37" s="28" t="s">
        <v>3443</v>
      </c>
      <c r="F37" s="30" t="s">
        <v>3673</v>
      </c>
      <c r="H37" s="28" t="s">
        <v>256</v>
      </c>
      <c r="J37" s="28" t="s">
        <v>2232</v>
      </c>
      <c r="K37" s="28" t="s">
        <v>2735</v>
      </c>
    </row>
    <row r="38" spans="1:11" ht="75" x14ac:dyDescent="0.25">
      <c r="A38" s="28" t="s">
        <v>732</v>
      </c>
      <c r="B38" s="28" t="s">
        <v>733</v>
      </c>
      <c r="C38" s="28">
        <v>4</v>
      </c>
      <c r="D38" s="28" t="s">
        <v>734</v>
      </c>
      <c r="E38" s="28" t="s">
        <v>131</v>
      </c>
      <c r="F38" s="30" t="s">
        <v>3673</v>
      </c>
      <c r="H38" s="28" t="s">
        <v>256</v>
      </c>
      <c r="J38" s="28" t="s">
        <v>2232</v>
      </c>
      <c r="K38" s="28" t="s">
        <v>2736</v>
      </c>
    </row>
    <row r="39" spans="1:11" ht="75" x14ac:dyDescent="0.25">
      <c r="A39" s="28" t="s">
        <v>735</v>
      </c>
      <c r="B39" s="28" t="s">
        <v>736</v>
      </c>
      <c r="C39" s="28">
        <v>3</v>
      </c>
      <c r="D39" s="8" t="s">
        <v>3386</v>
      </c>
      <c r="E39" s="28" t="s">
        <v>3443</v>
      </c>
      <c r="F39" s="30" t="s">
        <v>3673</v>
      </c>
      <c r="H39" s="28" t="s">
        <v>260</v>
      </c>
      <c r="J39" s="28" t="s">
        <v>2232</v>
      </c>
      <c r="K39" s="28" t="s">
        <v>2737</v>
      </c>
    </row>
    <row r="40" spans="1:11" ht="75" x14ac:dyDescent="0.25">
      <c r="A40" s="28" t="s">
        <v>737</v>
      </c>
      <c r="B40" s="28" t="s">
        <v>738</v>
      </c>
      <c r="C40" s="28">
        <v>4</v>
      </c>
      <c r="D40" s="28" t="s">
        <v>739</v>
      </c>
      <c r="E40" s="28" t="s">
        <v>139</v>
      </c>
      <c r="F40" s="30" t="s">
        <v>3673</v>
      </c>
      <c r="H40" s="28" t="s">
        <v>260</v>
      </c>
      <c r="J40" s="28" t="s">
        <v>2232</v>
      </c>
    </row>
    <row r="41" spans="1:11" ht="75" x14ac:dyDescent="0.25">
      <c r="A41" s="28" t="s">
        <v>740</v>
      </c>
      <c r="B41" s="28" t="s">
        <v>741</v>
      </c>
      <c r="C41" s="28">
        <v>4</v>
      </c>
      <c r="D41" s="28" t="s">
        <v>742</v>
      </c>
      <c r="E41" s="28" t="s">
        <v>131</v>
      </c>
      <c r="F41" s="30" t="s">
        <v>3673</v>
      </c>
      <c r="H41" s="28" t="s">
        <v>260</v>
      </c>
      <c r="J41" s="28" t="s">
        <v>2232</v>
      </c>
      <c r="K41" s="28" t="s">
        <v>2738</v>
      </c>
    </row>
    <row r="42" spans="1:11" ht="75" x14ac:dyDescent="0.25">
      <c r="A42" s="28" t="s">
        <v>743</v>
      </c>
      <c r="B42" s="28" t="s">
        <v>744</v>
      </c>
      <c r="C42" s="28">
        <v>4</v>
      </c>
      <c r="D42" s="28" t="s">
        <v>745</v>
      </c>
      <c r="E42" s="28" t="s">
        <v>131</v>
      </c>
      <c r="F42" s="30" t="s">
        <v>3673</v>
      </c>
      <c r="H42" s="28" t="s">
        <v>260</v>
      </c>
      <c r="J42" s="28" t="s">
        <v>2232</v>
      </c>
      <c r="K42" s="28" t="s">
        <v>2739</v>
      </c>
    </row>
    <row r="43" spans="1:11" ht="75" x14ac:dyDescent="0.25">
      <c r="A43" s="28" t="s">
        <v>746</v>
      </c>
      <c r="B43" s="28" t="s">
        <v>747</v>
      </c>
      <c r="C43" s="28">
        <v>4</v>
      </c>
      <c r="D43" s="28" t="s">
        <v>748</v>
      </c>
      <c r="E43" s="28" t="s">
        <v>131</v>
      </c>
      <c r="F43" s="30" t="s">
        <v>3673</v>
      </c>
      <c r="H43" s="28" t="s">
        <v>260</v>
      </c>
      <c r="J43" s="28" t="s">
        <v>2232</v>
      </c>
      <c r="K43" s="28" t="s">
        <v>2740</v>
      </c>
    </row>
    <row r="44" spans="1:11" ht="75" x14ac:dyDescent="0.25">
      <c r="A44" s="28" t="s">
        <v>749</v>
      </c>
      <c r="B44" s="28" t="s">
        <v>750</v>
      </c>
      <c r="C44" s="28">
        <v>4</v>
      </c>
      <c r="D44" s="28" t="s">
        <v>751</v>
      </c>
      <c r="E44" s="28" t="s">
        <v>131</v>
      </c>
      <c r="F44" s="30" t="s">
        <v>3673</v>
      </c>
      <c r="H44" s="28" t="s">
        <v>260</v>
      </c>
      <c r="J44" s="28" t="s">
        <v>2232</v>
      </c>
      <c r="K44" s="28" t="s">
        <v>2741</v>
      </c>
    </row>
    <row r="45" spans="1:11" ht="75" x14ac:dyDescent="0.25">
      <c r="A45" s="28" t="s">
        <v>752</v>
      </c>
      <c r="B45" s="28" t="s">
        <v>753</v>
      </c>
      <c r="C45" s="28">
        <v>4</v>
      </c>
      <c r="D45" s="28" t="s">
        <v>754</v>
      </c>
      <c r="E45" s="28" t="s">
        <v>131</v>
      </c>
      <c r="F45" s="30" t="s">
        <v>3673</v>
      </c>
      <c r="H45" s="28" t="s">
        <v>260</v>
      </c>
      <c r="J45" s="28" t="s">
        <v>2232</v>
      </c>
      <c r="K45" s="28" t="s">
        <v>2742</v>
      </c>
    </row>
    <row r="46" spans="1:11" ht="75" x14ac:dyDescent="0.25">
      <c r="A46" s="28" t="s">
        <v>755</v>
      </c>
      <c r="B46" s="28" t="s">
        <v>756</v>
      </c>
      <c r="C46" s="28">
        <v>4</v>
      </c>
      <c r="D46" s="28" t="s">
        <v>757</v>
      </c>
      <c r="E46" s="28" t="s">
        <v>131</v>
      </c>
      <c r="F46" s="30" t="s">
        <v>3673</v>
      </c>
      <c r="H46" s="28" t="s">
        <v>260</v>
      </c>
      <c r="J46" s="28" t="s">
        <v>2232</v>
      </c>
      <c r="K46" s="28" t="s">
        <v>2743</v>
      </c>
    </row>
    <row r="47" spans="1:11" ht="75" x14ac:dyDescent="0.25">
      <c r="A47" s="28" t="s">
        <v>758</v>
      </c>
      <c r="B47" s="28" t="s">
        <v>759</v>
      </c>
      <c r="C47" s="28">
        <v>4</v>
      </c>
      <c r="D47" s="28" t="s">
        <v>760</v>
      </c>
      <c r="E47" s="28" t="s">
        <v>131</v>
      </c>
      <c r="F47" s="30" t="s">
        <v>3673</v>
      </c>
      <c r="H47" s="28" t="s">
        <v>260</v>
      </c>
      <c r="J47" s="28" t="s">
        <v>2232</v>
      </c>
      <c r="K47" s="28" t="s">
        <v>2744</v>
      </c>
    </row>
    <row r="48" spans="1:11" ht="75" x14ac:dyDescent="0.25">
      <c r="A48" s="28" t="s">
        <v>761</v>
      </c>
      <c r="B48" s="28" t="s">
        <v>762</v>
      </c>
      <c r="C48" s="28">
        <v>4</v>
      </c>
      <c r="D48" s="28" t="s">
        <v>763</v>
      </c>
      <c r="E48" s="28" t="s">
        <v>131</v>
      </c>
      <c r="F48" s="30" t="s">
        <v>3673</v>
      </c>
      <c r="H48" s="28" t="s">
        <v>260</v>
      </c>
      <c r="J48" s="28" t="s">
        <v>2232</v>
      </c>
      <c r="K48" s="28" t="s">
        <v>2745</v>
      </c>
    </row>
    <row r="49" spans="1:11" ht="75" x14ac:dyDescent="0.25">
      <c r="A49" s="28" t="s">
        <v>764</v>
      </c>
      <c r="B49" s="28" t="s">
        <v>765</v>
      </c>
      <c r="C49" s="28">
        <v>3</v>
      </c>
      <c r="D49" s="8" t="s">
        <v>3387</v>
      </c>
      <c r="E49" s="28" t="s">
        <v>3443</v>
      </c>
      <c r="F49" s="30" t="s">
        <v>3673</v>
      </c>
      <c r="H49" s="28" t="s">
        <v>262</v>
      </c>
      <c r="J49" s="28" t="s">
        <v>2232</v>
      </c>
      <c r="K49" s="28" t="s">
        <v>2746</v>
      </c>
    </row>
    <row r="50" spans="1:11" ht="75" x14ac:dyDescent="0.25">
      <c r="A50" s="28" t="s">
        <v>766</v>
      </c>
      <c r="B50" s="28" t="s">
        <v>767</v>
      </c>
      <c r="C50" s="28">
        <v>4</v>
      </c>
      <c r="D50" s="28" t="s">
        <v>768</v>
      </c>
      <c r="E50" s="28" t="s">
        <v>131</v>
      </c>
      <c r="F50" s="30" t="s">
        <v>3673</v>
      </c>
      <c r="H50" s="28" t="s">
        <v>265</v>
      </c>
      <c r="J50" s="28" t="s">
        <v>2232</v>
      </c>
      <c r="K50" s="28" t="s">
        <v>2747</v>
      </c>
    </row>
    <row r="51" spans="1:11" ht="75" x14ac:dyDescent="0.25">
      <c r="A51" s="28" t="s">
        <v>769</v>
      </c>
      <c r="B51" s="28" t="s">
        <v>770</v>
      </c>
      <c r="C51" s="28">
        <v>4</v>
      </c>
      <c r="D51" s="28" t="s">
        <v>771</v>
      </c>
      <c r="E51" s="28" t="s">
        <v>131</v>
      </c>
      <c r="F51" s="30" t="s">
        <v>3673</v>
      </c>
      <c r="H51" s="28" t="s">
        <v>265</v>
      </c>
      <c r="J51" s="28" t="s">
        <v>2232</v>
      </c>
      <c r="K51" s="28" t="s">
        <v>2748</v>
      </c>
    </row>
    <row r="52" spans="1:11" ht="75" x14ac:dyDescent="0.25">
      <c r="A52" s="28" t="s">
        <v>772</v>
      </c>
      <c r="B52" s="28" t="s">
        <v>773</v>
      </c>
      <c r="C52" s="28">
        <v>4</v>
      </c>
      <c r="D52" s="28" t="s">
        <v>26</v>
      </c>
      <c r="E52" s="28" t="s">
        <v>131</v>
      </c>
      <c r="F52" s="30" t="s">
        <v>3673</v>
      </c>
      <c r="H52" s="28" t="s">
        <v>265</v>
      </c>
      <c r="J52" s="28" t="s">
        <v>2232</v>
      </c>
      <c r="K52" s="28" t="s">
        <v>2749</v>
      </c>
    </row>
    <row r="53" spans="1:11" ht="75" x14ac:dyDescent="0.25">
      <c r="A53" s="28" t="s">
        <v>774</v>
      </c>
      <c r="B53" s="28" t="s">
        <v>775</v>
      </c>
      <c r="C53" s="28">
        <v>4</v>
      </c>
      <c r="D53" s="28" t="s">
        <v>776</v>
      </c>
      <c r="E53" s="28" t="s">
        <v>131</v>
      </c>
      <c r="F53" s="30" t="s">
        <v>3673</v>
      </c>
      <c r="H53" s="28" t="s">
        <v>265</v>
      </c>
      <c r="J53" s="28" t="s">
        <v>2232</v>
      </c>
      <c r="K53" s="28" t="s">
        <v>2750</v>
      </c>
    </row>
    <row r="54" spans="1:11" ht="75" x14ac:dyDescent="0.25">
      <c r="A54" s="28" t="s">
        <v>777</v>
      </c>
      <c r="B54" s="28" t="s">
        <v>778</v>
      </c>
      <c r="C54" s="28">
        <v>4</v>
      </c>
      <c r="D54" s="28" t="s">
        <v>25</v>
      </c>
      <c r="E54" s="28" t="s">
        <v>131</v>
      </c>
      <c r="F54" s="30" t="s">
        <v>3673</v>
      </c>
      <c r="H54" s="28" t="s">
        <v>265</v>
      </c>
      <c r="J54" s="28" t="s">
        <v>2232</v>
      </c>
      <c r="K54" s="28" t="s">
        <v>2751</v>
      </c>
    </row>
    <row r="55" spans="1:11" ht="75" x14ac:dyDescent="0.25">
      <c r="A55" s="28" t="s">
        <v>779</v>
      </c>
      <c r="B55" s="28" t="s">
        <v>780</v>
      </c>
      <c r="C55" s="28">
        <v>4</v>
      </c>
      <c r="D55" s="28" t="s">
        <v>781</v>
      </c>
      <c r="E55" s="28" t="s">
        <v>131</v>
      </c>
      <c r="F55" s="30" t="s">
        <v>3673</v>
      </c>
      <c r="H55" s="28" t="s">
        <v>265</v>
      </c>
      <c r="J55" s="28" t="s">
        <v>2232</v>
      </c>
      <c r="K55" s="28" t="s">
        <v>2752</v>
      </c>
    </row>
    <row r="56" spans="1:11" ht="75" x14ac:dyDescent="0.25">
      <c r="A56" s="28" t="s">
        <v>782</v>
      </c>
      <c r="B56" s="28" t="s">
        <v>783</v>
      </c>
      <c r="C56" s="28">
        <v>4</v>
      </c>
      <c r="D56" s="28" t="s">
        <v>24</v>
      </c>
      <c r="E56" s="28" t="s">
        <v>131</v>
      </c>
      <c r="F56" s="30" t="s">
        <v>3673</v>
      </c>
      <c r="G56" s="28" t="s">
        <v>3586</v>
      </c>
      <c r="H56" s="28" t="s">
        <v>265</v>
      </c>
      <c r="J56" s="28" t="s">
        <v>2232</v>
      </c>
      <c r="K56" s="28" t="s">
        <v>2753</v>
      </c>
    </row>
    <row r="57" spans="1:11" ht="75" x14ac:dyDescent="0.25">
      <c r="A57" s="28" t="s">
        <v>784</v>
      </c>
      <c r="B57" s="28" t="s">
        <v>785</v>
      </c>
      <c r="C57" s="28">
        <v>4</v>
      </c>
      <c r="D57" s="28" t="s">
        <v>786</v>
      </c>
      <c r="E57" s="28" t="s">
        <v>131</v>
      </c>
      <c r="F57" s="30" t="s">
        <v>3673</v>
      </c>
      <c r="H57" s="28" t="s">
        <v>265</v>
      </c>
      <c r="J57" s="28" t="s">
        <v>2232</v>
      </c>
      <c r="K57" s="28" t="s">
        <v>2754</v>
      </c>
    </row>
    <row r="58" spans="1:11" ht="75" x14ac:dyDescent="0.25">
      <c r="A58" s="28" t="s">
        <v>787</v>
      </c>
      <c r="B58" s="28" t="s">
        <v>788</v>
      </c>
      <c r="C58" s="28">
        <v>4</v>
      </c>
      <c r="D58" s="28" t="s">
        <v>23</v>
      </c>
      <c r="E58" s="28" t="s">
        <v>131</v>
      </c>
      <c r="F58" s="30" t="s">
        <v>3673</v>
      </c>
      <c r="H58" s="28" t="s">
        <v>265</v>
      </c>
      <c r="J58" s="28" t="s">
        <v>2232</v>
      </c>
      <c r="K58" s="28" t="s">
        <v>2755</v>
      </c>
    </row>
    <row r="59" spans="1:11" ht="75" x14ac:dyDescent="0.25">
      <c r="A59" s="28" t="s">
        <v>789</v>
      </c>
      <c r="B59" s="28" t="s">
        <v>790</v>
      </c>
      <c r="C59" s="28">
        <v>4</v>
      </c>
      <c r="D59" s="28" t="s">
        <v>22</v>
      </c>
      <c r="E59" s="28" t="s">
        <v>131</v>
      </c>
      <c r="F59" s="30" t="s">
        <v>3673</v>
      </c>
      <c r="H59" s="28" t="s">
        <v>265</v>
      </c>
      <c r="J59" s="28" t="s">
        <v>2232</v>
      </c>
      <c r="K59" s="28" t="s">
        <v>2756</v>
      </c>
    </row>
    <row r="60" spans="1:11" ht="75" x14ac:dyDescent="0.25">
      <c r="A60" s="28" t="s">
        <v>791</v>
      </c>
      <c r="B60" s="28" t="s">
        <v>792</v>
      </c>
      <c r="C60" s="28">
        <v>4</v>
      </c>
      <c r="D60" s="28" t="s">
        <v>21</v>
      </c>
      <c r="E60" s="28" t="s">
        <v>131</v>
      </c>
      <c r="F60" s="30" t="s">
        <v>3673</v>
      </c>
      <c r="H60" s="28" t="s">
        <v>265</v>
      </c>
      <c r="J60" s="28" t="s">
        <v>2232</v>
      </c>
      <c r="K60" s="28" t="s">
        <v>2757</v>
      </c>
    </row>
    <row r="61" spans="1:11" ht="75" x14ac:dyDescent="0.25">
      <c r="A61" s="28" t="s">
        <v>793</v>
      </c>
      <c r="B61" s="28" t="s">
        <v>794</v>
      </c>
      <c r="C61" s="28">
        <v>4</v>
      </c>
      <c r="D61" s="28" t="s">
        <v>20</v>
      </c>
      <c r="E61" s="28" t="s">
        <v>131</v>
      </c>
      <c r="F61" s="30" t="s">
        <v>3673</v>
      </c>
      <c r="H61" s="28" t="s">
        <v>265</v>
      </c>
      <c r="J61" s="28" t="s">
        <v>2232</v>
      </c>
      <c r="K61" s="28" t="s">
        <v>2758</v>
      </c>
    </row>
    <row r="62" spans="1:11" ht="75" x14ac:dyDescent="0.25">
      <c r="A62" s="28" t="s">
        <v>795</v>
      </c>
      <c r="B62" s="28" t="s">
        <v>796</v>
      </c>
      <c r="C62" s="28">
        <v>4</v>
      </c>
      <c r="D62" s="28" t="s">
        <v>797</v>
      </c>
      <c r="E62" s="28" t="s">
        <v>131</v>
      </c>
      <c r="F62" s="30" t="s">
        <v>3673</v>
      </c>
      <c r="H62" s="28" t="s">
        <v>265</v>
      </c>
      <c r="J62" s="28" t="s">
        <v>2232</v>
      </c>
      <c r="K62" s="28" t="s">
        <v>2759</v>
      </c>
    </row>
    <row r="63" spans="1:11" ht="75" x14ac:dyDescent="0.25">
      <c r="A63" s="28" t="s">
        <v>803</v>
      </c>
      <c r="B63" s="28">
        <v>8</v>
      </c>
      <c r="C63" s="28">
        <v>1</v>
      </c>
      <c r="D63" s="9" t="s">
        <v>804</v>
      </c>
      <c r="E63" s="28" t="s">
        <v>3443</v>
      </c>
      <c r="F63" s="30" t="s">
        <v>3673</v>
      </c>
      <c r="H63" s="28" t="s">
        <v>267</v>
      </c>
      <c r="J63" s="28" t="s">
        <v>2232</v>
      </c>
      <c r="K63" s="28" t="s">
        <v>2760</v>
      </c>
    </row>
    <row r="64" spans="1:11" ht="75" x14ac:dyDescent="0.25">
      <c r="A64" s="28" t="s">
        <v>805</v>
      </c>
      <c r="B64" s="28">
        <v>8.1</v>
      </c>
      <c r="C64" s="28">
        <v>2</v>
      </c>
      <c r="D64" s="9" t="s">
        <v>806</v>
      </c>
      <c r="E64" s="28" t="s">
        <v>3443</v>
      </c>
      <c r="F64" s="30" t="s">
        <v>3673</v>
      </c>
      <c r="H64" s="28" t="s">
        <v>267</v>
      </c>
      <c r="J64" s="28" t="s">
        <v>2232</v>
      </c>
    </row>
    <row r="65" spans="1:11" ht="75" x14ac:dyDescent="0.25">
      <c r="A65" s="28" t="s">
        <v>807</v>
      </c>
      <c r="B65" s="28" t="s">
        <v>808</v>
      </c>
      <c r="C65" s="28">
        <v>3</v>
      </c>
      <c r="D65" s="28" t="s">
        <v>809</v>
      </c>
      <c r="E65" s="28" t="s">
        <v>131</v>
      </c>
      <c r="F65" s="30" t="s">
        <v>3673</v>
      </c>
      <c r="G65" s="28" t="s">
        <v>3587</v>
      </c>
      <c r="H65" s="28" t="s">
        <v>270</v>
      </c>
      <c r="J65" s="28" t="s">
        <v>2232</v>
      </c>
      <c r="K65" s="28" t="s">
        <v>2761</v>
      </c>
    </row>
    <row r="66" spans="1:11" ht="75" x14ac:dyDescent="0.25">
      <c r="A66" s="28" t="s">
        <v>810</v>
      </c>
      <c r="B66" s="28">
        <v>8.1999999999999993</v>
      </c>
      <c r="C66" s="28">
        <v>2</v>
      </c>
      <c r="D66" s="9" t="s">
        <v>811</v>
      </c>
      <c r="E66" s="28" t="s">
        <v>3443</v>
      </c>
      <c r="F66" s="30" t="s">
        <v>3673</v>
      </c>
      <c r="H66" s="28" t="s">
        <v>267</v>
      </c>
      <c r="J66" s="28" t="s">
        <v>2232</v>
      </c>
    </row>
    <row r="67" spans="1:11" ht="75" x14ac:dyDescent="0.25">
      <c r="A67" s="28" t="s">
        <v>812</v>
      </c>
      <c r="B67" s="28" t="s">
        <v>813</v>
      </c>
      <c r="C67" s="28">
        <v>3</v>
      </c>
      <c r="D67" s="28" t="s">
        <v>30</v>
      </c>
      <c r="E67" s="28" t="s">
        <v>131</v>
      </c>
      <c r="F67" s="30" t="s">
        <v>3673</v>
      </c>
      <c r="H67" s="28" t="s">
        <v>270</v>
      </c>
      <c r="J67" s="28" t="s">
        <v>2232</v>
      </c>
      <c r="K67" s="28" t="s">
        <v>2762</v>
      </c>
    </row>
    <row r="68" spans="1:11" ht="60" x14ac:dyDescent="0.25">
      <c r="A68" s="28" t="s">
        <v>814</v>
      </c>
      <c r="B68" s="28" t="s">
        <v>815</v>
      </c>
      <c r="C68" s="28">
        <v>3</v>
      </c>
      <c r="D68" s="28" t="s">
        <v>816</v>
      </c>
      <c r="E68" s="28" t="s">
        <v>131</v>
      </c>
      <c r="F68" s="30" t="s">
        <v>3675</v>
      </c>
      <c r="G68" s="28" t="s">
        <v>3588</v>
      </c>
      <c r="H68" s="28" t="s">
        <v>270</v>
      </c>
      <c r="J68" s="28" t="s">
        <v>2232</v>
      </c>
    </row>
    <row r="69" spans="1:11" ht="75" x14ac:dyDescent="0.25">
      <c r="A69" s="28" t="s">
        <v>817</v>
      </c>
      <c r="B69" s="28" t="s">
        <v>818</v>
      </c>
      <c r="C69" s="28">
        <v>3</v>
      </c>
      <c r="D69" s="28" t="s">
        <v>819</v>
      </c>
      <c r="E69" s="28" t="s">
        <v>131</v>
      </c>
      <c r="F69" s="30" t="s">
        <v>3673</v>
      </c>
      <c r="H69" s="28" t="s">
        <v>270</v>
      </c>
      <c r="J69" s="28" t="s">
        <v>2232</v>
      </c>
      <c r="K69" s="28" t="s">
        <v>2763</v>
      </c>
    </row>
    <row r="70" spans="1:11" ht="75" x14ac:dyDescent="0.25">
      <c r="A70" s="28" t="s">
        <v>820</v>
      </c>
      <c r="B70" s="28" t="s">
        <v>821</v>
      </c>
      <c r="C70" s="28">
        <v>3</v>
      </c>
      <c r="D70" s="28" t="s">
        <v>822</v>
      </c>
      <c r="E70" s="28" t="s">
        <v>131</v>
      </c>
      <c r="F70" s="30" t="s">
        <v>3673</v>
      </c>
      <c r="H70" s="28" t="s">
        <v>270</v>
      </c>
      <c r="J70" s="28" t="s">
        <v>2232</v>
      </c>
      <c r="K70" s="28" t="s">
        <v>2764</v>
      </c>
    </row>
    <row r="71" spans="1:11" ht="75" x14ac:dyDescent="0.25">
      <c r="A71" s="28" t="s">
        <v>823</v>
      </c>
      <c r="B71" s="28" t="s">
        <v>824</v>
      </c>
      <c r="C71" s="28">
        <v>3</v>
      </c>
      <c r="D71" s="28" t="s">
        <v>3308</v>
      </c>
      <c r="E71" s="28" t="s">
        <v>131</v>
      </c>
      <c r="F71" s="30" t="s">
        <v>3673</v>
      </c>
      <c r="H71" s="28" t="s">
        <v>270</v>
      </c>
      <c r="J71" s="28" t="s">
        <v>2232</v>
      </c>
      <c r="K71" s="28" t="s">
        <v>2765</v>
      </c>
    </row>
    <row r="72" spans="1:11" ht="75" x14ac:dyDescent="0.25">
      <c r="A72" s="28" t="s">
        <v>825</v>
      </c>
      <c r="B72" s="28">
        <v>8.3000000000000007</v>
      </c>
      <c r="C72" s="28">
        <v>2</v>
      </c>
      <c r="D72" s="9" t="s">
        <v>826</v>
      </c>
      <c r="E72" s="28" t="s">
        <v>3443</v>
      </c>
      <c r="F72" s="30" t="s">
        <v>3673</v>
      </c>
      <c r="H72" s="28" t="s">
        <v>270</v>
      </c>
      <c r="J72" s="28" t="s">
        <v>2232</v>
      </c>
    </row>
    <row r="73" spans="1:11" ht="75" x14ac:dyDescent="0.25">
      <c r="A73" s="28" t="s">
        <v>827</v>
      </c>
      <c r="B73" s="28" t="s">
        <v>828</v>
      </c>
      <c r="C73" s="28">
        <v>3</v>
      </c>
      <c r="D73" s="28" t="s">
        <v>829</v>
      </c>
      <c r="E73" s="28" t="s">
        <v>131</v>
      </c>
      <c r="F73" s="30" t="s">
        <v>3673</v>
      </c>
      <c r="H73" s="28" t="s">
        <v>270</v>
      </c>
      <c r="J73" s="28" t="s">
        <v>2232</v>
      </c>
      <c r="K73" s="28" t="s">
        <v>2766</v>
      </c>
    </row>
    <row r="74" spans="1:11" ht="75" x14ac:dyDescent="0.25">
      <c r="A74" s="28" t="s">
        <v>830</v>
      </c>
      <c r="B74" s="28" t="s">
        <v>831</v>
      </c>
      <c r="C74" s="28">
        <v>3</v>
      </c>
      <c r="D74" s="28" t="s">
        <v>832</v>
      </c>
      <c r="E74" s="28" t="s">
        <v>131</v>
      </c>
      <c r="F74" s="30" t="s">
        <v>3673</v>
      </c>
      <c r="H74" s="28" t="s">
        <v>270</v>
      </c>
      <c r="J74" s="28" t="s">
        <v>2232</v>
      </c>
      <c r="K74" s="28" t="s">
        <v>2767</v>
      </c>
    </row>
    <row r="75" spans="1:11" ht="75" x14ac:dyDescent="0.25">
      <c r="A75" s="28" t="s">
        <v>833</v>
      </c>
      <c r="B75" s="28" t="s">
        <v>834</v>
      </c>
      <c r="C75" s="28">
        <v>3</v>
      </c>
      <c r="D75" s="28" t="s">
        <v>835</v>
      </c>
      <c r="E75" s="28" t="s">
        <v>131</v>
      </c>
      <c r="F75" s="30" t="s">
        <v>3673</v>
      </c>
      <c r="H75" s="28" t="s">
        <v>270</v>
      </c>
      <c r="J75" s="28" t="s">
        <v>2232</v>
      </c>
      <c r="K75" s="28" t="s">
        <v>2768</v>
      </c>
    </row>
    <row r="76" spans="1:11" ht="75" x14ac:dyDescent="0.25">
      <c r="A76" s="28" t="s">
        <v>836</v>
      </c>
      <c r="B76" s="28" t="s">
        <v>837</v>
      </c>
      <c r="C76" s="28">
        <v>3</v>
      </c>
      <c r="D76" s="28" t="s">
        <v>838</v>
      </c>
      <c r="E76" s="28" t="s">
        <v>131</v>
      </c>
      <c r="F76" s="30" t="s">
        <v>3673</v>
      </c>
      <c r="H76" s="28" t="s">
        <v>270</v>
      </c>
      <c r="J76" s="28" t="s">
        <v>2232</v>
      </c>
      <c r="K76" s="28" t="s">
        <v>2769</v>
      </c>
    </row>
    <row r="77" spans="1:11" ht="75" x14ac:dyDescent="0.25">
      <c r="A77" s="28" t="s">
        <v>839</v>
      </c>
      <c r="B77" s="28" t="s">
        <v>840</v>
      </c>
      <c r="C77" s="28">
        <v>3</v>
      </c>
      <c r="D77" s="28" t="s">
        <v>841</v>
      </c>
      <c r="E77" s="28" t="s">
        <v>131</v>
      </c>
      <c r="F77" s="30" t="s">
        <v>3673</v>
      </c>
      <c r="H77" s="28" t="s">
        <v>270</v>
      </c>
      <c r="J77" s="28" t="s">
        <v>2232</v>
      </c>
      <c r="K77" s="28" t="s">
        <v>2770</v>
      </c>
    </row>
    <row r="78" spans="1:11" ht="75" x14ac:dyDescent="0.25">
      <c r="A78" s="28" t="s">
        <v>842</v>
      </c>
      <c r="B78" s="28" t="s">
        <v>843</v>
      </c>
      <c r="C78" s="28">
        <v>3</v>
      </c>
      <c r="D78" s="28" t="s">
        <v>844</v>
      </c>
      <c r="E78" s="28" t="s">
        <v>131</v>
      </c>
      <c r="F78" s="30" t="s">
        <v>3673</v>
      </c>
      <c r="H78" s="28" t="s">
        <v>270</v>
      </c>
      <c r="J78" s="28" t="s">
        <v>2232</v>
      </c>
      <c r="K78" s="28" t="s">
        <v>2771</v>
      </c>
    </row>
    <row r="79" spans="1:11" ht="75" x14ac:dyDescent="0.25">
      <c r="A79" s="28" t="s">
        <v>845</v>
      </c>
      <c r="B79" s="28" t="s">
        <v>846</v>
      </c>
      <c r="C79" s="28">
        <v>3</v>
      </c>
      <c r="D79" s="28" t="s">
        <v>847</v>
      </c>
      <c r="E79" s="28" t="s">
        <v>131</v>
      </c>
      <c r="F79" s="30" t="s">
        <v>3673</v>
      </c>
      <c r="H79" s="28" t="s">
        <v>270</v>
      </c>
      <c r="J79" s="28" t="s">
        <v>2232</v>
      </c>
      <c r="K79" s="28" t="s">
        <v>2772</v>
      </c>
    </row>
    <row r="80" spans="1:11" ht="75" x14ac:dyDescent="0.25">
      <c r="A80" s="28" t="s">
        <v>848</v>
      </c>
      <c r="B80" s="28" t="s">
        <v>849</v>
      </c>
      <c r="C80" s="28">
        <v>3</v>
      </c>
      <c r="D80" s="28" t="s">
        <v>850</v>
      </c>
      <c r="E80" s="28" t="s">
        <v>131</v>
      </c>
      <c r="F80" s="30" t="s">
        <v>3673</v>
      </c>
      <c r="H80" s="28" t="s">
        <v>270</v>
      </c>
      <c r="J80" s="28" t="s">
        <v>2232</v>
      </c>
      <c r="K80" s="28" t="s">
        <v>2773</v>
      </c>
    </row>
    <row r="81" spans="1:11" ht="75" x14ac:dyDescent="0.25">
      <c r="A81" s="28" t="s">
        <v>851</v>
      </c>
      <c r="B81" s="28" t="s">
        <v>852</v>
      </c>
      <c r="C81" s="28">
        <v>3</v>
      </c>
      <c r="D81" s="28" t="s">
        <v>853</v>
      </c>
      <c r="E81" s="28" t="s">
        <v>131</v>
      </c>
      <c r="F81" s="30" t="s">
        <v>3673</v>
      </c>
      <c r="H81" s="28" t="s">
        <v>270</v>
      </c>
      <c r="J81" s="28" t="s">
        <v>2232</v>
      </c>
      <c r="K81" s="28" t="s">
        <v>2774</v>
      </c>
    </row>
    <row r="82" spans="1:11" ht="75" x14ac:dyDescent="0.25">
      <c r="A82" s="28" t="s">
        <v>854</v>
      </c>
      <c r="B82" s="28" t="s">
        <v>855</v>
      </c>
      <c r="C82" s="28">
        <v>3</v>
      </c>
      <c r="D82" s="28" t="s">
        <v>856</v>
      </c>
      <c r="E82" s="28" t="s">
        <v>131</v>
      </c>
      <c r="F82" s="30" t="s">
        <v>3673</v>
      </c>
      <c r="H82" s="28" t="s">
        <v>270</v>
      </c>
      <c r="J82" s="28" t="s">
        <v>2232</v>
      </c>
      <c r="K82" s="28" t="s">
        <v>2775</v>
      </c>
    </row>
    <row r="83" spans="1:11" ht="75" x14ac:dyDescent="0.25">
      <c r="A83" s="28" t="s">
        <v>857</v>
      </c>
      <c r="B83" s="28" t="s">
        <v>858</v>
      </c>
      <c r="C83" s="28">
        <v>3</v>
      </c>
      <c r="D83" s="28" t="s">
        <v>859</v>
      </c>
      <c r="E83" s="28" t="s">
        <v>131</v>
      </c>
      <c r="F83" s="30" t="s">
        <v>3673</v>
      </c>
      <c r="H83" s="28" t="s">
        <v>270</v>
      </c>
      <c r="J83" s="28" t="s">
        <v>2232</v>
      </c>
      <c r="K83" s="28" t="s">
        <v>2776</v>
      </c>
    </row>
    <row r="84" spans="1:11" ht="75" x14ac:dyDescent="0.25">
      <c r="A84" s="28" t="s">
        <v>860</v>
      </c>
      <c r="B84" s="28" t="s">
        <v>861</v>
      </c>
      <c r="C84" s="28">
        <v>3</v>
      </c>
      <c r="D84" s="28" t="s">
        <v>862</v>
      </c>
      <c r="E84" s="28" t="s">
        <v>131</v>
      </c>
      <c r="F84" s="30" t="s">
        <v>3673</v>
      </c>
      <c r="H84" s="28" t="s">
        <v>270</v>
      </c>
      <c r="J84" s="28" t="s">
        <v>2232</v>
      </c>
      <c r="K84" s="28" t="s">
        <v>2777</v>
      </c>
    </row>
    <row r="85" spans="1:11" ht="75" x14ac:dyDescent="0.25">
      <c r="A85" s="28" t="s">
        <v>863</v>
      </c>
      <c r="B85" s="28">
        <v>8.4</v>
      </c>
      <c r="C85" s="28">
        <v>2</v>
      </c>
      <c r="D85" s="9" t="s">
        <v>3449</v>
      </c>
      <c r="E85" s="28" t="s">
        <v>3443</v>
      </c>
      <c r="F85" s="30" t="s">
        <v>3673</v>
      </c>
      <c r="H85" s="28" t="s">
        <v>270</v>
      </c>
      <c r="J85" s="28" t="s">
        <v>2232</v>
      </c>
    </row>
    <row r="86" spans="1:11" ht="75" x14ac:dyDescent="0.25">
      <c r="A86" s="28" t="s">
        <v>3451</v>
      </c>
      <c r="B86" s="28" t="s">
        <v>3452</v>
      </c>
      <c r="C86" s="28">
        <v>3</v>
      </c>
      <c r="D86" s="28" t="s">
        <v>3450</v>
      </c>
      <c r="E86" s="28" t="s">
        <v>139</v>
      </c>
      <c r="F86" s="30" t="s">
        <v>3673</v>
      </c>
      <c r="J86" s="28" t="s">
        <v>2232</v>
      </c>
    </row>
    <row r="87" spans="1:11" ht="75" x14ac:dyDescent="0.25">
      <c r="A87" s="28" t="s">
        <v>864</v>
      </c>
      <c r="B87" s="28" t="s">
        <v>865</v>
      </c>
      <c r="C87" s="28">
        <v>3</v>
      </c>
      <c r="D87" s="9" t="s">
        <v>866</v>
      </c>
      <c r="E87" s="28" t="s">
        <v>3443</v>
      </c>
      <c r="F87" s="30" t="s">
        <v>3673</v>
      </c>
      <c r="H87" s="28" t="s">
        <v>270</v>
      </c>
      <c r="J87" s="28" t="s">
        <v>2232</v>
      </c>
    </row>
    <row r="88" spans="1:11" ht="105" x14ac:dyDescent="0.25">
      <c r="A88" s="28" t="s">
        <v>867</v>
      </c>
      <c r="B88" s="28" t="s">
        <v>3389</v>
      </c>
      <c r="C88" s="28">
        <v>4</v>
      </c>
      <c r="D88" s="28" t="s">
        <v>868</v>
      </c>
      <c r="E88" s="28" t="s">
        <v>131</v>
      </c>
      <c r="F88" s="30" t="s">
        <v>3674</v>
      </c>
      <c r="H88" s="28" t="s">
        <v>270</v>
      </c>
      <c r="J88" s="28" t="s">
        <v>2232</v>
      </c>
      <c r="K88" s="28" t="s">
        <v>3388</v>
      </c>
    </row>
    <row r="89" spans="1:11" ht="90" x14ac:dyDescent="0.25">
      <c r="A89" s="28" t="s">
        <v>2778</v>
      </c>
      <c r="B89" s="28" t="s">
        <v>2779</v>
      </c>
      <c r="C89" s="28">
        <v>4</v>
      </c>
      <c r="D89" s="28" t="s">
        <v>3309</v>
      </c>
      <c r="E89" s="28" t="s">
        <v>131</v>
      </c>
      <c r="F89" s="30" t="s">
        <v>3675</v>
      </c>
      <c r="H89" s="30" t="s">
        <v>3662</v>
      </c>
      <c r="J89" s="28" t="s">
        <v>2232</v>
      </c>
    </row>
    <row r="90" spans="1:11" ht="75" x14ac:dyDescent="0.25">
      <c r="A90" s="28" t="s">
        <v>869</v>
      </c>
      <c r="B90" s="28" t="s">
        <v>870</v>
      </c>
      <c r="C90" s="28">
        <v>4</v>
      </c>
      <c r="D90" s="9" t="s">
        <v>871</v>
      </c>
      <c r="E90" s="28" t="s">
        <v>3443</v>
      </c>
      <c r="F90" s="30" t="s">
        <v>3673</v>
      </c>
      <c r="H90" s="28" t="s">
        <v>270</v>
      </c>
      <c r="J90" s="28" t="s">
        <v>2232</v>
      </c>
    </row>
    <row r="91" spans="1:11" ht="90" x14ac:dyDescent="0.25">
      <c r="A91" s="28" t="s">
        <v>2780</v>
      </c>
      <c r="B91" s="28" t="s">
        <v>2781</v>
      </c>
      <c r="C91" s="28">
        <v>5</v>
      </c>
      <c r="D91" s="28" t="s">
        <v>3310</v>
      </c>
      <c r="E91" s="28" t="s">
        <v>131</v>
      </c>
      <c r="F91" s="30" t="s">
        <v>3675</v>
      </c>
      <c r="H91" s="30" t="s">
        <v>3662</v>
      </c>
      <c r="J91" s="28" t="s">
        <v>2232</v>
      </c>
    </row>
    <row r="92" spans="1:11" ht="60" x14ac:dyDescent="0.25">
      <c r="A92" s="28" t="s">
        <v>2239</v>
      </c>
      <c r="B92" s="28" t="s">
        <v>2240</v>
      </c>
      <c r="C92" s="28">
        <v>3</v>
      </c>
      <c r="D92" s="9" t="s">
        <v>2241</v>
      </c>
      <c r="E92" s="28" t="s">
        <v>3443</v>
      </c>
      <c r="F92" s="30" t="s">
        <v>3675</v>
      </c>
      <c r="H92" s="28" t="s">
        <v>272</v>
      </c>
      <c r="J92" s="28" t="s">
        <v>2232</v>
      </c>
    </row>
    <row r="93" spans="1:11" ht="60" x14ac:dyDescent="0.25">
      <c r="A93" s="28" t="s">
        <v>872</v>
      </c>
      <c r="B93" s="28" t="s">
        <v>2782</v>
      </c>
      <c r="C93" s="28">
        <v>4</v>
      </c>
      <c r="D93" s="28" t="s">
        <v>873</v>
      </c>
      <c r="E93" s="28" t="s">
        <v>131</v>
      </c>
      <c r="F93" s="30" t="s">
        <v>3675</v>
      </c>
      <c r="H93" s="28" t="s">
        <v>272</v>
      </c>
      <c r="J93" s="28" t="s">
        <v>2232</v>
      </c>
    </row>
    <row r="94" spans="1:11" ht="60" x14ac:dyDescent="0.25">
      <c r="A94" s="28" t="s">
        <v>874</v>
      </c>
      <c r="B94" s="28" t="s">
        <v>2783</v>
      </c>
      <c r="C94" s="28">
        <v>4</v>
      </c>
      <c r="D94" s="28" t="s">
        <v>3311</v>
      </c>
      <c r="E94" s="28" t="s">
        <v>131</v>
      </c>
      <c r="F94" s="30" t="s">
        <v>3675</v>
      </c>
      <c r="H94" s="28" t="s">
        <v>272</v>
      </c>
      <c r="J94" s="28" t="s">
        <v>2232</v>
      </c>
    </row>
    <row r="95" spans="1:11" ht="60" x14ac:dyDescent="0.25">
      <c r="A95" s="28" t="s">
        <v>875</v>
      </c>
      <c r="B95" s="28" t="s">
        <v>2784</v>
      </c>
      <c r="C95" s="28">
        <v>4</v>
      </c>
      <c r="D95" s="28" t="s">
        <v>3312</v>
      </c>
      <c r="E95" s="28" t="s">
        <v>131</v>
      </c>
      <c r="F95" s="30" t="s">
        <v>3675</v>
      </c>
      <c r="H95" s="28" t="s">
        <v>272</v>
      </c>
      <c r="J95" s="28" t="s">
        <v>2232</v>
      </c>
    </row>
    <row r="96" spans="1:11" ht="60" x14ac:dyDescent="0.25">
      <c r="A96" s="28" t="s">
        <v>876</v>
      </c>
      <c r="B96" s="28" t="s">
        <v>2785</v>
      </c>
      <c r="C96" s="28">
        <v>4</v>
      </c>
      <c r="D96" s="28" t="s">
        <v>877</v>
      </c>
      <c r="E96" s="28" t="s">
        <v>139</v>
      </c>
      <c r="F96" s="30" t="s">
        <v>3675</v>
      </c>
      <c r="H96" s="28" t="s">
        <v>272</v>
      </c>
      <c r="J96" s="28" t="s">
        <v>2232</v>
      </c>
    </row>
    <row r="97" spans="1:11" ht="60" x14ac:dyDescent="0.25">
      <c r="A97" s="28" t="s">
        <v>878</v>
      </c>
      <c r="B97" s="28" t="s">
        <v>2786</v>
      </c>
      <c r="C97" s="28">
        <v>4</v>
      </c>
      <c r="D97" s="28" t="s">
        <v>3313</v>
      </c>
      <c r="E97" s="28" t="s">
        <v>131</v>
      </c>
      <c r="F97" s="30" t="s">
        <v>3675</v>
      </c>
      <c r="H97" s="28" t="s">
        <v>272</v>
      </c>
      <c r="J97" s="28" t="s">
        <v>2232</v>
      </c>
    </row>
    <row r="98" spans="1:11" ht="60" x14ac:dyDescent="0.25">
      <c r="A98" s="28" t="s">
        <v>879</v>
      </c>
      <c r="B98" s="28" t="s">
        <v>2787</v>
      </c>
      <c r="C98" s="28">
        <v>4</v>
      </c>
      <c r="D98" s="28" t="s">
        <v>3314</v>
      </c>
      <c r="E98" s="28" t="s">
        <v>131</v>
      </c>
      <c r="F98" s="30" t="s">
        <v>3675</v>
      </c>
      <c r="H98" s="28" t="s">
        <v>272</v>
      </c>
      <c r="J98" s="28" t="s">
        <v>2232</v>
      </c>
    </row>
    <row r="99" spans="1:11" ht="60" x14ac:dyDescent="0.25">
      <c r="A99" s="28" t="s">
        <v>880</v>
      </c>
      <c r="B99" s="28" t="s">
        <v>2788</v>
      </c>
      <c r="C99" s="28">
        <v>4</v>
      </c>
      <c r="D99" s="28" t="s">
        <v>881</v>
      </c>
      <c r="E99" s="28" t="s">
        <v>131</v>
      </c>
      <c r="F99" s="30" t="s">
        <v>3675</v>
      </c>
      <c r="H99" s="28" t="s">
        <v>272</v>
      </c>
      <c r="J99" s="28" t="s">
        <v>2232</v>
      </c>
    </row>
    <row r="100" spans="1:11" ht="60" x14ac:dyDescent="0.25">
      <c r="A100" s="28" t="s">
        <v>882</v>
      </c>
      <c r="B100" s="28" t="s">
        <v>2789</v>
      </c>
      <c r="C100" s="28">
        <v>4</v>
      </c>
      <c r="D100" s="28" t="s">
        <v>3315</v>
      </c>
      <c r="E100" s="28" t="s">
        <v>131</v>
      </c>
      <c r="F100" s="30" t="s">
        <v>3675</v>
      </c>
      <c r="H100" s="28" t="s">
        <v>272</v>
      </c>
      <c r="J100" s="28" t="s">
        <v>2232</v>
      </c>
    </row>
    <row r="101" spans="1:11" ht="60" x14ac:dyDescent="0.25">
      <c r="A101" s="28" t="s">
        <v>2790</v>
      </c>
      <c r="B101" s="28" t="s">
        <v>2791</v>
      </c>
      <c r="C101" s="28">
        <v>4</v>
      </c>
      <c r="D101" s="28" t="s">
        <v>3316</v>
      </c>
      <c r="E101" s="28" t="s">
        <v>131</v>
      </c>
      <c r="F101" s="30" t="s">
        <v>3675</v>
      </c>
      <c r="H101" s="28" t="s">
        <v>272</v>
      </c>
      <c r="J101" s="28" t="s">
        <v>2232</v>
      </c>
    </row>
    <row r="102" spans="1:11" ht="60" x14ac:dyDescent="0.25">
      <c r="A102" s="28" t="s">
        <v>883</v>
      </c>
      <c r="B102" s="28" t="s">
        <v>2792</v>
      </c>
      <c r="C102" s="28">
        <v>4</v>
      </c>
      <c r="D102" s="28" t="s">
        <v>3317</v>
      </c>
      <c r="E102" s="28" t="s">
        <v>131</v>
      </c>
      <c r="F102" s="30" t="s">
        <v>3675</v>
      </c>
      <c r="H102" s="28" t="s">
        <v>272</v>
      </c>
      <c r="J102" s="28" t="s">
        <v>2232</v>
      </c>
    </row>
    <row r="103" spans="1:11" ht="60" x14ac:dyDescent="0.25">
      <c r="A103" s="28" t="s">
        <v>884</v>
      </c>
      <c r="B103" s="28" t="s">
        <v>2793</v>
      </c>
      <c r="C103" s="28">
        <v>4</v>
      </c>
      <c r="D103" s="28" t="s">
        <v>3318</v>
      </c>
      <c r="E103" s="28" t="s">
        <v>131</v>
      </c>
      <c r="F103" s="30" t="s">
        <v>3675</v>
      </c>
      <c r="H103" s="28" t="s">
        <v>272</v>
      </c>
      <c r="J103" s="28" t="s">
        <v>2232</v>
      </c>
    </row>
    <row r="104" spans="1:11" ht="75" x14ac:dyDescent="0.25">
      <c r="A104" s="28" t="s">
        <v>885</v>
      </c>
      <c r="B104" s="28">
        <v>8.6999999999999993</v>
      </c>
      <c r="C104" s="28">
        <v>2</v>
      </c>
      <c r="D104" s="9" t="s">
        <v>886</v>
      </c>
      <c r="E104" s="28" t="s">
        <v>3443</v>
      </c>
      <c r="F104" s="30" t="s">
        <v>3673</v>
      </c>
      <c r="H104" s="28" t="s">
        <v>270</v>
      </c>
      <c r="J104" s="28" t="s">
        <v>2232</v>
      </c>
    </row>
    <row r="105" spans="1:11" ht="60" x14ac:dyDescent="0.25">
      <c r="A105" s="28" t="s">
        <v>887</v>
      </c>
      <c r="B105" s="28" t="s">
        <v>888</v>
      </c>
      <c r="C105" s="28">
        <v>3</v>
      </c>
      <c r="D105" s="28" t="s">
        <v>889</v>
      </c>
      <c r="E105" s="28" t="s">
        <v>139</v>
      </c>
      <c r="F105" s="30" t="s">
        <v>3675</v>
      </c>
      <c r="H105" s="28" t="s">
        <v>270</v>
      </c>
      <c r="J105" s="28" t="s">
        <v>2232</v>
      </c>
    </row>
    <row r="106" spans="1:11" ht="75" x14ac:dyDescent="0.25">
      <c r="A106" s="28" t="s">
        <v>890</v>
      </c>
      <c r="B106" s="28" t="s">
        <v>891</v>
      </c>
      <c r="C106" s="28">
        <v>3</v>
      </c>
      <c r="D106" s="28" t="s">
        <v>892</v>
      </c>
      <c r="E106" s="28" t="s">
        <v>131</v>
      </c>
      <c r="F106" s="30" t="s">
        <v>3673</v>
      </c>
      <c r="H106" s="28" t="s">
        <v>270</v>
      </c>
      <c r="J106" s="28" t="s">
        <v>2232</v>
      </c>
      <c r="K106" s="28" t="s">
        <v>2794</v>
      </c>
    </row>
    <row r="107" spans="1:11" ht="75" x14ac:dyDescent="0.25">
      <c r="A107" s="28" t="s">
        <v>893</v>
      </c>
      <c r="B107" s="28" t="s">
        <v>894</v>
      </c>
      <c r="C107" s="28">
        <v>3</v>
      </c>
      <c r="D107" s="28" t="s">
        <v>895</v>
      </c>
      <c r="E107" s="28" t="s">
        <v>131</v>
      </c>
      <c r="F107" s="30" t="s">
        <v>3673</v>
      </c>
      <c r="H107" s="28" t="s">
        <v>270</v>
      </c>
      <c r="J107" s="28" t="s">
        <v>2232</v>
      </c>
      <c r="K107" s="28" t="s">
        <v>2795</v>
      </c>
    </row>
    <row r="108" spans="1:11" ht="75" x14ac:dyDescent="0.25">
      <c r="A108" s="28" t="s">
        <v>896</v>
      </c>
      <c r="B108" s="28" t="s">
        <v>897</v>
      </c>
      <c r="C108" s="28">
        <v>3</v>
      </c>
      <c r="D108" s="28" t="s">
        <v>898</v>
      </c>
      <c r="E108" s="28" t="s">
        <v>131</v>
      </c>
      <c r="F108" s="30" t="s">
        <v>3673</v>
      </c>
      <c r="H108" s="28" t="s">
        <v>270</v>
      </c>
      <c r="J108" s="28" t="s">
        <v>2232</v>
      </c>
      <c r="K108" s="28" t="s">
        <v>2796</v>
      </c>
    </row>
    <row r="109" spans="1:11" ht="75" x14ac:dyDescent="0.25">
      <c r="A109" s="28" t="s">
        <v>899</v>
      </c>
      <c r="B109" s="28" t="s">
        <v>900</v>
      </c>
      <c r="C109" s="28">
        <v>3</v>
      </c>
      <c r="D109" s="28" t="s">
        <v>901</v>
      </c>
      <c r="E109" s="28" t="s">
        <v>131</v>
      </c>
      <c r="F109" s="30" t="s">
        <v>3673</v>
      </c>
      <c r="H109" s="28" t="s">
        <v>270</v>
      </c>
      <c r="J109" s="28" t="s">
        <v>2232</v>
      </c>
      <c r="K109" s="28" t="s">
        <v>2797</v>
      </c>
    </row>
    <row r="110" spans="1:11" ht="75" x14ac:dyDescent="0.25">
      <c r="A110" s="28" t="s">
        <v>902</v>
      </c>
      <c r="B110" s="28" t="s">
        <v>903</v>
      </c>
      <c r="C110" s="28">
        <v>3</v>
      </c>
      <c r="D110" s="28" t="s">
        <v>904</v>
      </c>
      <c r="E110" s="28" t="s">
        <v>131</v>
      </c>
      <c r="F110" s="30" t="s">
        <v>3673</v>
      </c>
      <c r="H110" s="28" t="s">
        <v>270</v>
      </c>
      <c r="J110" s="28" t="s">
        <v>2232</v>
      </c>
      <c r="K110" s="28" t="s">
        <v>2798</v>
      </c>
    </row>
    <row r="111" spans="1:11" ht="75" x14ac:dyDescent="0.25">
      <c r="A111" s="28" t="s">
        <v>905</v>
      </c>
      <c r="B111" s="28" t="s">
        <v>906</v>
      </c>
      <c r="C111" s="28">
        <v>3</v>
      </c>
      <c r="D111" s="28" t="s">
        <v>907</v>
      </c>
      <c r="E111" s="28" t="s">
        <v>131</v>
      </c>
      <c r="F111" s="30" t="s">
        <v>3673</v>
      </c>
      <c r="H111" s="28" t="s">
        <v>270</v>
      </c>
      <c r="J111" s="28" t="s">
        <v>2232</v>
      </c>
      <c r="K111" s="28" t="s">
        <v>2799</v>
      </c>
    </row>
    <row r="112" spans="1:11" ht="60" x14ac:dyDescent="0.25">
      <c r="A112" s="28" t="s">
        <v>908</v>
      </c>
      <c r="B112" s="28" t="s">
        <v>909</v>
      </c>
      <c r="C112" s="28">
        <v>3</v>
      </c>
      <c r="D112" s="28" t="s">
        <v>910</v>
      </c>
      <c r="E112" s="28" t="s">
        <v>131</v>
      </c>
      <c r="F112" s="30" t="s">
        <v>3675</v>
      </c>
      <c r="H112" s="28" t="s">
        <v>270</v>
      </c>
      <c r="J112" s="28" t="s">
        <v>2232</v>
      </c>
    </row>
    <row r="113" spans="1:11" ht="75" x14ac:dyDescent="0.25">
      <c r="A113" s="28" t="s">
        <v>911</v>
      </c>
      <c r="B113" s="28" t="s">
        <v>912</v>
      </c>
      <c r="C113" s="28">
        <v>3</v>
      </c>
      <c r="D113" s="28" t="s">
        <v>913</v>
      </c>
      <c r="E113" s="28" t="s">
        <v>131</v>
      </c>
      <c r="F113" s="30" t="s">
        <v>3673</v>
      </c>
      <c r="H113" s="28" t="s">
        <v>270</v>
      </c>
      <c r="J113" s="28" t="s">
        <v>2232</v>
      </c>
      <c r="K113" s="28" t="s">
        <v>2800</v>
      </c>
    </row>
    <row r="114" spans="1:11" ht="75" x14ac:dyDescent="0.25">
      <c r="A114" s="28" t="s">
        <v>914</v>
      </c>
      <c r="B114" s="28" t="s">
        <v>915</v>
      </c>
      <c r="C114" s="28">
        <v>3</v>
      </c>
      <c r="D114" s="28" t="s">
        <v>916</v>
      </c>
      <c r="E114" s="28" t="s">
        <v>131</v>
      </c>
      <c r="F114" s="30" t="s">
        <v>3673</v>
      </c>
      <c r="H114" s="28" t="s">
        <v>270</v>
      </c>
      <c r="J114" s="28" t="s">
        <v>2232</v>
      </c>
      <c r="K114" s="28" t="s">
        <v>2801</v>
      </c>
    </row>
    <row r="115" spans="1:11" ht="75" x14ac:dyDescent="0.25">
      <c r="A115" s="28" t="s">
        <v>917</v>
      </c>
      <c r="B115" s="28" t="s">
        <v>918</v>
      </c>
      <c r="C115" s="28">
        <v>3</v>
      </c>
      <c r="D115" s="28" t="s">
        <v>919</v>
      </c>
      <c r="E115" s="28" t="s">
        <v>131</v>
      </c>
      <c r="F115" s="30" t="s">
        <v>3673</v>
      </c>
      <c r="H115" s="28" t="s">
        <v>270</v>
      </c>
      <c r="J115" s="28" t="s">
        <v>2232</v>
      </c>
      <c r="K115" s="28" t="s">
        <v>2802</v>
      </c>
    </row>
    <row r="116" spans="1:11" ht="75" x14ac:dyDescent="0.25">
      <c r="A116" s="28" t="s">
        <v>920</v>
      </c>
      <c r="B116" s="28" t="s">
        <v>921</v>
      </c>
      <c r="C116" s="28">
        <v>3</v>
      </c>
      <c r="D116" s="28" t="s">
        <v>922</v>
      </c>
      <c r="E116" s="28" t="s">
        <v>131</v>
      </c>
      <c r="F116" s="30" t="s">
        <v>3673</v>
      </c>
      <c r="H116" s="28" t="s">
        <v>270</v>
      </c>
      <c r="J116" s="28" t="s">
        <v>2232</v>
      </c>
      <c r="K116" s="28" t="s">
        <v>2803</v>
      </c>
    </row>
    <row r="117" spans="1:11" ht="75" x14ac:dyDescent="0.25">
      <c r="A117" s="28" t="s">
        <v>923</v>
      </c>
      <c r="B117" s="28" t="s">
        <v>924</v>
      </c>
      <c r="C117" s="28">
        <v>3</v>
      </c>
      <c r="D117" s="28" t="s">
        <v>925</v>
      </c>
      <c r="E117" s="28" t="s">
        <v>131</v>
      </c>
      <c r="F117" s="30" t="s">
        <v>3673</v>
      </c>
      <c r="H117" s="28" t="s">
        <v>270</v>
      </c>
      <c r="J117" s="28" t="s">
        <v>2232</v>
      </c>
      <c r="K117" s="28" t="s">
        <v>2804</v>
      </c>
    </row>
    <row r="118" spans="1:11" ht="75" x14ac:dyDescent="0.25">
      <c r="A118" s="28" t="s">
        <v>926</v>
      </c>
      <c r="B118" s="28" t="s">
        <v>927</v>
      </c>
      <c r="C118" s="28">
        <v>3</v>
      </c>
      <c r="D118" s="28" t="s">
        <v>928</v>
      </c>
      <c r="E118" s="28" t="s">
        <v>131</v>
      </c>
      <c r="F118" s="30" t="s">
        <v>3673</v>
      </c>
      <c r="H118" s="28" t="s">
        <v>270</v>
      </c>
      <c r="J118" s="28" t="s">
        <v>2232</v>
      </c>
      <c r="K118" s="28" t="s">
        <v>2805</v>
      </c>
    </row>
    <row r="119" spans="1:11" ht="75" x14ac:dyDescent="0.25">
      <c r="A119" s="28" t="s">
        <v>929</v>
      </c>
      <c r="B119" s="28" t="s">
        <v>930</v>
      </c>
      <c r="C119" s="28">
        <v>3</v>
      </c>
      <c r="D119" s="28" t="s">
        <v>931</v>
      </c>
      <c r="E119" s="28" t="s">
        <v>131</v>
      </c>
      <c r="F119" s="30" t="s">
        <v>3673</v>
      </c>
      <c r="H119" s="28" t="s">
        <v>270</v>
      </c>
      <c r="J119" s="28" t="s">
        <v>2232</v>
      </c>
      <c r="K119" s="28" t="s">
        <v>2806</v>
      </c>
    </row>
    <row r="120" spans="1:11" ht="75" x14ac:dyDescent="0.25">
      <c r="A120" s="28" t="s">
        <v>932</v>
      </c>
      <c r="B120" s="28" t="s">
        <v>933</v>
      </c>
      <c r="C120" s="28">
        <v>3</v>
      </c>
      <c r="D120" s="28" t="s">
        <v>934</v>
      </c>
      <c r="E120" s="28" t="s">
        <v>131</v>
      </c>
      <c r="F120" s="30" t="s">
        <v>3673</v>
      </c>
      <c r="H120" s="28" t="s">
        <v>270</v>
      </c>
      <c r="J120" s="28" t="s">
        <v>2232</v>
      </c>
      <c r="K120" s="28" t="s">
        <v>2807</v>
      </c>
    </row>
    <row r="121" spans="1:11" ht="75" x14ac:dyDescent="0.25">
      <c r="A121" s="28" t="s">
        <v>935</v>
      </c>
      <c r="B121" s="28" t="s">
        <v>936</v>
      </c>
      <c r="C121" s="28">
        <v>3</v>
      </c>
      <c r="D121" s="28" t="s">
        <v>937</v>
      </c>
      <c r="E121" s="28" t="s">
        <v>131</v>
      </c>
      <c r="F121" s="30" t="s">
        <v>3673</v>
      </c>
      <c r="H121" s="28" t="s">
        <v>270</v>
      </c>
      <c r="J121" s="28" t="s">
        <v>2232</v>
      </c>
      <c r="K121" s="28" t="s">
        <v>2808</v>
      </c>
    </row>
    <row r="122" spans="1:11" ht="75" x14ac:dyDescent="0.25">
      <c r="A122" s="28" t="s">
        <v>938</v>
      </c>
      <c r="B122" s="28" t="s">
        <v>939</v>
      </c>
      <c r="C122" s="28">
        <v>3</v>
      </c>
      <c r="D122" s="28" t="s">
        <v>940</v>
      </c>
      <c r="E122" s="28" t="s">
        <v>131</v>
      </c>
      <c r="F122" s="30" t="s">
        <v>3673</v>
      </c>
      <c r="H122" s="28" t="s">
        <v>270</v>
      </c>
      <c r="J122" s="28" t="s">
        <v>2232</v>
      </c>
      <c r="K122" s="28" t="s">
        <v>2809</v>
      </c>
    </row>
    <row r="123" spans="1:11" ht="75" x14ac:dyDescent="0.25">
      <c r="A123" s="28" t="s">
        <v>941</v>
      </c>
      <c r="B123" s="28" t="s">
        <v>942</v>
      </c>
      <c r="C123" s="28">
        <v>3</v>
      </c>
      <c r="D123" s="28" t="s">
        <v>943</v>
      </c>
      <c r="E123" s="28" t="s">
        <v>131</v>
      </c>
      <c r="F123" s="30" t="s">
        <v>3673</v>
      </c>
      <c r="H123" s="28" t="s">
        <v>270</v>
      </c>
      <c r="J123" s="28" t="s">
        <v>2232</v>
      </c>
      <c r="K123" s="28" t="s">
        <v>2810</v>
      </c>
    </row>
    <row r="124" spans="1:11" ht="75" x14ac:dyDescent="0.25">
      <c r="A124" s="28" t="s">
        <v>944</v>
      </c>
      <c r="B124" s="28" t="s">
        <v>945</v>
      </c>
      <c r="C124" s="28">
        <v>3</v>
      </c>
      <c r="D124" s="28" t="s">
        <v>946</v>
      </c>
      <c r="E124" s="28" t="s">
        <v>131</v>
      </c>
      <c r="F124" s="30" t="s">
        <v>3673</v>
      </c>
      <c r="H124" s="28" t="s">
        <v>270</v>
      </c>
      <c r="J124" s="28" t="s">
        <v>2232</v>
      </c>
      <c r="K124" s="28" t="s">
        <v>2811</v>
      </c>
    </row>
    <row r="125" spans="1:11" ht="75" x14ac:dyDescent="0.25">
      <c r="A125" s="28" t="s">
        <v>947</v>
      </c>
      <c r="B125" s="28" t="s">
        <v>948</v>
      </c>
      <c r="C125" s="28">
        <v>3</v>
      </c>
      <c r="D125" s="28" t="s">
        <v>949</v>
      </c>
      <c r="E125" s="28" t="s">
        <v>131</v>
      </c>
      <c r="F125" s="30" t="s">
        <v>3673</v>
      </c>
      <c r="H125" s="28" t="s">
        <v>270</v>
      </c>
      <c r="J125" s="28" t="s">
        <v>2232</v>
      </c>
      <c r="K125" s="28" t="s">
        <v>2812</v>
      </c>
    </row>
    <row r="126" spans="1:11" ht="75" x14ac:dyDescent="0.25">
      <c r="A126" s="28" t="s">
        <v>950</v>
      </c>
      <c r="B126" s="28" t="s">
        <v>951</v>
      </c>
      <c r="C126" s="28">
        <v>3</v>
      </c>
      <c r="D126" s="28" t="s">
        <v>952</v>
      </c>
      <c r="E126" s="28" t="s">
        <v>131</v>
      </c>
      <c r="F126" s="30" t="s">
        <v>3673</v>
      </c>
      <c r="H126" s="28" t="s">
        <v>270</v>
      </c>
      <c r="J126" s="28" t="s">
        <v>2232</v>
      </c>
      <c r="K126" s="28" t="s">
        <v>2813</v>
      </c>
    </row>
    <row r="127" spans="1:11" ht="75" x14ac:dyDescent="0.25">
      <c r="A127" s="28" t="s">
        <v>953</v>
      </c>
      <c r="B127" s="28" t="s">
        <v>954</v>
      </c>
      <c r="C127" s="28">
        <v>3</v>
      </c>
      <c r="D127" s="28" t="s">
        <v>955</v>
      </c>
      <c r="E127" s="28" t="s">
        <v>131</v>
      </c>
      <c r="F127" s="30" t="s">
        <v>3673</v>
      </c>
      <c r="H127" s="28" t="s">
        <v>270</v>
      </c>
      <c r="J127" s="28" t="s">
        <v>2232</v>
      </c>
      <c r="K127" s="28" t="s">
        <v>2814</v>
      </c>
    </row>
    <row r="128" spans="1:11" ht="75" x14ac:dyDescent="0.25">
      <c r="A128" s="28" t="s">
        <v>956</v>
      </c>
      <c r="B128" s="28" t="s">
        <v>957</v>
      </c>
      <c r="C128" s="28">
        <v>3</v>
      </c>
      <c r="D128" s="28" t="s">
        <v>958</v>
      </c>
      <c r="E128" s="28" t="s">
        <v>131</v>
      </c>
      <c r="F128" s="30" t="s">
        <v>3673</v>
      </c>
      <c r="H128" s="28" t="s">
        <v>270</v>
      </c>
      <c r="J128" s="28" t="s">
        <v>2232</v>
      </c>
      <c r="K128" s="28" t="s">
        <v>2815</v>
      </c>
    </row>
    <row r="129" spans="1:11" ht="75" x14ac:dyDescent="0.25">
      <c r="A129" s="28" t="s">
        <v>959</v>
      </c>
      <c r="B129" s="28" t="s">
        <v>960</v>
      </c>
      <c r="C129" s="28">
        <v>3</v>
      </c>
      <c r="D129" s="28" t="s">
        <v>961</v>
      </c>
      <c r="E129" s="28" t="s">
        <v>131</v>
      </c>
      <c r="F129" s="30" t="s">
        <v>3673</v>
      </c>
      <c r="H129" s="28" t="s">
        <v>270</v>
      </c>
      <c r="J129" s="28" t="s">
        <v>2232</v>
      </c>
      <c r="K129" s="28" t="s">
        <v>2816</v>
      </c>
    </row>
    <row r="130" spans="1:11" ht="75" x14ac:dyDescent="0.25">
      <c r="A130" s="28" t="s">
        <v>962</v>
      </c>
      <c r="B130" s="28" t="s">
        <v>963</v>
      </c>
      <c r="C130" s="28">
        <v>3</v>
      </c>
      <c r="D130" s="28" t="s">
        <v>964</v>
      </c>
      <c r="E130" s="28" t="s">
        <v>131</v>
      </c>
      <c r="F130" s="30" t="s">
        <v>3673</v>
      </c>
      <c r="H130" s="28" t="s">
        <v>270</v>
      </c>
      <c r="J130" s="28" t="s">
        <v>2232</v>
      </c>
      <c r="K130" s="28" t="s">
        <v>2817</v>
      </c>
    </row>
    <row r="131" spans="1:11" ht="75" x14ac:dyDescent="0.25">
      <c r="A131" s="28" t="s">
        <v>965</v>
      </c>
      <c r="B131" s="28" t="s">
        <v>966</v>
      </c>
      <c r="C131" s="28">
        <v>3</v>
      </c>
      <c r="D131" s="28" t="s">
        <v>967</v>
      </c>
      <c r="E131" s="28" t="s">
        <v>131</v>
      </c>
      <c r="F131" s="30" t="s">
        <v>3673</v>
      </c>
      <c r="H131" s="28" t="s">
        <v>270</v>
      </c>
      <c r="J131" s="28" t="s">
        <v>2232</v>
      </c>
      <c r="K131" s="28" t="s">
        <v>2818</v>
      </c>
    </row>
    <row r="132" spans="1:11" ht="75" x14ac:dyDescent="0.25">
      <c r="A132" s="28" t="s">
        <v>968</v>
      </c>
      <c r="B132" s="28" t="s">
        <v>969</v>
      </c>
      <c r="C132" s="28">
        <v>3</v>
      </c>
      <c r="D132" s="28" t="s">
        <v>970</v>
      </c>
      <c r="E132" s="28" t="s">
        <v>131</v>
      </c>
      <c r="F132" s="30" t="s">
        <v>3673</v>
      </c>
      <c r="H132" s="28" t="s">
        <v>270</v>
      </c>
      <c r="J132" s="28" t="s">
        <v>2232</v>
      </c>
      <c r="K132" s="28" t="s">
        <v>2819</v>
      </c>
    </row>
    <row r="133" spans="1:11" ht="75" x14ac:dyDescent="0.25">
      <c r="A133" s="28" t="s">
        <v>971</v>
      </c>
      <c r="B133" s="28">
        <v>9</v>
      </c>
      <c r="C133" s="28">
        <v>1</v>
      </c>
      <c r="D133" s="9" t="s">
        <v>275</v>
      </c>
      <c r="E133" s="28" t="s">
        <v>3443</v>
      </c>
      <c r="F133" s="30" t="s">
        <v>3673</v>
      </c>
      <c r="H133" s="28" t="s">
        <v>278</v>
      </c>
      <c r="J133" s="28" t="s">
        <v>2232</v>
      </c>
    </row>
    <row r="134" spans="1:11" ht="75" x14ac:dyDescent="0.25">
      <c r="A134" s="28" t="s">
        <v>972</v>
      </c>
      <c r="B134" s="28">
        <v>9.1</v>
      </c>
      <c r="C134" s="28">
        <v>2</v>
      </c>
      <c r="D134" s="9" t="s">
        <v>277</v>
      </c>
      <c r="E134" s="28" t="s">
        <v>3443</v>
      </c>
      <c r="F134" s="30" t="s">
        <v>3673</v>
      </c>
      <c r="H134" s="28" t="s">
        <v>278</v>
      </c>
      <c r="J134" s="28" t="s">
        <v>2232</v>
      </c>
    </row>
    <row r="135" spans="1:11" ht="75" x14ac:dyDescent="0.25">
      <c r="A135" s="28" t="s">
        <v>973</v>
      </c>
      <c r="B135" s="28" t="s">
        <v>561</v>
      </c>
      <c r="C135" s="28">
        <v>3</v>
      </c>
      <c r="D135" s="28" t="s">
        <v>279</v>
      </c>
      <c r="E135" s="28" t="s">
        <v>131</v>
      </c>
      <c r="F135" s="30" t="s">
        <v>3673</v>
      </c>
      <c r="H135" s="28" t="s">
        <v>278</v>
      </c>
      <c r="J135" s="28" t="s">
        <v>2232</v>
      </c>
      <c r="K135" s="28" t="s">
        <v>2820</v>
      </c>
    </row>
    <row r="136" spans="1:11" ht="75" x14ac:dyDescent="0.25">
      <c r="A136" s="28" t="s">
        <v>974</v>
      </c>
      <c r="B136" s="28" t="s">
        <v>975</v>
      </c>
      <c r="C136" s="28">
        <v>3</v>
      </c>
      <c r="D136" s="28" t="s">
        <v>976</v>
      </c>
      <c r="E136" s="28" t="s">
        <v>131</v>
      </c>
      <c r="F136" s="30" t="s">
        <v>3673</v>
      </c>
      <c r="H136" s="28" t="s">
        <v>278</v>
      </c>
      <c r="J136" s="28" t="s">
        <v>2232</v>
      </c>
      <c r="K136" s="28" t="s">
        <v>2821</v>
      </c>
    </row>
    <row r="137" spans="1:11" ht="75" x14ac:dyDescent="0.25">
      <c r="A137" s="28" t="s">
        <v>977</v>
      </c>
      <c r="B137" s="28" t="s">
        <v>978</v>
      </c>
      <c r="C137" s="28">
        <v>3</v>
      </c>
      <c r="D137" s="28" t="s">
        <v>979</v>
      </c>
      <c r="E137" s="28" t="s">
        <v>139</v>
      </c>
      <c r="F137" s="30" t="s">
        <v>3673</v>
      </c>
      <c r="H137" s="28" t="s">
        <v>278</v>
      </c>
      <c r="J137" s="28" t="s">
        <v>2232</v>
      </c>
    </row>
    <row r="138" spans="1:11" ht="75" x14ac:dyDescent="0.25">
      <c r="A138" s="28" t="s">
        <v>980</v>
      </c>
      <c r="B138" s="28">
        <v>9.1999999999999993</v>
      </c>
      <c r="C138" s="28">
        <v>2</v>
      </c>
      <c r="D138" s="9" t="s">
        <v>281</v>
      </c>
      <c r="E138" s="28" t="s">
        <v>3443</v>
      </c>
      <c r="F138" s="30" t="s">
        <v>3673</v>
      </c>
      <c r="H138" s="28" t="s">
        <v>278</v>
      </c>
      <c r="J138" s="28" t="s">
        <v>2232</v>
      </c>
    </row>
    <row r="139" spans="1:11" ht="75" x14ac:dyDescent="0.25">
      <c r="A139" s="28" t="s">
        <v>981</v>
      </c>
      <c r="B139" s="28" t="s">
        <v>562</v>
      </c>
      <c r="C139" s="28">
        <v>3</v>
      </c>
      <c r="D139" s="28" t="s">
        <v>982</v>
      </c>
      <c r="E139" s="28" t="s">
        <v>131</v>
      </c>
      <c r="F139" s="30" t="s">
        <v>3673</v>
      </c>
      <c r="H139" s="28" t="s">
        <v>282</v>
      </c>
      <c r="J139" s="28" t="s">
        <v>2232</v>
      </c>
      <c r="K139" s="28" t="s">
        <v>2822</v>
      </c>
    </row>
    <row r="140" spans="1:11" ht="75" x14ac:dyDescent="0.25">
      <c r="A140" s="28" t="s">
        <v>983</v>
      </c>
      <c r="B140" s="28">
        <v>9.3000000000000007</v>
      </c>
      <c r="C140" s="28">
        <v>2</v>
      </c>
      <c r="D140" s="9" t="s">
        <v>3453</v>
      </c>
      <c r="E140" s="28" t="s">
        <v>3443</v>
      </c>
      <c r="F140" s="30" t="s">
        <v>3673</v>
      </c>
      <c r="H140" s="28" t="s">
        <v>278</v>
      </c>
      <c r="J140" s="28" t="s">
        <v>2232</v>
      </c>
      <c r="K140" s="28" t="s">
        <v>2823</v>
      </c>
    </row>
    <row r="141" spans="1:11" ht="75" x14ac:dyDescent="0.25">
      <c r="A141" s="28" t="s">
        <v>984</v>
      </c>
      <c r="B141" s="28" t="s">
        <v>563</v>
      </c>
      <c r="C141" s="28">
        <v>3</v>
      </c>
      <c r="D141" s="28" t="s">
        <v>2242</v>
      </c>
      <c r="E141" s="28" t="s">
        <v>131</v>
      </c>
      <c r="F141" s="30" t="s">
        <v>3673</v>
      </c>
      <c r="H141" s="28" t="s">
        <v>290</v>
      </c>
      <c r="J141" s="28" t="s">
        <v>2232</v>
      </c>
      <c r="K141" s="28" t="s">
        <v>2824</v>
      </c>
    </row>
    <row r="142" spans="1:11" ht="75" x14ac:dyDescent="0.25">
      <c r="A142" s="28" t="s">
        <v>985</v>
      </c>
      <c r="B142" s="28">
        <v>9.4</v>
      </c>
      <c r="C142" s="28">
        <v>2</v>
      </c>
      <c r="D142" s="9" t="s">
        <v>3454</v>
      </c>
      <c r="E142" s="28" t="s">
        <v>3443</v>
      </c>
      <c r="F142" s="30" t="s">
        <v>3673</v>
      </c>
      <c r="H142" s="28" t="s">
        <v>278</v>
      </c>
      <c r="J142" s="28" t="s">
        <v>2232</v>
      </c>
      <c r="K142" s="28" t="s">
        <v>2825</v>
      </c>
    </row>
    <row r="143" spans="1:11" ht="75" x14ac:dyDescent="0.25">
      <c r="A143" s="28" t="s">
        <v>986</v>
      </c>
      <c r="B143" s="28" t="s">
        <v>987</v>
      </c>
      <c r="C143" s="28">
        <v>3</v>
      </c>
      <c r="D143" s="28" t="s">
        <v>2243</v>
      </c>
      <c r="E143" s="28" t="s">
        <v>131</v>
      </c>
      <c r="F143" s="30" t="s">
        <v>3673</v>
      </c>
      <c r="H143" s="28" t="s">
        <v>286</v>
      </c>
      <c r="J143" s="28" t="s">
        <v>2232</v>
      </c>
      <c r="K143" s="28" t="s">
        <v>2826</v>
      </c>
    </row>
    <row r="144" spans="1:11" ht="60" x14ac:dyDescent="0.25">
      <c r="A144" s="28" t="s">
        <v>988</v>
      </c>
      <c r="B144" s="28">
        <v>9.5</v>
      </c>
      <c r="C144" s="28">
        <v>2</v>
      </c>
      <c r="D144" s="9" t="s">
        <v>989</v>
      </c>
      <c r="E144" s="28" t="s">
        <v>3443</v>
      </c>
      <c r="F144" s="30" t="s">
        <v>3675</v>
      </c>
      <c r="H144" s="28" t="s">
        <v>288</v>
      </c>
      <c r="J144" s="28" t="s">
        <v>2232</v>
      </c>
    </row>
    <row r="145" spans="1:11" ht="60" x14ac:dyDescent="0.25">
      <c r="A145" s="28" t="s">
        <v>990</v>
      </c>
      <c r="B145" s="28" t="s">
        <v>991</v>
      </c>
      <c r="C145" s="28">
        <v>3</v>
      </c>
      <c r="D145" s="28" t="s">
        <v>992</v>
      </c>
      <c r="E145" s="28" t="s">
        <v>131</v>
      </c>
      <c r="F145" s="30" t="s">
        <v>3675</v>
      </c>
      <c r="H145" s="28" t="s">
        <v>288</v>
      </c>
      <c r="J145" s="28" t="s">
        <v>2232</v>
      </c>
    </row>
    <row r="146" spans="1:11" ht="60" x14ac:dyDescent="0.25">
      <c r="A146" s="28" t="s">
        <v>993</v>
      </c>
      <c r="B146" s="28" t="s">
        <v>994</v>
      </c>
      <c r="C146" s="28">
        <v>3</v>
      </c>
      <c r="D146" s="28" t="s">
        <v>995</v>
      </c>
      <c r="E146" s="28" t="s">
        <v>131</v>
      </c>
      <c r="F146" s="30" t="s">
        <v>3675</v>
      </c>
      <c r="H146" s="28" t="s">
        <v>288</v>
      </c>
      <c r="J146" s="28" t="s">
        <v>2232</v>
      </c>
    </row>
    <row r="147" spans="1:11" ht="60" x14ac:dyDescent="0.25">
      <c r="A147" s="28" t="s">
        <v>996</v>
      </c>
      <c r="B147" s="28">
        <v>10</v>
      </c>
      <c r="C147" s="28">
        <v>1</v>
      </c>
      <c r="D147" s="9" t="s">
        <v>293</v>
      </c>
      <c r="E147" s="28" t="s">
        <v>3443</v>
      </c>
      <c r="F147" s="30" t="s">
        <v>3675</v>
      </c>
      <c r="H147" s="28" t="s">
        <v>294</v>
      </c>
      <c r="J147" s="28" t="s">
        <v>2232</v>
      </c>
    </row>
    <row r="148" spans="1:11" ht="60" x14ac:dyDescent="0.25">
      <c r="A148" s="28" t="s">
        <v>997</v>
      </c>
      <c r="B148" s="28" t="s">
        <v>566</v>
      </c>
      <c r="C148" s="28">
        <v>2</v>
      </c>
      <c r="D148" s="28" t="s">
        <v>998</v>
      </c>
      <c r="E148" s="28" t="s">
        <v>131</v>
      </c>
      <c r="F148" s="30" t="s">
        <v>3675</v>
      </c>
      <c r="H148" s="28" t="s">
        <v>294</v>
      </c>
      <c r="J148" s="28" t="s">
        <v>2232</v>
      </c>
    </row>
    <row r="149" spans="1:11" ht="60" x14ac:dyDescent="0.25">
      <c r="A149" s="28" t="s">
        <v>999</v>
      </c>
      <c r="B149" s="28" t="s">
        <v>567</v>
      </c>
      <c r="C149" s="28">
        <v>2</v>
      </c>
      <c r="D149" s="28" t="s">
        <v>1000</v>
      </c>
      <c r="E149" s="28" t="s">
        <v>131</v>
      </c>
      <c r="F149" s="30" t="s">
        <v>3675</v>
      </c>
      <c r="H149" s="28" t="s">
        <v>296</v>
      </c>
      <c r="J149" s="28" t="s">
        <v>2232</v>
      </c>
    </row>
    <row r="150" spans="1:11" ht="60" x14ac:dyDescent="0.25">
      <c r="A150" s="28" t="s">
        <v>1001</v>
      </c>
      <c r="B150" s="28" t="s">
        <v>1002</v>
      </c>
      <c r="C150" s="28">
        <v>2</v>
      </c>
      <c r="D150" s="28" t="s">
        <v>1003</v>
      </c>
      <c r="E150" s="28" t="s">
        <v>131</v>
      </c>
      <c r="F150" s="30" t="s">
        <v>3675</v>
      </c>
      <c r="H150" s="28" t="s">
        <v>296</v>
      </c>
      <c r="J150" s="28" t="s">
        <v>2232</v>
      </c>
    </row>
    <row r="151" spans="1:11" ht="60" x14ac:dyDescent="0.25">
      <c r="A151" s="28" t="s">
        <v>1004</v>
      </c>
      <c r="B151" s="28" t="s">
        <v>1005</v>
      </c>
      <c r="C151" s="28">
        <v>2</v>
      </c>
      <c r="D151" s="28" t="s">
        <v>1006</v>
      </c>
      <c r="E151" s="28" t="s">
        <v>131</v>
      </c>
      <c r="F151" s="30" t="s">
        <v>3675</v>
      </c>
      <c r="H151" s="28" t="s">
        <v>294</v>
      </c>
      <c r="J151" s="28" t="s">
        <v>2232</v>
      </c>
    </row>
    <row r="152" spans="1:11" ht="60" x14ac:dyDescent="0.25">
      <c r="A152" s="28" t="s">
        <v>1007</v>
      </c>
      <c r="B152" s="28" t="s">
        <v>1008</v>
      </c>
      <c r="C152" s="28">
        <v>2</v>
      </c>
      <c r="D152" s="28" t="s">
        <v>1009</v>
      </c>
      <c r="E152" s="28" t="s">
        <v>131</v>
      </c>
      <c r="F152" s="30" t="s">
        <v>3675</v>
      </c>
      <c r="H152" s="28" t="s">
        <v>296</v>
      </c>
      <c r="J152" s="28" t="s">
        <v>2232</v>
      </c>
    </row>
    <row r="153" spans="1:11" ht="75" x14ac:dyDescent="0.25">
      <c r="A153" s="28" t="s">
        <v>801</v>
      </c>
      <c r="B153" s="28" t="s">
        <v>2510</v>
      </c>
      <c r="C153" s="28">
        <v>2</v>
      </c>
      <c r="D153" s="28" t="s">
        <v>802</v>
      </c>
      <c r="E153" s="28" t="s">
        <v>131</v>
      </c>
      <c r="F153" s="30" t="s">
        <v>3673</v>
      </c>
      <c r="H153" s="28" t="s">
        <v>398</v>
      </c>
      <c r="J153" s="28" t="s">
        <v>2232</v>
      </c>
      <c r="K153" s="28" t="s">
        <v>2827</v>
      </c>
    </row>
    <row r="154" spans="1:11" ht="75" x14ac:dyDescent="0.25">
      <c r="A154" s="28" t="s">
        <v>1010</v>
      </c>
      <c r="B154" s="28">
        <v>11</v>
      </c>
      <c r="C154" s="28">
        <v>1</v>
      </c>
      <c r="D154" s="9" t="s">
        <v>299</v>
      </c>
      <c r="E154" s="28" t="s">
        <v>3443</v>
      </c>
      <c r="F154" s="30" t="s">
        <v>3673</v>
      </c>
      <c r="H154" s="28" t="s">
        <v>298</v>
      </c>
      <c r="J154" s="28" t="s">
        <v>2232</v>
      </c>
    </row>
    <row r="155" spans="1:11" ht="75" x14ac:dyDescent="0.25">
      <c r="A155" s="28" t="s">
        <v>1011</v>
      </c>
      <c r="B155" s="28">
        <v>11.1</v>
      </c>
      <c r="C155" s="28">
        <v>2</v>
      </c>
      <c r="D155" s="9" t="s">
        <v>1012</v>
      </c>
      <c r="E155" s="28" t="s">
        <v>3443</v>
      </c>
      <c r="F155" s="30" t="s">
        <v>3673</v>
      </c>
      <c r="H155" s="28" t="s">
        <v>303</v>
      </c>
      <c r="J155" s="28" t="s">
        <v>2232</v>
      </c>
    </row>
    <row r="156" spans="1:11" ht="75" x14ac:dyDescent="0.25">
      <c r="A156" s="28" t="s">
        <v>1013</v>
      </c>
      <c r="B156" s="28" t="s">
        <v>1014</v>
      </c>
      <c r="C156" s="28">
        <v>3</v>
      </c>
      <c r="D156" s="9" t="s">
        <v>1015</v>
      </c>
      <c r="E156" s="28" t="s">
        <v>3443</v>
      </c>
      <c r="F156" s="30" t="s">
        <v>3673</v>
      </c>
      <c r="H156" s="28" t="s">
        <v>303</v>
      </c>
      <c r="J156" s="28" t="s">
        <v>2232</v>
      </c>
    </row>
    <row r="157" spans="1:11" ht="75" x14ac:dyDescent="0.25">
      <c r="A157" s="28" t="s">
        <v>1016</v>
      </c>
      <c r="B157" s="28" t="s">
        <v>1017</v>
      </c>
      <c r="C157" s="28">
        <v>4</v>
      </c>
      <c r="D157" s="28" t="s">
        <v>1018</v>
      </c>
      <c r="E157" s="28" t="s">
        <v>139</v>
      </c>
      <c r="F157" s="30" t="s">
        <v>3673</v>
      </c>
      <c r="H157" s="28" t="s">
        <v>303</v>
      </c>
      <c r="J157" s="28" t="s">
        <v>2232</v>
      </c>
    </row>
    <row r="158" spans="1:11" ht="75" x14ac:dyDescent="0.25">
      <c r="A158" s="28" t="s">
        <v>1031</v>
      </c>
      <c r="B158" s="28" t="s">
        <v>1032</v>
      </c>
      <c r="C158" s="28">
        <v>4</v>
      </c>
      <c r="D158" s="28" t="s">
        <v>304</v>
      </c>
      <c r="E158" s="28" t="s">
        <v>131</v>
      </c>
      <c r="F158" s="30" t="s">
        <v>3673</v>
      </c>
      <c r="H158" s="28" t="s">
        <v>303</v>
      </c>
      <c r="J158" s="28" t="s">
        <v>2232</v>
      </c>
      <c r="K158" s="28" t="s">
        <v>2828</v>
      </c>
    </row>
    <row r="159" spans="1:11" ht="75" x14ac:dyDescent="0.25">
      <c r="A159" s="28" t="s">
        <v>1033</v>
      </c>
      <c r="B159" s="28" t="s">
        <v>1034</v>
      </c>
      <c r="C159" s="28">
        <v>4</v>
      </c>
      <c r="D159" s="28" t="s">
        <v>1035</v>
      </c>
      <c r="E159" s="28" t="s">
        <v>131</v>
      </c>
      <c r="F159" s="30" t="s">
        <v>3673</v>
      </c>
      <c r="H159" s="28" t="s">
        <v>303</v>
      </c>
      <c r="J159" s="28" t="s">
        <v>2232</v>
      </c>
      <c r="K159" s="28" t="s">
        <v>2829</v>
      </c>
    </row>
    <row r="160" spans="1:11" ht="75" x14ac:dyDescent="0.25">
      <c r="A160" s="28" t="s">
        <v>2830</v>
      </c>
      <c r="B160" s="28" t="s">
        <v>2831</v>
      </c>
      <c r="C160" s="28">
        <v>4</v>
      </c>
      <c r="D160" s="28" t="s">
        <v>3319</v>
      </c>
      <c r="E160" s="28" t="s">
        <v>131</v>
      </c>
      <c r="F160" s="30" t="s">
        <v>3673</v>
      </c>
      <c r="H160" s="28" t="s">
        <v>303</v>
      </c>
      <c r="J160" s="28" t="s">
        <v>2232</v>
      </c>
      <c r="K160" s="28" t="s">
        <v>2829</v>
      </c>
    </row>
    <row r="161" spans="1:11" ht="75" x14ac:dyDescent="0.25">
      <c r="A161" s="28" t="s">
        <v>2832</v>
      </c>
      <c r="B161" s="28" t="s">
        <v>2833</v>
      </c>
      <c r="C161" s="28">
        <v>4</v>
      </c>
      <c r="D161" s="28" t="s">
        <v>3320</v>
      </c>
      <c r="E161" s="28" t="s">
        <v>131</v>
      </c>
      <c r="F161" s="30" t="s">
        <v>3673</v>
      </c>
      <c r="H161" s="28" t="s">
        <v>303</v>
      </c>
      <c r="J161" s="28" t="s">
        <v>2232</v>
      </c>
      <c r="K161" s="28" t="s">
        <v>2829</v>
      </c>
    </row>
    <row r="162" spans="1:11" ht="75" x14ac:dyDescent="0.25">
      <c r="A162" s="28" t="s">
        <v>2834</v>
      </c>
      <c r="B162" s="28" t="s">
        <v>1037</v>
      </c>
      <c r="C162" s="28">
        <v>3</v>
      </c>
      <c r="D162" s="9" t="s">
        <v>3338</v>
      </c>
      <c r="E162" s="28" t="s">
        <v>3443</v>
      </c>
      <c r="F162" s="30" t="s">
        <v>3673</v>
      </c>
      <c r="H162" s="28" t="s">
        <v>303</v>
      </c>
      <c r="J162" s="28" t="s">
        <v>2232</v>
      </c>
    </row>
    <row r="163" spans="1:11" ht="75" x14ac:dyDescent="0.25">
      <c r="A163" s="28" t="s">
        <v>1019</v>
      </c>
      <c r="B163" s="28" t="s">
        <v>1039</v>
      </c>
      <c r="C163" s="28">
        <v>4</v>
      </c>
      <c r="D163" s="28" t="s">
        <v>1020</v>
      </c>
      <c r="E163" s="28" t="s">
        <v>131</v>
      </c>
      <c r="F163" s="30" t="s">
        <v>3673</v>
      </c>
      <c r="H163" s="28" t="s">
        <v>303</v>
      </c>
      <c r="J163" s="28" t="s">
        <v>2232</v>
      </c>
      <c r="K163" s="28" t="s">
        <v>2835</v>
      </c>
    </row>
    <row r="164" spans="1:11" ht="75" x14ac:dyDescent="0.25">
      <c r="A164" s="28" t="s">
        <v>1021</v>
      </c>
      <c r="B164" s="28" t="s">
        <v>1042</v>
      </c>
      <c r="C164" s="28">
        <v>4</v>
      </c>
      <c r="D164" s="28" t="s">
        <v>1022</v>
      </c>
      <c r="E164" s="28" t="s">
        <v>131</v>
      </c>
      <c r="F164" s="30" t="s">
        <v>3673</v>
      </c>
      <c r="H164" s="28" t="s">
        <v>303</v>
      </c>
      <c r="J164" s="28" t="s">
        <v>2232</v>
      </c>
      <c r="K164" s="28" t="s">
        <v>2836</v>
      </c>
    </row>
    <row r="165" spans="1:11" ht="75" x14ac:dyDescent="0.25">
      <c r="A165" s="28" t="s">
        <v>1023</v>
      </c>
      <c r="B165" s="28" t="s">
        <v>2837</v>
      </c>
      <c r="C165" s="28">
        <v>4</v>
      </c>
      <c r="D165" s="28" t="s">
        <v>1024</v>
      </c>
      <c r="E165" s="28" t="s">
        <v>131</v>
      </c>
      <c r="F165" s="30" t="s">
        <v>3673</v>
      </c>
      <c r="H165" s="28" t="s">
        <v>303</v>
      </c>
      <c r="J165" s="28" t="s">
        <v>2232</v>
      </c>
      <c r="K165" s="28" t="s">
        <v>2838</v>
      </c>
    </row>
    <row r="166" spans="1:11" ht="75" x14ac:dyDescent="0.25">
      <c r="A166" s="28" t="s">
        <v>1025</v>
      </c>
      <c r="B166" s="28" t="s">
        <v>2839</v>
      </c>
      <c r="C166" s="28">
        <v>4</v>
      </c>
      <c r="D166" s="28" t="s">
        <v>1026</v>
      </c>
      <c r="E166" s="28" t="s">
        <v>131</v>
      </c>
      <c r="F166" s="30" t="s">
        <v>3673</v>
      </c>
      <c r="H166" s="28" t="s">
        <v>303</v>
      </c>
      <c r="J166" s="28" t="s">
        <v>2232</v>
      </c>
      <c r="K166" s="28" t="s">
        <v>2840</v>
      </c>
    </row>
    <row r="167" spans="1:11" ht="75" x14ac:dyDescent="0.25">
      <c r="A167" s="28" t="s">
        <v>1027</v>
      </c>
      <c r="B167" s="28" t="s">
        <v>2841</v>
      </c>
      <c r="C167" s="28">
        <v>4</v>
      </c>
      <c r="D167" s="28" t="s">
        <v>1028</v>
      </c>
      <c r="E167" s="28" t="s">
        <v>131</v>
      </c>
      <c r="F167" s="30" t="s">
        <v>3673</v>
      </c>
      <c r="H167" s="28" t="s">
        <v>303</v>
      </c>
      <c r="J167" s="28" t="s">
        <v>2232</v>
      </c>
      <c r="K167" s="28" t="s">
        <v>2842</v>
      </c>
    </row>
    <row r="168" spans="1:11" ht="75" x14ac:dyDescent="0.25">
      <c r="A168" s="28" t="s">
        <v>1029</v>
      </c>
      <c r="B168" s="28" t="s">
        <v>2843</v>
      </c>
      <c r="C168" s="28">
        <v>4</v>
      </c>
      <c r="D168" s="28" t="s">
        <v>1030</v>
      </c>
      <c r="E168" s="28" t="s">
        <v>131</v>
      </c>
      <c r="F168" s="30" t="s">
        <v>3673</v>
      </c>
      <c r="H168" s="28" t="s">
        <v>303</v>
      </c>
      <c r="J168" s="28" t="s">
        <v>2232</v>
      </c>
      <c r="K168" s="28" t="s">
        <v>2844</v>
      </c>
    </row>
    <row r="169" spans="1:11" ht="75" x14ac:dyDescent="0.25">
      <c r="A169" s="28" t="s">
        <v>2845</v>
      </c>
      <c r="B169" s="28" t="s">
        <v>2846</v>
      </c>
      <c r="C169" s="28">
        <v>4</v>
      </c>
      <c r="D169" s="28" t="s">
        <v>3321</v>
      </c>
      <c r="E169" s="28" t="s">
        <v>131</v>
      </c>
      <c r="F169" s="30" t="s">
        <v>3673</v>
      </c>
      <c r="H169" s="28" t="s">
        <v>303</v>
      </c>
      <c r="J169" s="28" t="s">
        <v>2232</v>
      </c>
      <c r="K169" s="28" t="s">
        <v>2844</v>
      </c>
    </row>
    <row r="170" spans="1:11" ht="75" x14ac:dyDescent="0.25">
      <c r="A170" s="28" t="s">
        <v>1036</v>
      </c>
      <c r="B170" s="28" t="s">
        <v>1045</v>
      </c>
      <c r="C170" s="28">
        <v>3</v>
      </c>
      <c r="D170" s="9" t="s">
        <v>3339</v>
      </c>
      <c r="E170" s="28" t="s">
        <v>3443</v>
      </c>
      <c r="F170" s="30" t="s">
        <v>3673</v>
      </c>
      <c r="H170" s="28" t="s">
        <v>303</v>
      </c>
      <c r="J170" s="28" t="s">
        <v>2232</v>
      </c>
    </row>
    <row r="171" spans="1:11" ht="75" x14ac:dyDescent="0.25">
      <c r="A171" s="28" t="s">
        <v>1038</v>
      </c>
      <c r="B171" s="28" t="s">
        <v>1048</v>
      </c>
      <c r="C171" s="28">
        <v>4</v>
      </c>
      <c r="D171" s="28" t="s">
        <v>1040</v>
      </c>
      <c r="E171" s="28" t="s">
        <v>131</v>
      </c>
      <c r="F171" s="30" t="s">
        <v>3673</v>
      </c>
      <c r="H171" s="28" t="s">
        <v>303</v>
      </c>
      <c r="J171" s="28" t="s">
        <v>2232</v>
      </c>
      <c r="K171" s="28" t="s">
        <v>2847</v>
      </c>
    </row>
    <row r="172" spans="1:11" ht="75" x14ac:dyDescent="0.25">
      <c r="A172" s="28" t="s">
        <v>1041</v>
      </c>
      <c r="B172" s="28" t="s">
        <v>1051</v>
      </c>
      <c r="C172" s="28">
        <v>4</v>
      </c>
      <c r="D172" s="28" t="s">
        <v>1043</v>
      </c>
      <c r="E172" s="28" t="s">
        <v>131</v>
      </c>
      <c r="F172" s="30" t="s">
        <v>3673</v>
      </c>
      <c r="H172" s="28" t="s">
        <v>303</v>
      </c>
      <c r="J172" s="28" t="s">
        <v>2232</v>
      </c>
      <c r="K172" s="28" t="s">
        <v>2848</v>
      </c>
    </row>
    <row r="173" spans="1:11" ht="75" x14ac:dyDescent="0.25">
      <c r="A173" s="28" t="s">
        <v>2849</v>
      </c>
      <c r="B173" s="28" t="s">
        <v>1053</v>
      </c>
      <c r="C173" s="28">
        <v>4</v>
      </c>
      <c r="D173" s="28" t="s">
        <v>3322</v>
      </c>
      <c r="E173" s="28" t="s">
        <v>131</v>
      </c>
      <c r="F173" s="30" t="s">
        <v>3673</v>
      </c>
      <c r="H173" s="28" t="s">
        <v>303</v>
      </c>
      <c r="J173" s="28" t="s">
        <v>2232</v>
      </c>
      <c r="K173" s="28" t="s">
        <v>2848</v>
      </c>
    </row>
    <row r="174" spans="1:11" ht="75" x14ac:dyDescent="0.25">
      <c r="A174" s="28" t="s">
        <v>1044</v>
      </c>
      <c r="B174" s="28" t="s">
        <v>2850</v>
      </c>
      <c r="C174" s="28">
        <v>3</v>
      </c>
      <c r="D174" s="9" t="s">
        <v>1046</v>
      </c>
      <c r="E174" s="28" t="s">
        <v>3443</v>
      </c>
      <c r="F174" s="30" t="s">
        <v>3673</v>
      </c>
      <c r="H174" s="28" t="s">
        <v>303</v>
      </c>
      <c r="J174" s="28" t="s">
        <v>2232</v>
      </c>
    </row>
    <row r="175" spans="1:11" ht="75" x14ac:dyDescent="0.25">
      <c r="A175" s="28" t="s">
        <v>1047</v>
      </c>
      <c r="B175" s="28" t="s">
        <v>2851</v>
      </c>
      <c r="C175" s="28">
        <v>4</v>
      </c>
      <c r="D175" s="28" t="s">
        <v>1049</v>
      </c>
      <c r="E175" s="28" t="s">
        <v>131</v>
      </c>
      <c r="F175" s="30" t="s">
        <v>3673</v>
      </c>
      <c r="H175" s="28" t="s">
        <v>303</v>
      </c>
      <c r="J175" s="28" t="s">
        <v>2232</v>
      </c>
      <c r="K175" s="28" t="s">
        <v>2852</v>
      </c>
    </row>
    <row r="176" spans="1:11" ht="75" x14ac:dyDescent="0.25">
      <c r="A176" s="28" t="s">
        <v>1050</v>
      </c>
      <c r="B176" s="28" t="s">
        <v>2853</v>
      </c>
      <c r="C176" s="28">
        <v>4</v>
      </c>
      <c r="D176" s="28" t="s">
        <v>33</v>
      </c>
      <c r="E176" s="28" t="s">
        <v>131</v>
      </c>
      <c r="F176" s="30" t="s">
        <v>3673</v>
      </c>
      <c r="H176" s="28" t="s">
        <v>303</v>
      </c>
      <c r="J176" s="28" t="s">
        <v>2232</v>
      </c>
      <c r="K176" s="28" t="s">
        <v>2854</v>
      </c>
    </row>
    <row r="177" spans="1:11" ht="75" x14ac:dyDescent="0.25">
      <c r="A177" s="28" t="s">
        <v>1052</v>
      </c>
      <c r="B177" s="28" t="s">
        <v>2855</v>
      </c>
      <c r="C177" s="28">
        <v>4</v>
      </c>
      <c r="D177" s="28" t="s">
        <v>1054</v>
      </c>
      <c r="E177" s="28" t="s">
        <v>131</v>
      </c>
      <c r="F177" s="30" t="s">
        <v>3673</v>
      </c>
      <c r="H177" s="28" t="s">
        <v>303</v>
      </c>
      <c r="J177" s="28" t="s">
        <v>2232</v>
      </c>
      <c r="K177" s="28" t="s">
        <v>2856</v>
      </c>
    </row>
    <row r="178" spans="1:11" ht="75" x14ac:dyDescent="0.25">
      <c r="A178" s="28" t="s">
        <v>1055</v>
      </c>
      <c r="B178" s="28" t="s">
        <v>2857</v>
      </c>
      <c r="C178" s="28">
        <v>4</v>
      </c>
      <c r="D178" s="28" t="s">
        <v>32</v>
      </c>
      <c r="E178" s="28" t="s">
        <v>131</v>
      </c>
      <c r="F178" s="30" t="s">
        <v>3673</v>
      </c>
      <c r="H178" s="28" t="s">
        <v>303</v>
      </c>
      <c r="J178" s="28" t="s">
        <v>2232</v>
      </c>
      <c r="K178" s="28" t="s">
        <v>2858</v>
      </c>
    </row>
    <row r="179" spans="1:11" ht="75" x14ac:dyDescent="0.25">
      <c r="A179" s="28" t="s">
        <v>1056</v>
      </c>
      <c r="B179" s="28" t="s">
        <v>2859</v>
      </c>
      <c r="C179" s="28">
        <v>4</v>
      </c>
      <c r="D179" s="28" t="s">
        <v>31</v>
      </c>
      <c r="E179" s="28" t="s">
        <v>131</v>
      </c>
      <c r="F179" s="30" t="s">
        <v>3673</v>
      </c>
      <c r="H179" s="28" t="s">
        <v>303</v>
      </c>
      <c r="J179" s="28" t="s">
        <v>2232</v>
      </c>
      <c r="K179" s="28" t="s">
        <v>2860</v>
      </c>
    </row>
    <row r="180" spans="1:11" ht="75" x14ac:dyDescent="0.25">
      <c r="A180" s="28" t="s">
        <v>1057</v>
      </c>
      <c r="B180" s="28">
        <v>11.2</v>
      </c>
      <c r="C180" s="28">
        <v>2</v>
      </c>
      <c r="D180" s="9" t="s">
        <v>1058</v>
      </c>
      <c r="E180" s="28" t="s">
        <v>3443</v>
      </c>
      <c r="F180" s="30" t="s">
        <v>3673</v>
      </c>
      <c r="H180" s="28" t="s">
        <v>305</v>
      </c>
      <c r="J180" s="28" t="s">
        <v>2232</v>
      </c>
      <c r="K180" s="28" t="s">
        <v>2861</v>
      </c>
    </row>
    <row r="181" spans="1:11" ht="60" x14ac:dyDescent="0.25">
      <c r="A181" s="28" t="s">
        <v>1059</v>
      </c>
      <c r="B181" s="28" t="s">
        <v>1060</v>
      </c>
      <c r="C181" s="28">
        <v>3</v>
      </c>
      <c r="D181" s="9" t="s">
        <v>1061</v>
      </c>
      <c r="E181" s="28" t="s">
        <v>3443</v>
      </c>
      <c r="F181" s="30" t="s">
        <v>3675</v>
      </c>
      <c r="H181" s="28" t="s">
        <v>303</v>
      </c>
      <c r="J181" s="28" t="s">
        <v>2232</v>
      </c>
    </row>
    <row r="182" spans="1:11" ht="75" x14ac:dyDescent="0.25">
      <c r="A182" s="28" t="s">
        <v>1062</v>
      </c>
      <c r="B182" s="28" t="s">
        <v>1063</v>
      </c>
      <c r="C182" s="28">
        <v>4</v>
      </c>
      <c r="D182" s="28" t="s">
        <v>1064</v>
      </c>
      <c r="E182" s="28" t="s">
        <v>131</v>
      </c>
      <c r="F182" s="30" t="s">
        <v>3673</v>
      </c>
      <c r="H182" s="28" t="s">
        <v>307</v>
      </c>
      <c r="J182" s="28" t="s">
        <v>2232</v>
      </c>
      <c r="K182" s="28" t="s">
        <v>2862</v>
      </c>
    </row>
    <row r="183" spans="1:11" ht="75" x14ac:dyDescent="0.25">
      <c r="A183" s="28" t="s">
        <v>1065</v>
      </c>
      <c r="B183" s="28" t="s">
        <v>1066</v>
      </c>
      <c r="C183" s="28">
        <v>4</v>
      </c>
      <c r="D183" s="28" t="s">
        <v>1067</v>
      </c>
      <c r="E183" s="28" t="s">
        <v>131</v>
      </c>
      <c r="F183" s="30" t="s">
        <v>3673</v>
      </c>
      <c r="H183" s="28" t="s">
        <v>307</v>
      </c>
      <c r="J183" s="28" t="s">
        <v>2232</v>
      </c>
      <c r="K183" s="28" t="s">
        <v>2863</v>
      </c>
    </row>
    <row r="184" spans="1:11" ht="75" x14ac:dyDescent="0.25">
      <c r="A184" s="28" t="s">
        <v>1068</v>
      </c>
      <c r="B184" s="28" t="s">
        <v>1069</v>
      </c>
      <c r="C184" s="28">
        <v>4</v>
      </c>
      <c r="D184" s="28" t="s">
        <v>1070</v>
      </c>
      <c r="E184" s="28" t="s">
        <v>131</v>
      </c>
      <c r="F184" s="30" t="s">
        <v>3673</v>
      </c>
      <c r="H184" s="28" t="s">
        <v>307</v>
      </c>
      <c r="J184" s="28" t="s">
        <v>2232</v>
      </c>
      <c r="K184" s="28" t="s">
        <v>2864</v>
      </c>
    </row>
    <row r="185" spans="1:11" ht="75" x14ac:dyDescent="0.25">
      <c r="A185" s="28" t="s">
        <v>1071</v>
      </c>
      <c r="B185" s="28" t="s">
        <v>1072</v>
      </c>
      <c r="C185" s="28">
        <v>4</v>
      </c>
      <c r="D185" s="28" t="s">
        <v>19</v>
      </c>
      <c r="E185" s="28" t="s">
        <v>131</v>
      </c>
      <c r="F185" s="30" t="s">
        <v>3673</v>
      </c>
      <c r="H185" s="28" t="s">
        <v>305</v>
      </c>
      <c r="J185" s="28" t="s">
        <v>2232</v>
      </c>
      <c r="K185" s="28" t="s">
        <v>2865</v>
      </c>
    </row>
    <row r="186" spans="1:11" ht="60" x14ac:dyDescent="0.25">
      <c r="A186" s="28" t="s">
        <v>1073</v>
      </c>
      <c r="B186" s="28" t="s">
        <v>1074</v>
      </c>
      <c r="C186" s="28">
        <v>3</v>
      </c>
      <c r="D186" s="9" t="s">
        <v>1075</v>
      </c>
      <c r="E186" s="28" t="s">
        <v>3443</v>
      </c>
      <c r="F186" s="30" t="s">
        <v>3675</v>
      </c>
      <c r="H186" s="28" t="s">
        <v>303</v>
      </c>
      <c r="J186" s="28" t="s">
        <v>2232</v>
      </c>
    </row>
    <row r="187" spans="1:11" ht="75" x14ac:dyDescent="0.25">
      <c r="A187" s="28" t="s">
        <v>1076</v>
      </c>
      <c r="B187" s="28" t="s">
        <v>1077</v>
      </c>
      <c r="C187" s="28">
        <v>4</v>
      </c>
      <c r="D187" s="28" t="s">
        <v>3390</v>
      </c>
      <c r="E187" s="28" t="s">
        <v>131</v>
      </c>
      <c r="F187" s="30" t="s">
        <v>3673</v>
      </c>
      <c r="H187" s="28" t="s">
        <v>305</v>
      </c>
      <c r="J187" s="28" t="s">
        <v>2232</v>
      </c>
      <c r="K187" s="28" t="s">
        <v>2866</v>
      </c>
    </row>
    <row r="188" spans="1:11" ht="75" x14ac:dyDescent="0.25">
      <c r="A188" s="28" t="s">
        <v>1078</v>
      </c>
      <c r="B188" s="28" t="s">
        <v>1079</v>
      </c>
      <c r="C188" s="28">
        <v>4</v>
      </c>
      <c r="D188" s="28" t="s">
        <v>3391</v>
      </c>
      <c r="E188" s="28" t="s">
        <v>131</v>
      </c>
      <c r="F188" s="30" t="s">
        <v>3673</v>
      </c>
      <c r="H188" s="28" t="s">
        <v>305</v>
      </c>
      <c r="J188" s="28" t="s">
        <v>2232</v>
      </c>
      <c r="K188" s="28" t="s">
        <v>2867</v>
      </c>
    </row>
    <row r="189" spans="1:11" ht="75" x14ac:dyDescent="0.25">
      <c r="A189" s="28" t="s">
        <v>1080</v>
      </c>
      <c r="B189" s="28" t="s">
        <v>1081</v>
      </c>
      <c r="C189" s="28">
        <v>4</v>
      </c>
      <c r="D189" s="28" t="s">
        <v>1082</v>
      </c>
      <c r="E189" s="28" t="s">
        <v>131</v>
      </c>
      <c r="F189" s="30" t="s">
        <v>3673</v>
      </c>
      <c r="H189" s="28" t="s">
        <v>305</v>
      </c>
      <c r="J189" s="28" t="s">
        <v>2232</v>
      </c>
      <c r="K189" s="28" t="s">
        <v>2868</v>
      </c>
    </row>
    <row r="190" spans="1:11" ht="75" x14ac:dyDescent="0.25">
      <c r="A190" s="28" t="s">
        <v>1083</v>
      </c>
      <c r="B190" s="28" t="s">
        <v>1084</v>
      </c>
      <c r="C190" s="28">
        <v>4</v>
      </c>
      <c r="D190" s="28" t="s">
        <v>1085</v>
      </c>
      <c r="E190" s="28" t="s">
        <v>131</v>
      </c>
      <c r="F190" s="30" t="s">
        <v>3673</v>
      </c>
      <c r="H190" s="28" t="s">
        <v>305</v>
      </c>
      <c r="J190" s="28" t="s">
        <v>2232</v>
      </c>
      <c r="K190" s="28" t="s">
        <v>2869</v>
      </c>
    </row>
    <row r="191" spans="1:11" ht="75" x14ac:dyDescent="0.25">
      <c r="A191" s="28" t="s">
        <v>1086</v>
      </c>
      <c r="B191" s="28" t="s">
        <v>1087</v>
      </c>
      <c r="C191" s="28">
        <v>4</v>
      </c>
      <c r="D191" s="28" t="s">
        <v>1088</v>
      </c>
      <c r="E191" s="28" t="s">
        <v>131</v>
      </c>
      <c r="F191" s="30" t="s">
        <v>3673</v>
      </c>
      <c r="H191" s="28" t="s">
        <v>305</v>
      </c>
      <c r="J191" s="28" t="s">
        <v>2232</v>
      </c>
      <c r="K191" s="28" t="s">
        <v>2870</v>
      </c>
    </row>
    <row r="192" spans="1:11" ht="75" x14ac:dyDescent="0.25">
      <c r="A192" s="28" t="s">
        <v>1089</v>
      </c>
      <c r="B192" s="28" t="s">
        <v>1090</v>
      </c>
      <c r="C192" s="28">
        <v>4</v>
      </c>
      <c r="D192" s="28" t="s">
        <v>1091</v>
      </c>
      <c r="E192" s="28" t="s">
        <v>131</v>
      </c>
      <c r="F192" s="30" t="s">
        <v>3673</v>
      </c>
      <c r="H192" s="28" t="s">
        <v>305</v>
      </c>
      <c r="J192" s="28" t="s">
        <v>2232</v>
      </c>
      <c r="K192" s="28" t="s">
        <v>2871</v>
      </c>
    </row>
    <row r="193" spans="1:11" ht="75" x14ac:dyDescent="0.25">
      <c r="A193" s="28" t="s">
        <v>1092</v>
      </c>
      <c r="B193" s="28" t="s">
        <v>1093</v>
      </c>
      <c r="C193" s="28">
        <v>4</v>
      </c>
      <c r="D193" s="28" t="s">
        <v>2244</v>
      </c>
      <c r="E193" s="28" t="s">
        <v>131</v>
      </c>
      <c r="F193" s="30" t="s">
        <v>3673</v>
      </c>
      <c r="H193" s="28" t="s">
        <v>305</v>
      </c>
      <c r="J193" s="28" t="s">
        <v>2232</v>
      </c>
      <c r="K193" s="28" t="s">
        <v>2872</v>
      </c>
    </row>
    <row r="194" spans="1:11" ht="75" x14ac:dyDescent="0.25">
      <c r="A194" s="28" t="s">
        <v>1094</v>
      </c>
      <c r="B194" s="28" t="s">
        <v>1095</v>
      </c>
      <c r="C194" s="28">
        <v>4</v>
      </c>
      <c r="D194" s="28" t="s">
        <v>1096</v>
      </c>
      <c r="E194" s="28" t="s">
        <v>131</v>
      </c>
      <c r="F194" s="30" t="s">
        <v>3673</v>
      </c>
      <c r="H194" s="28" t="s">
        <v>305</v>
      </c>
      <c r="J194" s="28" t="s">
        <v>2232</v>
      </c>
      <c r="K194" s="28" t="s">
        <v>2873</v>
      </c>
    </row>
    <row r="195" spans="1:11" ht="75" x14ac:dyDescent="0.25">
      <c r="A195" s="28" t="s">
        <v>1097</v>
      </c>
      <c r="B195" s="28" t="s">
        <v>1098</v>
      </c>
      <c r="C195" s="28">
        <v>4</v>
      </c>
      <c r="D195" s="28" t="s">
        <v>1099</v>
      </c>
      <c r="E195" s="28" t="s">
        <v>131</v>
      </c>
      <c r="F195" s="30" t="s">
        <v>3673</v>
      </c>
      <c r="H195" s="28" t="s">
        <v>305</v>
      </c>
      <c r="J195" s="28" t="s">
        <v>2232</v>
      </c>
      <c r="K195" s="28" t="s">
        <v>2874</v>
      </c>
    </row>
    <row r="196" spans="1:11" ht="60" x14ac:dyDescent="0.25">
      <c r="A196" s="28" t="s">
        <v>1100</v>
      </c>
      <c r="B196" s="28" t="s">
        <v>1101</v>
      </c>
      <c r="C196" s="28">
        <v>3</v>
      </c>
      <c r="D196" s="9" t="s">
        <v>1102</v>
      </c>
      <c r="E196" s="28" t="s">
        <v>3443</v>
      </c>
      <c r="F196" s="30" t="s">
        <v>3675</v>
      </c>
      <c r="H196" s="28" t="s">
        <v>303</v>
      </c>
      <c r="J196" s="28" t="s">
        <v>2232</v>
      </c>
    </row>
    <row r="197" spans="1:11" ht="75" x14ac:dyDescent="0.25">
      <c r="A197" s="28" t="s">
        <v>1103</v>
      </c>
      <c r="B197" s="28" t="s">
        <v>1104</v>
      </c>
      <c r="C197" s="28">
        <v>4</v>
      </c>
      <c r="D197" s="28" t="s">
        <v>3392</v>
      </c>
      <c r="E197" s="28" t="s">
        <v>131</v>
      </c>
      <c r="F197" s="30" t="s">
        <v>3673</v>
      </c>
      <c r="H197" s="28" t="s">
        <v>305</v>
      </c>
      <c r="J197" s="28" t="s">
        <v>2232</v>
      </c>
      <c r="K197" s="28" t="s">
        <v>2875</v>
      </c>
    </row>
    <row r="198" spans="1:11" ht="75" x14ac:dyDescent="0.25">
      <c r="A198" s="28" t="s">
        <v>1105</v>
      </c>
      <c r="B198" s="28" t="s">
        <v>1106</v>
      </c>
      <c r="C198" s="28">
        <v>4</v>
      </c>
      <c r="D198" s="28" t="s">
        <v>3393</v>
      </c>
      <c r="E198" s="28" t="s">
        <v>131</v>
      </c>
      <c r="F198" s="30" t="s">
        <v>3673</v>
      </c>
      <c r="H198" s="28" t="s">
        <v>305</v>
      </c>
      <c r="J198" s="28" t="s">
        <v>2232</v>
      </c>
      <c r="K198" s="28" t="s">
        <v>2876</v>
      </c>
    </row>
    <row r="199" spans="1:11" ht="75" x14ac:dyDescent="0.25">
      <c r="A199" s="28" t="s">
        <v>1107</v>
      </c>
      <c r="B199" s="28" t="s">
        <v>1108</v>
      </c>
      <c r="C199" s="28">
        <v>4</v>
      </c>
      <c r="D199" s="28" t="s">
        <v>1109</v>
      </c>
      <c r="E199" s="28" t="s">
        <v>131</v>
      </c>
      <c r="F199" s="30" t="s">
        <v>3673</v>
      </c>
      <c r="H199" s="28" t="s">
        <v>305</v>
      </c>
      <c r="J199" s="28" t="s">
        <v>2232</v>
      </c>
      <c r="K199" s="28" t="s">
        <v>2877</v>
      </c>
    </row>
    <row r="200" spans="1:11" ht="75" x14ac:dyDescent="0.25">
      <c r="A200" s="28" t="s">
        <v>1110</v>
      </c>
      <c r="B200" s="28" t="s">
        <v>1111</v>
      </c>
      <c r="C200" s="28">
        <v>4</v>
      </c>
      <c r="D200" s="28" t="s">
        <v>1112</v>
      </c>
      <c r="E200" s="28" t="s">
        <v>131</v>
      </c>
      <c r="F200" s="30" t="s">
        <v>3673</v>
      </c>
      <c r="H200" s="28" t="s">
        <v>305</v>
      </c>
      <c r="J200" s="28" t="s">
        <v>2232</v>
      </c>
      <c r="K200" s="28" t="s">
        <v>2878</v>
      </c>
    </row>
    <row r="201" spans="1:11" ht="75" x14ac:dyDescent="0.25">
      <c r="A201" s="28" t="s">
        <v>1113</v>
      </c>
      <c r="B201" s="28" t="s">
        <v>1114</v>
      </c>
      <c r="C201" s="28">
        <v>4</v>
      </c>
      <c r="D201" s="28" t="s">
        <v>1115</v>
      </c>
      <c r="E201" s="28" t="s">
        <v>131</v>
      </c>
      <c r="F201" s="30" t="s">
        <v>3673</v>
      </c>
      <c r="H201" s="28" t="s">
        <v>305</v>
      </c>
      <c r="J201" s="28" t="s">
        <v>2232</v>
      </c>
      <c r="K201" s="28" t="s">
        <v>2879</v>
      </c>
    </row>
    <row r="202" spans="1:11" ht="60" x14ac:dyDescent="0.25">
      <c r="A202" s="28" t="s">
        <v>2245</v>
      </c>
      <c r="B202" s="28" t="s">
        <v>2246</v>
      </c>
      <c r="C202" s="28">
        <v>3</v>
      </c>
      <c r="D202" s="9" t="s">
        <v>2247</v>
      </c>
      <c r="E202" s="28" t="s">
        <v>3443</v>
      </c>
      <c r="F202" s="30" t="s">
        <v>3675</v>
      </c>
      <c r="H202" s="28" t="s">
        <v>303</v>
      </c>
      <c r="J202" s="28" t="s">
        <v>2232</v>
      </c>
    </row>
    <row r="203" spans="1:11" ht="75" x14ac:dyDescent="0.25">
      <c r="A203" s="28" t="s">
        <v>1116</v>
      </c>
      <c r="B203" s="28" t="s">
        <v>1117</v>
      </c>
      <c r="C203" s="28">
        <v>4</v>
      </c>
      <c r="D203" s="28" t="s">
        <v>1118</v>
      </c>
      <c r="E203" s="28" t="s">
        <v>131</v>
      </c>
      <c r="F203" s="30" t="s">
        <v>3673</v>
      </c>
      <c r="H203" s="28" t="s">
        <v>307</v>
      </c>
      <c r="J203" s="28" t="s">
        <v>2232</v>
      </c>
      <c r="K203" s="28" t="s">
        <v>2880</v>
      </c>
    </row>
    <row r="204" spans="1:11" ht="75" x14ac:dyDescent="0.25">
      <c r="A204" s="28" t="s">
        <v>1119</v>
      </c>
      <c r="B204" s="28" t="s">
        <v>1120</v>
      </c>
      <c r="C204" s="28">
        <v>4</v>
      </c>
      <c r="D204" s="28" t="s">
        <v>1121</v>
      </c>
      <c r="E204" s="28" t="s">
        <v>131</v>
      </c>
      <c r="F204" s="30" t="s">
        <v>3673</v>
      </c>
      <c r="H204" s="28" t="s">
        <v>307</v>
      </c>
      <c r="J204" s="28" t="s">
        <v>2232</v>
      </c>
      <c r="K204" s="28" t="s">
        <v>2881</v>
      </c>
    </row>
    <row r="205" spans="1:11" ht="75" x14ac:dyDescent="0.25">
      <c r="A205" s="28" t="s">
        <v>1122</v>
      </c>
      <c r="B205" s="28">
        <v>11.3</v>
      </c>
      <c r="C205" s="28">
        <v>2</v>
      </c>
      <c r="D205" s="9" t="s">
        <v>1123</v>
      </c>
      <c r="E205" s="28" t="s">
        <v>3443</v>
      </c>
      <c r="F205" s="30" t="s">
        <v>3673</v>
      </c>
      <c r="H205" s="28" t="s">
        <v>309</v>
      </c>
      <c r="J205" s="28" t="s">
        <v>2232</v>
      </c>
    </row>
    <row r="206" spans="1:11" ht="60" x14ac:dyDescent="0.25">
      <c r="A206" s="28" t="s">
        <v>2248</v>
      </c>
      <c r="B206" s="28" t="s">
        <v>2249</v>
      </c>
      <c r="C206" s="28">
        <v>3</v>
      </c>
      <c r="D206" s="9" t="s">
        <v>2250</v>
      </c>
      <c r="E206" s="28" t="s">
        <v>3443</v>
      </c>
      <c r="F206" s="30" t="s">
        <v>3675</v>
      </c>
      <c r="H206" s="28" t="s">
        <v>309</v>
      </c>
      <c r="J206" s="28" t="s">
        <v>2232</v>
      </c>
    </row>
    <row r="207" spans="1:11" ht="75" x14ac:dyDescent="0.25">
      <c r="A207" s="28" t="s">
        <v>1124</v>
      </c>
      <c r="B207" s="28" t="s">
        <v>1125</v>
      </c>
      <c r="C207" s="28">
        <v>3</v>
      </c>
      <c r="D207" s="28" t="s">
        <v>2251</v>
      </c>
      <c r="E207" s="28" t="s">
        <v>131</v>
      </c>
      <c r="F207" s="30" t="s">
        <v>3673</v>
      </c>
      <c r="H207" s="28" t="s">
        <v>309</v>
      </c>
      <c r="J207" s="28" t="s">
        <v>2232</v>
      </c>
      <c r="K207" s="28" t="s">
        <v>2882</v>
      </c>
    </row>
    <row r="208" spans="1:11" ht="75" x14ac:dyDescent="0.25">
      <c r="A208" s="28" t="s">
        <v>1126</v>
      </c>
      <c r="B208" s="28" t="s">
        <v>1127</v>
      </c>
      <c r="C208" s="28">
        <v>3</v>
      </c>
      <c r="D208" s="28" t="s">
        <v>1128</v>
      </c>
      <c r="E208" s="28" t="s">
        <v>139</v>
      </c>
      <c r="F208" s="30" t="s">
        <v>3673</v>
      </c>
      <c r="H208" s="28" t="s">
        <v>309</v>
      </c>
      <c r="J208" s="28" t="s">
        <v>2232</v>
      </c>
    </row>
    <row r="209" spans="1:11" ht="75" x14ac:dyDescent="0.25">
      <c r="A209" s="28" t="s">
        <v>1129</v>
      </c>
      <c r="B209" s="28" t="s">
        <v>1130</v>
      </c>
      <c r="C209" s="28">
        <v>3</v>
      </c>
      <c r="D209" s="9" t="s">
        <v>1131</v>
      </c>
      <c r="E209" s="28" t="s">
        <v>3443</v>
      </c>
      <c r="F209" s="30" t="s">
        <v>3673</v>
      </c>
      <c r="H209" s="28" t="s">
        <v>309</v>
      </c>
      <c r="J209" s="28" t="s">
        <v>2232</v>
      </c>
    </row>
    <row r="210" spans="1:11" ht="75" x14ac:dyDescent="0.25">
      <c r="A210" s="28" t="s">
        <v>1132</v>
      </c>
      <c r="B210" s="28" t="s">
        <v>1133</v>
      </c>
      <c r="C210" s="28">
        <v>4</v>
      </c>
      <c r="D210" s="28" t="s">
        <v>1134</v>
      </c>
      <c r="E210" s="28" t="s">
        <v>131</v>
      </c>
      <c r="F210" s="30" t="s">
        <v>3673</v>
      </c>
      <c r="H210" s="28" t="s">
        <v>309</v>
      </c>
      <c r="J210" s="28" t="s">
        <v>2232</v>
      </c>
      <c r="K210" s="28" t="s">
        <v>2883</v>
      </c>
    </row>
    <row r="211" spans="1:11" ht="75" x14ac:dyDescent="0.25">
      <c r="A211" s="28" t="s">
        <v>1135</v>
      </c>
      <c r="B211" s="28" t="s">
        <v>1136</v>
      </c>
      <c r="C211" s="28">
        <v>4</v>
      </c>
      <c r="D211" s="28" t="s">
        <v>1137</v>
      </c>
      <c r="E211" s="28" t="s">
        <v>131</v>
      </c>
      <c r="F211" s="30" t="s">
        <v>3673</v>
      </c>
      <c r="H211" s="28" t="s">
        <v>309</v>
      </c>
      <c r="J211" s="28" t="s">
        <v>2232</v>
      </c>
      <c r="K211" s="28" t="s">
        <v>2884</v>
      </c>
    </row>
    <row r="212" spans="1:11" ht="75" x14ac:dyDescent="0.25">
      <c r="A212" s="28" t="s">
        <v>1138</v>
      </c>
      <c r="B212" s="28" t="s">
        <v>1139</v>
      </c>
      <c r="C212" s="28">
        <v>4</v>
      </c>
      <c r="D212" s="28" t="s">
        <v>1140</v>
      </c>
      <c r="E212" s="28" t="s">
        <v>131</v>
      </c>
      <c r="F212" s="30" t="s">
        <v>3673</v>
      </c>
      <c r="H212" s="28" t="s">
        <v>309</v>
      </c>
      <c r="J212" s="28" t="s">
        <v>2232</v>
      </c>
      <c r="K212" s="28" t="s">
        <v>2885</v>
      </c>
    </row>
    <row r="213" spans="1:11" ht="75" x14ac:dyDescent="0.25">
      <c r="A213" s="28" t="s">
        <v>1141</v>
      </c>
      <c r="B213" s="28" t="s">
        <v>1142</v>
      </c>
      <c r="C213" s="28">
        <v>3</v>
      </c>
      <c r="D213" s="9" t="s">
        <v>1143</v>
      </c>
      <c r="E213" s="28" t="s">
        <v>3443</v>
      </c>
      <c r="F213" s="30" t="s">
        <v>3673</v>
      </c>
      <c r="H213" s="28" t="s">
        <v>309</v>
      </c>
      <c r="J213" s="28" t="s">
        <v>2232</v>
      </c>
    </row>
    <row r="214" spans="1:11" ht="75" x14ac:dyDescent="0.25">
      <c r="A214" s="28" t="s">
        <v>1144</v>
      </c>
      <c r="B214" s="28" t="s">
        <v>1145</v>
      </c>
      <c r="C214" s="28">
        <v>4</v>
      </c>
      <c r="D214" s="28" t="s">
        <v>1146</v>
      </c>
      <c r="E214" s="28" t="s">
        <v>131</v>
      </c>
      <c r="F214" s="30" t="s">
        <v>3673</v>
      </c>
      <c r="H214" s="28" t="s">
        <v>309</v>
      </c>
      <c r="J214" s="28" t="s">
        <v>2232</v>
      </c>
      <c r="K214" s="28" t="s">
        <v>2886</v>
      </c>
    </row>
    <row r="215" spans="1:11" ht="75" x14ac:dyDescent="0.25">
      <c r="A215" s="28" t="s">
        <v>1147</v>
      </c>
      <c r="B215" s="28" t="s">
        <v>1148</v>
      </c>
      <c r="C215" s="28">
        <v>4</v>
      </c>
      <c r="D215" s="28" t="s">
        <v>1149</v>
      </c>
      <c r="E215" s="28" t="s">
        <v>131</v>
      </c>
      <c r="F215" s="30" t="s">
        <v>3673</v>
      </c>
      <c r="H215" s="28" t="s">
        <v>309</v>
      </c>
      <c r="J215" s="28" t="s">
        <v>2232</v>
      </c>
      <c r="K215" s="28" t="s">
        <v>2887</v>
      </c>
    </row>
    <row r="216" spans="1:11" ht="75" x14ac:dyDescent="0.25">
      <c r="A216" s="28" t="s">
        <v>1150</v>
      </c>
      <c r="B216" s="28" t="s">
        <v>1151</v>
      </c>
      <c r="C216" s="28">
        <v>4</v>
      </c>
      <c r="D216" s="28" t="s">
        <v>1152</v>
      </c>
      <c r="E216" s="28" t="s">
        <v>131</v>
      </c>
      <c r="F216" s="30" t="s">
        <v>3673</v>
      </c>
      <c r="H216" s="28" t="s">
        <v>309</v>
      </c>
      <c r="J216" s="28" t="s">
        <v>2232</v>
      </c>
      <c r="K216" s="28" t="s">
        <v>2888</v>
      </c>
    </row>
    <row r="217" spans="1:11" ht="75" x14ac:dyDescent="0.25">
      <c r="A217" s="28" t="s">
        <v>1153</v>
      </c>
      <c r="B217" s="28" t="s">
        <v>1154</v>
      </c>
      <c r="C217" s="28">
        <v>4</v>
      </c>
      <c r="D217" s="28" t="s">
        <v>1155</v>
      </c>
      <c r="E217" s="28" t="s">
        <v>131</v>
      </c>
      <c r="F217" s="30" t="s">
        <v>3673</v>
      </c>
      <c r="H217" s="28" t="s">
        <v>309</v>
      </c>
      <c r="J217" s="28" t="s">
        <v>2232</v>
      </c>
      <c r="K217" s="28" t="s">
        <v>2889</v>
      </c>
    </row>
    <row r="218" spans="1:11" ht="75" x14ac:dyDescent="0.25">
      <c r="A218" s="28" t="s">
        <v>1156</v>
      </c>
      <c r="B218" s="28" t="s">
        <v>1157</v>
      </c>
      <c r="C218" s="28">
        <v>4</v>
      </c>
      <c r="D218" s="28" t="s">
        <v>1158</v>
      </c>
      <c r="E218" s="28" t="s">
        <v>131</v>
      </c>
      <c r="F218" s="30" t="s">
        <v>3673</v>
      </c>
      <c r="H218" s="28" t="s">
        <v>309</v>
      </c>
      <c r="J218" s="28" t="s">
        <v>2232</v>
      </c>
      <c r="K218" s="28" t="s">
        <v>2890</v>
      </c>
    </row>
    <row r="219" spans="1:11" ht="75" x14ac:dyDescent="0.25">
      <c r="A219" s="28" t="s">
        <v>1159</v>
      </c>
      <c r="B219" s="28" t="s">
        <v>1160</v>
      </c>
      <c r="C219" s="28">
        <v>3</v>
      </c>
      <c r="D219" s="9" t="s">
        <v>1161</v>
      </c>
      <c r="E219" s="28" t="s">
        <v>3443</v>
      </c>
      <c r="F219" s="30" t="s">
        <v>3673</v>
      </c>
      <c r="H219" s="28" t="s">
        <v>309</v>
      </c>
      <c r="J219" s="28" t="s">
        <v>2232</v>
      </c>
    </row>
    <row r="220" spans="1:11" ht="75" x14ac:dyDescent="0.25">
      <c r="A220" s="28" t="s">
        <v>1162</v>
      </c>
      <c r="B220" s="28" t="s">
        <v>1163</v>
      </c>
      <c r="C220" s="28">
        <v>4</v>
      </c>
      <c r="D220" s="28" t="s">
        <v>1164</v>
      </c>
      <c r="E220" s="28" t="s">
        <v>131</v>
      </c>
      <c r="F220" s="30" t="s">
        <v>3673</v>
      </c>
      <c r="H220" s="28" t="s">
        <v>309</v>
      </c>
      <c r="J220" s="28" t="s">
        <v>2232</v>
      </c>
      <c r="K220" s="28" t="s">
        <v>2891</v>
      </c>
    </row>
    <row r="221" spans="1:11" ht="75" x14ac:dyDescent="0.25">
      <c r="A221" s="28" t="s">
        <v>1165</v>
      </c>
      <c r="B221" s="28" t="s">
        <v>1166</v>
      </c>
      <c r="C221" s="28">
        <v>4</v>
      </c>
      <c r="D221" s="28" t="s">
        <v>1167</v>
      </c>
      <c r="E221" s="28" t="s">
        <v>131</v>
      </c>
      <c r="F221" s="30" t="s">
        <v>3673</v>
      </c>
      <c r="H221" s="28" t="s">
        <v>309</v>
      </c>
      <c r="J221" s="28" t="s">
        <v>2232</v>
      </c>
      <c r="K221" s="28" t="s">
        <v>2892</v>
      </c>
    </row>
    <row r="222" spans="1:11" ht="75" x14ac:dyDescent="0.25">
      <c r="A222" s="28" t="s">
        <v>1168</v>
      </c>
      <c r="B222" s="28" t="s">
        <v>1169</v>
      </c>
      <c r="C222" s="28">
        <v>4</v>
      </c>
      <c r="D222" s="28" t="s">
        <v>1170</v>
      </c>
      <c r="E222" s="28" t="s">
        <v>131</v>
      </c>
      <c r="F222" s="30" t="s">
        <v>3673</v>
      </c>
      <c r="H222" s="28" t="s">
        <v>309</v>
      </c>
      <c r="J222" s="28" t="s">
        <v>2232</v>
      </c>
      <c r="K222" s="28" t="s">
        <v>2893</v>
      </c>
    </row>
    <row r="223" spans="1:11" ht="75" x14ac:dyDescent="0.25">
      <c r="A223" s="28" t="s">
        <v>1171</v>
      </c>
      <c r="B223" s="28" t="s">
        <v>1172</v>
      </c>
      <c r="C223" s="28">
        <v>4</v>
      </c>
      <c r="D223" s="28" t="s">
        <v>1173</v>
      </c>
      <c r="E223" s="28" t="s">
        <v>131</v>
      </c>
      <c r="F223" s="30" t="s">
        <v>3673</v>
      </c>
      <c r="H223" s="28" t="s">
        <v>309</v>
      </c>
      <c r="J223" s="28" t="s">
        <v>2232</v>
      </c>
      <c r="K223" s="28" t="s">
        <v>2894</v>
      </c>
    </row>
    <row r="224" spans="1:11" ht="75" x14ac:dyDescent="0.25">
      <c r="A224" s="28" t="s">
        <v>1174</v>
      </c>
      <c r="B224" s="28" t="s">
        <v>1175</v>
      </c>
      <c r="C224" s="28">
        <v>4</v>
      </c>
      <c r="D224" s="28" t="s">
        <v>1176</v>
      </c>
      <c r="E224" s="28" t="s">
        <v>131</v>
      </c>
      <c r="F224" s="30" t="s">
        <v>3673</v>
      </c>
      <c r="H224" s="28" t="s">
        <v>309</v>
      </c>
      <c r="J224" s="28" t="s">
        <v>2232</v>
      </c>
      <c r="K224" s="28" t="s">
        <v>2895</v>
      </c>
    </row>
    <row r="225" spans="1:11" ht="75" x14ac:dyDescent="0.25">
      <c r="A225" s="28" t="s">
        <v>1177</v>
      </c>
      <c r="B225" s="28" t="s">
        <v>1178</v>
      </c>
      <c r="C225" s="28">
        <v>4</v>
      </c>
      <c r="D225" s="28" t="s">
        <v>1179</v>
      </c>
      <c r="E225" s="28" t="s">
        <v>139</v>
      </c>
      <c r="F225" s="30" t="s">
        <v>3673</v>
      </c>
      <c r="H225" s="28" t="s">
        <v>309</v>
      </c>
      <c r="J225" s="28" t="s">
        <v>2232</v>
      </c>
    </row>
    <row r="226" spans="1:11" ht="75" x14ac:dyDescent="0.25">
      <c r="A226" s="28" t="s">
        <v>1180</v>
      </c>
      <c r="B226" s="28" t="s">
        <v>1181</v>
      </c>
      <c r="C226" s="28">
        <v>3</v>
      </c>
      <c r="D226" s="9" t="s">
        <v>1182</v>
      </c>
      <c r="E226" s="28" t="s">
        <v>3443</v>
      </c>
      <c r="F226" s="30" t="s">
        <v>3673</v>
      </c>
      <c r="H226" s="28" t="s">
        <v>309</v>
      </c>
      <c r="J226" s="28" t="s">
        <v>2232</v>
      </c>
    </row>
    <row r="227" spans="1:11" ht="75" x14ac:dyDescent="0.25">
      <c r="A227" s="28" t="s">
        <v>1183</v>
      </c>
      <c r="B227" s="28" t="s">
        <v>1184</v>
      </c>
      <c r="C227" s="28">
        <v>4</v>
      </c>
      <c r="D227" s="28" t="s">
        <v>1185</v>
      </c>
      <c r="E227" s="28" t="s">
        <v>131</v>
      </c>
      <c r="F227" s="30" t="s">
        <v>3673</v>
      </c>
      <c r="H227" s="28" t="s">
        <v>309</v>
      </c>
      <c r="J227" s="28" t="s">
        <v>2232</v>
      </c>
      <c r="K227" s="28" t="s">
        <v>2896</v>
      </c>
    </row>
    <row r="228" spans="1:11" ht="409.5" x14ac:dyDescent="0.25">
      <c r="A228" s="28" t="s">
        <v>1186</v>
      </c>
      <c r="B228" s="28" t="s">
        <v>1187</v>
      </c>
      <c r="C228" s="28">
        <v>4</v>
      </c>
      <c r="D228" s="30" t="s">
        <v>2252</v>
      </c>
      <c r="E228" s="28" t="s">
        <v>139</v>
      </c>
      <c r="F228" s="30" t="s">
        <v>3673</v>
      </c>
      <c r="H228" s="28" t="s">
        <v>309</v>
      </c>
      <c r="J228" s="28" t="s">
        <v>2232</v>
      </c>
    </row>
    <row r="229" spans="1:11" ht="75" x14ac:dyDescent="0.25">
      <c r="A229" s="28" t="s">
        <v>1188</v>
      </c>
      <c r="B229" s="28" t="s">
        <v>1189</v>
      </c>
      <c r="C229" s="28">
        <v>4</v>
      </c>
      <c r="D229" s="28" t="s">
        <v>1190</v>
      </c>
      <c r="E229" s="28" t="s">
        <v>131</v>
      </c>
      <c r="F229" s="30" t="s">
        <v>3673</v>
      </c>
      <c r="H229" s="28" t="s">
        <v>309</v>
      </c>
      <c r="J229" s="28" t="s">
        <v>2232</v>
      </c>
      <c r="K229" s="28" t="s">
        <v>2897</v>
      </c>
    </row>
    <row r="230" spans="1:11" ht="75" x14ac:dyDescent="0.25">
      <c r="A230" s="28" t="s">
        <v>1191</v>
      </c>
      <c r="B230" s="28" t="s">
        <v>1192</v>
      </c>
      <c r="C230" s="28">
        <v>4</v>
      </c>
      <c r="D230" s="28" t="s">
        <v>2253</v>
      </c>
      <c r="E230" s="28" t="s">
        <v>139</v>
      </c>
      <c r="F230" s="30" t="s">
        <v>3673</v>
      </c>
      <c r="H230" s="28" t="s">
        <v>309</v>
      </c>
      <c r="J230" s="28" t="s">
        <v>2232</v>
      </c>
    </row>
    <row r="231" spans="1:11" ht="75" x14ac:dyDescent="0.25">
      <c r="A231" s="28" t="s">
        <v>1193</v>
      </c>
      <c r="B231" s="28" t="s">
        <v>1194</v>
      </c>
      <c r="C231" s="28">
        <v>4</v>
      </c>
      <c r="D231" s="28" t="s">
        <v>2253</v>
      </c>
      <c r="E231" s="28" t="s">
        <v>139</v>
      </c>
      <c r="F231" s="30" t="s">
        <v>3673</v>
      </c>
      <c r="H231" s="28" t="s">
        <v>309</v>
      </c>
      <c r="J231" s="28" t="s">
        <v>2232</v>
      </c>
    </row>
    <row r="232" spans="1:11" ht="75" x14ac:dyDescent="0.25">
      <c r="A232" s="28" t="s">
        <v>1195</v>
      </c>
      <c r="B232" s="28" t="s">
        <v>1196</v>
      </c>
      <c r="C232" s="28">
        <v>4</v>
      </c>
      <c r="D232" s="28" t="s">
        <v>1197</v>
      </c>
      <c r="E232" s="28" t="s">
        <v>131</v>
      </c>
      <c r="F232" s="30" t="s">
        <v>3673</v>
      </c>
      <c r="H232" s="28" t="s">
        <v>309</v>
      </c>
      <c r="J232" s="28" t="s">
        <v>2232</v>
      </c>
      <c r="K232" s="28" t="s">
        <v>2898</v>
      </c>
    </row>
    <row r="233" spans="1:11" ht="75" x14ac:dyDescent="0.25">
      <c r="A233" s="28" t="s">
        <v>1198</v>
      </c>
      <c r="B233" s="28" t="s">
        <v>1199</v>
      </c>
      <c r="C233" s="28">
        <v>4</v>
      </c>
      <c r="D233" s="28" t="s">
        <v>1200</v>
      </c>
      <c r="E233" s="28" t="s">
        <v>131</v>
      </c>
      <c r="F233" s="30" t="s">
        <v>3673</v>
      </c>
      <c r="H233" s="28" t="s">
        <v>309</v>
      </c>
      <c r="J233" s="28" t="s">
        <v>2232</v>
      </c>
      <c r="K233" s="28" t="s">
        <v>2899</v>
      </c>
    </row>
    <row r="234" spans="1:11" ht="75" x14ac:dyDescent="0.25">
      <c r="A234" s="28" t="s">
        <v>1201</v>
      </c>
      <c r="B234" s="28" t="s">
        <v>1202</v>
      </c>
      <c r="C234" s="28">
        <v>4</v>
      </c>
      <c r="D234" s="28" t="s">
        <v>1203</v>
      </c>
      <c r="E234" s="28" t="s">
        <v>131</v>
      </c>
      <c r="F234" s="30" t="s">
        <v>3673</v>
      </c>
      <c r="H234" s="28" t="s">
        <v>309</v>
      </c>
      <c r="J234" s="28" t="s">
        <v>2232</v>
      </c>
      <c r="K234" s="28" t="s">
        <v>2900</v>
      </c>
    </row>
    <row r="235" spans="1:11" ht="75" x14ac:dyDescent="0.25">
      <c r="A235" s="28" t="s">
        <v>1204</v>
      </c>
      <c r="B235" s="28" t="s">
        <v>1205</v>
      </c>
      <c r="C235" s="28">
        <v>4</v>
      </c>
      <c r="D235" s="28" t="s">
        <v>1206</v>
      </c>
      <c r="E235" s="28" t="s">
        <v>131</v>
      </c>
      <c r="F235" s="30" t="s">
        <v>3673</v>
      </c>
      <c r="H235" s="28" t="s">
        <v>309</v>
      </c>
      <c r="J235" s="28" t="s">
        <v>2232</v>
      </c>
      <c r="K235" s="28" t="s">
        <v>2901</v>
      </c>
    </row>
    <row r="236" spans="1:11" ht="75" x14ac:dyDescent="0.25">
      <c r="A236" s="28" t="s">
        <v>1207</v>
      </c>
      <c r="B236" s="28" t="s">
        <v>1208</v>
      </c>
      <c r="C236" s="28">
        <v>4</v>
      </c>
      <c r="D236" s="28" t="s">
        <v>1209</v>
      </c>
      <c r="E236" s="28" t="s">
        <v>131</v>
      </c>
      <c r="F236" s="30" t="s">
        <v>3673</v>
      </c>
      <c r="H236" s="28" t="s">
        <v>309</v>
      </c>
      <c r="J236" s="28" t="s">
        <v>2232</v>
      </c>
      <c r="K236" s="28" t="s">
        <v>2902</v>
      </c>
    </row>
    <row r="237" spans="1:11" ht="75" x14ac:dyDescent="0.25">
      <c r="A237" s="28" t="s">
        <v>1210</v>
      </c>
      <c r="B237" s="28" t="s">
        <v>1211</v>
      </c>
      <c r="C237" s="28">
        <v>4</v>
      </c>
      <c r="D237" s="28" t="s">
        <v>1212</v>
      </c>
      <c r="E237" s="28" t="s">
        <v>131</v>
      </c>
      <c r="F237" s="30" t="s">
        <v>3673</v>
      </c>
      <c r="H237" s="28" t="s">
        <v>309</v>
      </c>
      <c r="J237" s="28" t="s">
        <v>2232</v>
      </c>
      <c r="K237" s="28" t="s">
        <v>2903</v>
      </c>
    </row>
    <row r="238" spans="1:11" ht="75" x14ac:dyDescent="0.25">
      <c r="A238" s="28" t="s">
        <v>1213</v>
      </c>
      <c r="B238" s="28" t="s">
        <v>1214</v>
      </c>
      <c r="C238" s="28">
        <v>4</v>
      </c>
      <c r="D238" s="28" t="s">
        <v>1215</v>
      </c>
      <c r="E238" s="28" t="s">
        <v>131</v>
      </c>
      <c r="F238" s="30" t="s">
        <v>3673</v>
      </c>
      <c r="H238" s="28" t="s">
        <v>309</v>
      </c>
      <c r="J238" s="28" t="s">
        <v>2232</v>
      </c>
      <c r="K238" s="28" t="s">
        <v>2904</v>
      </c>
    </row>
    <row r="239" spans="1:11" ht="75" x14ac:dyDescent="0.25">
      <c r="A239" s="28" t="s">
        <v>1216</v>
      </c>
      <c r="B239" s="28" t="s">
        <v>1217</v>
      </c>
      <c r="C239" s="28">
        <v>4</v>
      </c>
      <c r="D239" s="28" t="s">
        <v>1218</v>
      </c>
      <c r="E239" s="28" t="s">
        <v>131</v>
      </c>
      <c r="F239" s="30" t="s">
        <v>3673</v>
      </c>
      <c r="H239" s="28" t="s">
        <v>309</v>
      </c>
      <c r="J239" s="28" t="s">
        <v>2232</v>
      </c>
      <c r="K239" s="28" t="s">
        <v>2905</v>
      </c>
    </row>
    <row r="240" spans="1:11" ht="75" x14ac:dyDescent="0.25">
      <c r="A240" s="28" t="s">
        <v>1219</v>
      </c>
      <c r="B240" s="28" t="s">
        <v>1220</v>
      </c>
      <c r="C240" s="28">
        <v>4</v>
      </c>
      <c r="D240" s="28" t="s">
        <v>1221</v>
      </c>
      <c r="E240" s="28" t="s">
        <v>131</v>
      </c>
      <c r="F240" s="30" t="s">
        <v>3673</v>
      </c>
      <c r="H240" s="28" t="s">
        <v>309</v>
      </c>
      <c r="J240" s="28" t="s">
        <v>2232</v>
      </c>
      <c r="K240" s="28" t="s">
        <v>2906</v>
      </c>
    </row>
    <row r="241" spans="1:11" ht="75" x14ac:dyDescent="0.25">
      <c r="A241" s="28" t="s">
        <v>1222</v>
      </c>
      <c r="B241" s="28" t="s">
        <v>1223</v>
      </c>
      <c r="C241" s="28">
        <v>4</v>
      </c>
      <c r="D241" s="28" t="s">
        <v>1224</v>
      </c>
      <c r="E241" s="28" t="s">
        <v>131</v>
      </c>
      <c r="F241" s="30" t="s">
        <v>3673</v>
      </c>
      <c r="H241" s="28" t="s">
        <v>309</v>
      </c>
      <c r="J241" s="28" t="s">
        <v>2232</v>
      </c>
      <c r="K241" s="28" t="s">
        <v>2907</v>
      </c>
    </row>
    <row r="242" spans="1:11" ht="75" x14ac:dyDescent="0.25">
      <c r="A242" s="28" t="s">
        <v>1225</v>
      </c>
      <c r="B242" s="28" t="s">
        <v>1226</v>
      </c>
      <c r="C242" s="28">
        <v>4</v>
      </c>
      <c r="D242" s="28" t="s">
        <v>1227</v>
      </c>
      <c r="E242" s="28" t="s">
        <v>131</v>
      </c>
      <c r="F242" s="30" t="s">
        <v>3673</v>
      </c>
      <c r="H242" s="28" t="s">
        <v>309</v>
      </c>
      <c r="J242" s="28" t="s">
        <v>2232</v>
      </c>
      <c r="K242" s="28" t="s">
        <v>2908</v>
      </c>
    </row>
    <row r="243" spans="1:11" ht="75" x14ac:dyDescent="0.25">
      <c r="A243" s="28" t="s">
        <v>1228</v>
      </c>
      <c r="B243" s="28">
        <v>11.4</v>
      </c>
      <c r="C243" s="28">
        <v>2</v>
      </c>
      <c r="D243" s="9" t="s">
        <v>311</v>
      </c>
      <c r="E243" s="28" t="s">
        <v>3443</v>
      </c>
      <c r="F243" s="30" t="s">
        <v>3673</v>
      </c>
      <c r="H243" s="28" t="s">
        <v>312</v>
      </c>
      <c r="J243" s="28" t="s">
        <v>2232</v>
      </c>
    </row>
    <row r="244" spans="1:11" ht="75" x14ac:dyDescent="0.25">
      <c r="A244" s="28" t="s">
        <v>1229</v>
      </c>
      <c r="B244" s="28" t="s">
        <v>572</v>
      </c>
      <c r="C244" s="28">
        <v>3</v>
      </c>
      <c r="D244" s="28" t="s">
        <v>313</v>
      </c>
      <c r="E244" s="28" t="s">
        <v>131</v>
      </c>
      <c r="F244" s="30" t="s">
        <v>3673</v>
      </c>
      <c r="H244" s="28" t="s">
        <v>312</v>
      </c>
      <c r="J244" s="28" t="s">
        <v>2232</v>
      </c>
      <c r="K244" s="28" t="s">
        <v>2909</v>
      </c>
    </row>
    <row r="245" spans="1:11" ht="150" x14ac:dyDescent="0.25">
      <c r="A245" s="28" t="s">
        <v>1230</v>
      </c>
      <c r="B245" s="28" t="s">
        <v>1231</v>
      </c>
      <c r="C245" s="28">
        <v>3</v>
      </c>
      <c r="D245" s="30" t="s">
        <v>2254</v>
      </c>
      <c r="E245" s="28" t="s">
        <v>139</v>
      </c>
      <c r="F245" s="30" t="s">
        <v>3673</v>
      </c>
      <c r="H245" s="28" t="s">
        <v>312</v>
      </c>
      <c r="J245" s="28" t="s">
        <v>2232</v>
      </c>
    </row>
    <row r="246" spans="1:11" ht="75" x14ac:dyDescent="0.25">
      <c r="A246" s="28" t="s">
        <v>1232</v>
      </c>
      <c r="B246" s="28" t="s">
        <v>1233</v>
      </c>
      <c r="C246" s="28">
        <v>3</v>
      </c>
      <c r="D246" s="28" t="s">
        <v>1234</v>
      </c>
      <c r="E246" s="28" t="s">
        <v>131</v>
      </c>
      <c r="F246" s="30" t="s">
        <v>3673</v>
      </c>
      <c r="H246" s="28" t="s">
        <v>312</v>
      </c>
      <c r="J246" s="28" t="s">
        <v>2232</v>
      </c>
      <c r="K246" s="28" t="s">
        <v>2910</v>
      </c>
    </row>
    <row r="247" spans="1:11" ht="75" x14ac:dyDescent="0.25">
      <c r="A247" s="28" t="s">
        <v>1235</v>
      </c>
      <c r="B247" s="28" t="s">
        <v>1236</v>
      </c>
      <c r="C247" s="28">
        <v>3</v>
      </c>
      <c r="D247" s="28" t="s">
        <v>1237</v>
      </c>
      <c r="E247" s="28" t="s">
        <v>131</v>
      </c>
      <c r="F247" s="30" t="s">
        <v>3673</v>
      </c>
      <c r="H247" s="28" t="s">
        <v>312</v>
      </c>
      <c r="J247" s="28" t="s">
        <v>2232</v>
      </c>
      <c r="K247" s="28" t="s">
        <v>2911</v>
      </c>
    </row>
    <row r="248" spans="1:11" ht="75" x14ac:dyDescent="0.25">
      <c r="A248" s="28" t="s">
        <v>1238</v>
      </c>
      <c r="B248" s="28" t="s">
        <v>1239</v>
      </c>
      <c r="C248" s="28">
        <v>3</v>
      </c>
      <c r="D248" s="28" t="s">
        <v>1240</v>
      </c>
      <c r="E248" s="28" t="s">
        <v>131</v>
      </c>
      <c r="F248" s="30" t="s">
        <v>3673</v>
      </c>
      <c r="H248" s="28" t="s">
        <v>312</v>
      </c>
      <c r="J248" s="28" t="s">
        <v>2232</v>
      </c>
      <c r="K248" s="28" t="s">
        <v>2912</v>
      </c>
    </row>
    <row r="249" spans="1:11" ht="75" x14ac:dyDescent="0.25">
      <c r="A249" s="28" t="s">
        <v>1241</v>
      </c>
      <c r="B249" s="28" t="s">
        <v>1242</v>
      </c>
      <c r="C249" s="28">
        <v>3</v>
      </c>
      <c r="D249" s="28" t="s">
        <v>1243</v>
      </c>
      <c r="E249" s="28" t="s">
        <v>131</v>
      </c>
      <c r="F249" s="30" t="s">
        <v>3673</v>
      </c>
      <c r="H249" s="28" t="s">
        <v>312</v>
      </c>
      <c r="J249" s="28" t="s">
        <v>2232</v>
      </c>
      <c r="K249" s="28" t="s">
        <v>2913</v>
      </c>
    </row>
    <row r="250" spans="1:11" ht="75" x14ac:dyDescent="0.25">
      <c r="A250" s="28" t="s">
        <v>1244</v>
      </c>
      <c r="B250" s="28" t="s">
        <v>1245</v>
      </c>
      <c r="C250" s="28">
        <v>3</v>
      </c>
      <c r="D250" s="28" t="s">
        <v>1246</v>
      </c>
      <c r="E250" s="28" t="s">
        <v>131</v>
      </c>
      <c r="F250" s="30" t="s">
        <v>3673</v>
      </c>
      <c r="H250" s="28" t="s">
        <v>312</v>
      </c>
      <c r="J250" s="28" t="s">
        <v>2232</v>
      </c>
      <c r="K250" s="28" t="s">
        <v>2914</v>
      </c>
    </row>
    <row r="251" spans="1:11" ht="75" x14ac:dyDescent="0.25">
      <c r="A251" s="28" t="s">
        <v>1247</v>
      </c>
      <c r="B251" s="28" t="s">
        <v>1248</v>
      </c>
      <c r="C251" s="28">
        <v>3</v>
      </c>
      <c r="D251" s="28" t="s">
        <v>1249</v>
      </c>
      <c r="E251" s="28" t="s">
        <v>131</v>
      </c>
      <c r="F251" s="30" t="s">
        <v>3673</v>
      </c>
      <c r="H251" s="28" t="s">
        <v>312</v>
      </c>
      <c r="J251" s="28" t="s">
        <v>2232</v>
      </c>
      <c r="K251" s="28" t="s">
        <v>2915</v>
      </c>
    </row>
    <row r="252" spans="1:11" ht="75" x14ac:dyDescent="0.25">
      <c r="A252" s="28" t="s">
        <v>1250</v>
      </c>
      <c r="B252" s="28" t="s">
        <v>1251</v>
      </c>
      <c r="C252" s="28">
        <v>3</v>
      </c>
      <c r="D252" s="28" t="s">
        <v>1252</v>
      </c>
      <c r="E252" s="28" t="s">
        <v>131</v>
      </c>
      <c r="F252" s="30" t="s">
        <v>3673</v>
      </c>
      <c r="H252" s="28" t="s">
        <v>312</v>
      </c>
      <c r="J252" s="28" t="s">
        <v>2232</v>
      </c>
      <c r="K252" s="28" t="s">
        <v>2916</v>
      </c>
    </row>
    <row r="253" spans="1:11" ht="75" x14ac:dyDescent="0.25">
      <c r="A253" s="28" t="s">
        <v>1253</v>
      </c>
      <c r="B253" s="28" t="s">
        <v>1254</v>
      </c>
      <c r="C253" s="28">
        <v>3</v>
      </c>
      <c r="D253" s="28" t="s">
        <v>1255</v>
      </c>
      <c r="E253" s="28" t="s">
        <v>131</v>
      </c>
      <c r="F253" s="30" t="s">
        <v>3673</v>
      </c>
      <c r="H253" s="28" t="s">
        <v>312</v>
      </c>
      <c r="J253" s="28" t="s">
        <v>2232</v>
      </c>
      <c r="K253" s="28" t="s">
        <v>2917</v>
      </c>
    </row>
    <row r="254" spans="1:11" ht="75" x14ac:dyDescent="0.25">
      <c r="A254" s="28" t="s">
        <v>1256</v>
      </c>
      <c r="B254" s="28" t="s">
        <v>1257</v>
      </c>
      <c r="C254" s="28">
        <v>3</v>
      </c>
      <c r="D254" s="28" t="s">
        <v>1258</v>
      </c>
      <c r="E254" s="28" t="s">
        <v>131</v>
      </c>
      <c r="F254" s="30" t="s">
        <v>3673</v>
      </c>
      <c r="H254" s="28" t="s">
        <v>312</v>
      </c>
      <c r="J254" s="28" t="s">
        <v>2232</v>
      </c>
      <c r="K254" s="28" t="s">
        <v>2918</v>
      </c>
    </row>
    <row r="255" spans="1:11" ht="60" x14ac:dyDescent="0.25">
      <c r="A255" s="28" t="s">
        <v>1259</v>
      </c>
      <c r="B255" s="28">
        <v>12</v>
      </c>
      <c r="C255" s="28">
        <v>1</v>
      </c>
      <c r="D255" s="9" t="s">
        <v>1260</v>
      </c>
      <c r="E255" s="28" t="s">
        <v>3443</v>
      </c>
      <c r="F255" s="30" t="s">
        <v>3675</v>
      </c>
      <c r="H255" s="28" t="s">
        <v>1261</v>
      </c>
      <c r="J255" s="28" t="s">
        <v>2232</v>
      </c>
    </row>
    <row r="256" spans="1:11" ht="60" x14ac:dyDescent="0.25">
      <c r="A256" s="28" t="s">
        <v>1262</v>
      </c>
      <c r="B256" s="28">
        <v>12.1</v>
      </c>
      <c r="C256" s="28">
        <v>2</v>
      </c>
      <c r="D256" s="9" t="s">
        <v>1263</v>
      </c>
      <c r="E256" s="28" t="s">
        <v>3443</v>
      </c>
      <c r="F256" s="30" t="s">
        <v>3675</v>
      </c>
      <c r="H256" s="28" t="s">
        <v>1261</v>
      </c>
      <c r="J256" s="28" t="s">
        <v>2232</v>
      </c>
    </row>
    <row r="257" spans="1:11" ht="60" x14ac:dyDescent="0.25">
      <c r="A257" s="28" t="s">
        <v>1264</v>
      </c>
      <c r="B257" s="28" t="s">
        <v>1265</v>
      </c>
      <c r="C257" s="28">
        <v>3</v>
      </c>
      <c r="D257" s="28" t="s">
        <v>29</v>
      </c>
      <c r="E257" s="28" t="s">
        <v>131</v>
      </c>
      <c r="F257" s="30" t="s">
        <v>3675</v>
      </c>
      <c r="H257" s="28" t="s">
        <v>1261</v>
      </c>
      <c r="J257" s="28" t="s">
        <v>2232</v>
      </c>
      <c r="K257" s="28" t="s">
        <v>2919</v>
      </c>
    </row>
    <row r="258" spans="1:11" ht="60" x14ac:dyDescent="0.25">
      <c r="A258" s="28" t="s">
        <v>1266</v>
      </c>
      <c r="B258" s="28" t="s">
        <v>1267</v>
      </c>
      <c r="C258" s="28">
        <v>3</v>
      </c>
      <c r="D258" s="28" t="s">
        <v>28</v>
      </c>
      <c r="E258" s="28" t="s">
        <v>131</v>
      </c>
      <c r="F258" s="30" t="s">
        <v>3675</v>
      </c>
      <c r="H258" s="28" t="s">
        <v>1261</v>
      </c>
      <c r="J258" s="28" t="s">
        <v>2232</v>
      </c>
      <c r="K258" s="28" t="s">
        <v>2920</v>
      </c>
    </row>
    <row r="259" spans="1:11" ht="60" x14ac:dyDescent="0.25">
      <c r="A259" s="28" t="s">
        <v>1268</v>
      </c>
      <c r="B259" s="28" t="s">
        <v>1269</v>
      </c>
      <c r="C259" s="28">
        <v>3</v>
      </c>
      <c r="D259" s="28" t="s">
        <v>1270</v>
      </c>
      <c r="E259" s="28" t="s">
        <v>131</v>
      </c>
      <c r="F259" s="30" t="s">
        <v>3675</v>
      </c>
      <c r="H259" s="28" t="s">
        <v>1261</v>
      </c>
      <c r="J259" s="28" t="s">
        <v>2232</v>
      </c>
      <c r="K259" s="28" t="s">
        <v>2921</v>
      </c>
    </row>
    <row r="260" spans="1:11" ht="60" x14ac:dyDescent="0.25">
      <c r="A260" s="28" t="s">
        <v>1271</v>
      </c>
      <c r="B260" s="28" t="s">
        <v>1272</v>
      </c>
      <c r="C260" s="28">
        <v>3</v>
      </c>
      <c r="D260" s="28" t="s">
        <v>2255</v>
      </c>
      <c r="E260" s="28" t="s">
        <v>131</v>
      </c>
      <c r="F260" s="30" t="s">
        <v>3675</v>
      </c>
      <c r="H260" s="28" t="s">
        <v>1261</v>
      </c>
      <c r="J260" s="28" t="s">
        <v>2232</v>
      </c>
      <c r="K260" s="28" t="s">
        <v>2922</v>
      </c>
    </row>
    <row r="261" spans="1:11" ht="60" x14ac:dyDescent="0.25">
      <c r="A261" s="28" t="s">
        <v>2256</v>
      </c>
      <c r="B261" s="28">
        <v>13</v>
      </c>
      <c r="C261" s="28">
        <v>1</v>
      </c>
      <c r="D261" s="9" t="s">
        <v>315</v>
      </c>
      <c r="E261" s="28" t="s">
        <v>3443</v>
      </c>
      <c r="F261" s="30" t="s">
        <v>3675</v>
      </c>
      <c r="H261" s="28" t="s">
        <v>314</v>
      </c>
      <c r="J261" s="28" t="s">
        <v>2232</v>
      </c>
    </row>
    <row r="262" spans="1:11" ht="75" x14ac:dyDescent="0.25">
      <c r="A262" s="28" t="s">
        <v>1273</v>
      </c>
      <c r="B262" s="28">
        <v>13.1</v>
      </c>
      <c r="C262" s="28">
        <v>2</v>
      </c>
      <c r="D262" s="9" t="s">
        <v>1274</v>
      </c>
      <c r="E262" s="28" t="s">
        <v>3443</v>
      </c>
      <c r="F262" s="30" t="s">
        <v>3673</v>
      </c>
      <c r="H262" s="28" t="s">
        <v>317</v>
      </c>
      <c r="J262" s="28" t="s">
        <v>2232</v>
      </c>
    </row>
    <row r="263" spans="1:11" ht="75" x14ac:dyDescent="0.25">
      <c r="A263" s="28" t="s">
        <v>1275</v>
      </c>
      <c r="B263" s="28" t="s">
        <v>574</v>
      </c>
      <c r="C263" s="28">
        <v>3</v>
      </c>
      <c r="D263" s="28" t="s">
        <v>57</v>
      </c>
      <c r="E263" s="28" t="s">
        <v>131</v>
      </c>
      <c r="F263" s="30" t="s">
        <v>3673</v>
      </c>
      <c r="H263" s="28" t="s">
        <v>317</v>
      </c>
      <c r="J263" s="28" t="s">
        <v>2232</v>
      </c>
      <c r="K263" s="28" t="s">
        <v>2923</v>
      </c>
    </row>
    <row r="264" spans="1:11" ht="75" x14ac:dyDescent="0.25">
      <c r="A264" s="28" t="s">
        <v>1276</v>
      </c>
      <c r="B264" s="28" t="s">
        <v>1277</v>
      </c>
      <c r="C264" s="28">
        <v>3</v>
      </c>
      <c r="D264" s="28" t="s">
        <v>56</v>
      </c>
      <c r="E264" s="28" t="s">
        <v>131</v>
      </c>
      <c r="F264" s="30" t="s">
        <v>3673</v>
      </c>
      <c r="H264" s="28" t="s">
        <v>317</v>
      </c>
      <c r="J264" s="28" t="s">
        <v>2232</v>
      </c>
      <c r="K264" s="28" t="s">
        <v>2924</v>
      </c>
    </row>
    <row r="265" spans="1:11" ht="75" x14ac:dyDescent="0.25">
      <c r="A265" s="28" t="s">
        <v>1278</v>
      </c>
      <c r="B265" s="28">
        <v>14</v>
      </c>
      <c r="C265" s="28">
        <v>1</v>
      </c>
      <c r="D265" s="9" t="s">
        <v>130</v>
      </c>
      <c r="E265" s="28" t="s">
        <v>3443</v>
      </c>
      <c r="F265" s="30" t="s">
        <v>3673</v>
      </c>
      <c r="H265" s="28" t="s">
        <v>323</v>
      </c>
      <c r="J265" s="28" t="s">
        <v>2232</v>
      </c>
    </row>
    <row r="266" spans="1:11" ht="75" x14ac:dyDescent="0.25">
      <c r="A266" s="28" t="s">
        <v>1279</v>
      </c>
      <c r="B266" s="28">
        <v>14.1</v>
      </c>
      <c r="C266" s="28">
        <v>2</v>
      </c>
      <c r="D266" s="9" t="s">
        <v>1280</v>
      </c>
      <c r="E266" s="28" t="s">
        <v>3443</v>
      </c>
      <c r="F266" s="30" t="s">
        <v>3673</v>
      </c>
      <c r="H266" s="28" t="s">
        <v>327</v>
      </c>
      <c r="J266" s="28" t="s">
        <v>2232</v>
      </c>
    </row>
    <row r="267" spans="1:11" ht="60" x14ac:dyDescent="0.25">
      <c r="A267" s="28" t="s">
        <v>1281</v>
      </c>
      <c r="B267" s="28" t="s">
        <v>1282</v>
      </c>
      <c r="C267" s="28">
        <v>3</v>
      </c>
      <c r="D267" s="28" t="s">
        <v>1283</v>
      </c>
      <c r="E267" s="28" t="s">
        <v>131</v>
      </c>
      <c r="F267" s="30" t="s">
        <v>3675</v>
      </c>
      <c r="H267" s="28" t="s">
        <v>329</v>
      </c>
      <c r="J267" s="28" t="s">
        <v>2232</v>
      </c>
      <c r="K267" s="28" t="s">
        <v>2925</v>
      </c>
    </row>
    <row r="268" spans="1:11" ht="60" x14ac:dyDescent="0.25">
      <c r="A268" s="28" t="s">
        <v>1284</v>
      </c>
      <c r="B268" s="28" t="s">
        <v>1285</v>
      </c>
      <c r="C268" s="28">
        <v>3</v>
      </c>
      <c r="D268" s="28" t="s">
        <v>1286</v>
      </c>
      <c r="E268" s="28" t="s">
        <v>131</v>
      </c>
      <c r="F268" s="30" t="s">
        <v>3675</v>
      </c>
      <c r="H268" s="28" t="s">
        <v>329</v>
      </c>
      <c r="J268" s="28" t="s">
        <v>2232</v>
      </c>
      <c r="K268" s="28" t="s">
        <v>2926</v>
      </c>
    </row>
    <row r="269" spans="1:11" ht="60" x14ac:dyDescent="0.25">
      <c r="A269" s="28" t="s">
        <v>1287</v>
      </c>
      <c r="B269" s="28" t="s">
        <v>1288</v>
      </c>
      <c r="C269" s="28">
        <v>3</v>
      </c>
      <c r="D269" s="28" t="s">
        <v>1289</v>
      </c>
      <c r="E269" s="28" t="s">
        <v>131</v>
      </c>
      <c r="F269" s="30" t="s">
        <v>3675</v>
      </c>
      <c r="H269" s="28" t="s">
        <v>329</v>
      </c>
      <c r="J269" s="28" t="s">
        <v>2232</v>
      </c>
      <c r="K269" s="28" t="s">
        <v>2927</v>
      </c>
    </row>
    <row r="270" spans="1:11" ht="75" x14ac:dyDescent="0.25">
      <c r="A270" s="28" t="s">
        <v>1290</v>
      </c>
      <c r="B270" s="28" t="s">
        <v>1291</v>
      </c>
      <c r="C270" s="28">
        <v>3</v>
      </c>
      <c r="D270" s="28" t="s">
        <v>1292</v>
      </c>
      <c r="E270" s="28" t="s">
        <v>131</v>
      </c>
      <c r="F270" s="30" t="s">
        <v>3673</v>
      </c>
      <c r="H270" s="28" t="s">
        <v>331</v>
      </c>
      <c r="J270" s="28" t="s">
        <v>2232</v>
      </c>
      <c r="K270" s="28" t="s">
        <v>2928</v>
      </c>
    </row>
    <row r="271" spans="1:11" ht="75" x14ac:dyDescent="0.25">
      <c r="A271" s="28" t="s">
        <v>1293</v>
      </c>
      <c r="B271" s="28" t="s">
        <v>1294</v>
      </c>
      <c r="C271" s="28">
        <v>3</v>
      </c>
      <c r="D271" s="28" t="s">
        <v>1295</v>
      </c>
      <c r="E271" s="28" t="s">
        <v>131</v>
      </c>
      <c r="F271" s="30" t="s">
        <v>3673</v>
      </c>
      <c r="H271" s="28" t="s">
        <v>331</v>
      </c>
      <c r="J271" s="28" t="s">
        <v>2232</v>
      </c>
      <c r="K271" s="28" t="s">
        <v>2929</v>
      </c>
    </row>
    <row r="272" spans="1:11" ht="75" x14ac:dyDescent="0.25">
      <c r="A272" s="28" t="s">
        <v>1296</v>
      </c>
      <c r="B272" s="28" t="s">
        <v>1297</v>
      </c>
      <c r="C272" s="28">
        <v>3</v>
      </c>
      <c r="D272" s="28" t="s">
        <v>1298</v>
      </c>
      <c r="E272" s="28" t="s">
        <v>131</v>
      </c>
      <c r="F272" s="30" t="s">
        <v>3673</v>
      </c>
      <c r="H272" s="28" t="s">
        <v>331</v>
      </c>
      <c r="J272" s="28" t="s">
        <v>2232</v>
      </c>
      <c r="K272" s="28" t="s">
        <v>2930</v>
      </c>
    </row>
    <row r="273" spans="1:11" ht="75" x14ac:dyDescent="0.25">
      <c r="A273" s="28" t="s">
        <v>1299</v>
      </c>
      <c r="B273" s="28">
        <v>14.2</v>
      </c>
      <c r="C273" s="28">
        <v>2</v>
      </c>
      <c r="D273" s="9" t="s">
        <v>1300</v>
      </c>
      <c r="E273" s="28" t="s">
        <v>3443</v>
      </c>
      <c r="F273" s="30" t="s">
        <v>3673</v>
      </c>
      <c r="H273" s="28" t="s">
        <v>333</v>
      </c>
      <c r="J273" s="28" t="s">
        <v>2232</v>
      </c>
    </row>
    <row r="274" spans="1:11" ht="60" x14ac:dyDescent="0.25">
      <c r="A274" s="28" t="s">
        <v>2257</v>
      </c>
      <c r="B274" s="28" t="s">
        <v>578</v>
      </c>
      <c r="C274" s="28">
        <v>3</v>
      </c>
      <c r="D274" s="28" t="s">
        <v>2258</v>
      </c>
      <c r="E274" s="28" t="s">
        <v>131</v>
      </c>
      <c r="F274" s="30" t="s">
        <v>3675</v>
      </c>
      <c r="H274" s="28" t="s">
        <v>317</v>
      </c>
      <c r="J274" s="28" t="s">
        <v>2232</v>
      </c>
    </row>
    <row r="275" spans="1:11" ht="75" x14ac:dyDescent="0.25">
      <c r="A275" s="28" t="s">
        <v>1301</v>
      </c>
      <c r="B275" s="28" t="s">
        <v>1302</v>
      </c>
      <c r="C275" s="28">
        <v>3</v>
      </c>
      <c r="D275" s="9" t="s">
        <v>3589</v>
      </c>
      <c r="E275" s="28" t="s">
        <v>139</v>
      </c>
      <c r="F275" s="30" t="s">
        <v>3673</v>
      </c>
      <c r="H275" s="28" t="s">
        <v>1304</v>
      </c>
      <c r="J275" s="28" t="s">
        <v>2232</v>
      </c>
      <c r="K275" s="28" t="s">
        <v>2931</v>
      </c>
    </row>
    <row r="276" spans="1:11" ht="75" x14ac:dyDescent="0.25">
      <c r="A276" s="28" t="s">
        <v>1305</v>
      </c>
      <c r="B276" s="28" t="s">
        <v>1306</v>
      </c>
      <c r="C276" s="28">
        <v>3</v>
      </c>
      <c r="D276" s="28" t="s">
        <v>1307</v>
      </c>
      <c r="E276" s="28" t="s">
        <v>131</v>
      </c>
      <c r="F276" s="30" t="s">
        <v>3673</v>
      </c>
      <c r="G276" s="28" t="s">
        <v>3590</v>
      </c>
      <c r="H276" s="28" t="s">
        <v>1304</v>
      </c>
      <c r="J276" s="28" t="s">
        <v>2232</v>
      </c>
      <c r="K276" s="28" t="s">
        <v>2932</v>
      </c>
    </row>
    <row r="277" spans="1:11" ht="75" x14ac:dyDescent="0.25">
      <c r="A277" s="28" t="s">
        <v>1308</v>
      </c>
      <c r="B277" s="28" t="s">
        <v>1309</v>
      </c>
      <c r="C277" s="28">
        <v>3</v>
      </c>
      <c r="D277" s="28" t="s">
        <v>1310</v>
      </c>
      <c r="E277" s="28" t="s">
        <v>131</v>
      </c>
      <c r="F277" s="30" t="s">
        <v>3673</v>
      </c>
      <c r="H277" s="28" t="s">
        <v>1304</v>
      </c>
      <c r="J277" s="28" t="s">
        <v>2232</v>
      </c>
      <c r="K277" s="28" t="s">
        <v>2933</v>
      </c>
    </row>
    <row r="278" spans="1:11" ht="75" x14ac:dyDescent="0.25">
      <c r="A278" s="28" t="s">
        <v>1311</v>
      </c>
      <c r="B278" s="28" t="s">
        <v>1312</v>
      </c>
      <c r="C278" s="28">
        <v>3</v>
      </c>
      <c r="D278" s="28" t="s">
        <v>1313</v>
      </c>
      <c r="E278" s="28" t="s">
        <v>131</v>
      </c>
      <c r="F278" s="30" t="s">
        <v>3673</v>
      </c>
      <c r="H278" s="28" t="s">
        <v>1304</v>
      </c>
      <c r="J278" s="28" t="s">
        <v>2232</v>
      </c>
      <c r="K278" s="28" t="s">
        <v>2934</v>
      </c>
    </row>
    <row r="279" spans="1:11" ht="75" x14ac:dyDescent="0.25">
      <c r="A279" s="28" t="s">
        <v>1314</v>
      </c>
      <c r="B279" s="28" t="s">
        <v>1315</v>
      </c>
      <c r="C279" s="28">
        <v>3</v>
      </c>
      <c r="D279" s="28" t="s">
        <v>1316</v>
      </c>
      <c r="E279" s="28" t="s">
        <v>131</v>
      </c>
      <c r="F279" s="30" t="s">
        <v>3673</v>
      </c>
      <c r="H279" s="28" t="s">
        <v>1304</v>
      </c>
      <c r="J279" s="28" t="s">
        <v>2232</v>
      </c>
      <c r="K279" s="28" t="s">
        <v>2935</v>
      </c>
    </row>
    <row r="280" spans="1:11" ht="75" x14ac:dyDescent="0.25">
      <c r="A280" s="28" t="s">
        <v>1317</v>
      </c>
      <c r="B280" s="28" t="s">
        <v>1318</v>
      </c>
      <c r="C280" s="28">
        <v>3</v>
      </c>
      <c r="D280" s="28" t="s">
        <v>1319</v>
      </c>
      <c r="E280" s="28" t="s">
        <v>131</v>
      </c>
      <c r="F280" s="30" t="s">
        <v>3673</v>
      </c>
      <c r="H280" s="28" t="s">
        <v>1304</v>
      </c>
      <c r="J280" s="28" t="s">
        <v>2232</v>
      </c>
      <c r="K280" s="28" t="s">
        <v>2936</v>
      </c>
    </row>
    <row r="281" spans="1:11" ht="75" x14ac:dyDescent="0.25">
      <c r="A281" s="28" t="s">
        <v>1320</v>
      </c>
      <c r="B281" s="28" t="s">
        <v>1321</v>
      </c>
      <c r="C281" s="28">
        <v>3</v>
      </c>
      <c r="D281" s="28" t="s">
        <v>1322</v>
      </c>
      <c r="E281" s="28" t="s">
        <v>131</v>
      </c>
      <c r="F281" s="30" t="s">
        <v>3673</v>
      </c>
      <c r="H281" s="28" t="s">
        <v>1304</v>
      </c>
      <c r="J281" s="28" t="s">
        <v>2232</v>
      </c>
      <c r="K281" s="28" t="s">
        <v>2937</v>
      </c>
    </row>
    <row r="282" spans="1:11" ht="75" x14ac:dyDescent="0.25">
      <c r="A282" s="28" t="s">
        <v>1323</v>
      </c>
      <c r="B282" s="28" t="s">
        <v>1324</v>
      </c>
      <c r="C282" s="28">
        <v>3</v>
      </c>
      <c r="D282" s="28" t="s">
        <v>1325</v>
      </c>
      <c r="E282" s="28" t="s">
        <v>131</v>
      </c>
      <c r="F282" s="30" t="s">
        <v>3673</v>
      </c>
      <c r="H282" s="28" t="s">
        <v>1304</v>
      </c>
      <c r="J282" s="28" t="s">
        <v>2232</v>
      </c>
      <c r="K282" s="28" t="s">
        <v>2938</v>
      </c>
    </row>
    <row r="283" spans="1:11" ht="75" x14ac:dyDescent="0.25">
      <c r="A283" s="28" t="s">
        <v>1326</v>
      </c>
      <c r="B283" s="28" t="s">
        <v>1327</v>
      </c>
      <c r="C283" s="28">
        <v>3</v>
      </c>
      <c r="D283" s="28" t="s">
        <v>1328</v>
      </c>
      <c r="E283" s="28" t="s">
        <v>131</v>
      </c>
      <c r="F283" s="30" t="s">
        <v>3673</v>
      </c>
      <c r="H283" s="28" t="s">
        <v>1304</v>
      </c>
      <c r="J283" s="28" t="s">
        <v>2232</v>
      </c>
      <c r="K283" s="28" t="s">
        <v>2939</v>
      </c>
    </row>
    <row r="284" spans="1:11" ht="75" x14ac:dyDescent="0.25">
      <c r="A284" s="28" t="s">
        <v>1329</v>
      </c>
      <c r="B284" s="28" t="s">
        <v>1330</v>
      </c>
      <c r="C284" s="28">
        <v>3</v>
      </c>
      <c r="D284" s="28" t="s">
        <v>1331</v>
      </c>
      <c r="E284" s="28" t="s">
        <v>131</v>
      </c>
      <c r="F284" s="30" t="s">
        <v>3673</v>
      </c>
      <c r="H284" s="28" t="s">
        <v>1304</v>
      </c>
      <c r="J284" s="28" t="s">
        <v>2232</v>
      </c>
      <c r="K284" s="28" t="s">
        <v>2940</v>
      </c>
    </row>
    <row r="285" spans="1:11" ht="75" x14ac:dyDescent="0.25">
      <c r="A285" s="28" t="s">
        <v>1332</v>
      </c>
      <c r="B285" s="28" t="s">
        <v>1333</v>
      </c>
      <c r="C285" s="28">
        <v>3</v>
      </c>
      <c r="D285" s="28" t="s">
        <v>1334</v>
      </c>
      <c r="E285" s="28" t="s">
        <v>131</v>
      </c>
      <c r="F285" s="30" t="s">
        <v>3673</v>
      </c>
      <c r="H285" s="28" t="s">
        <v>1304</v>
      </c>
      <c r="J285" s="28" t="s">
        <v>2232</v>
      </c>
      <c r="K285" s="28" t="s">
        <v>2941</v>
      </c>
    </row>
    <row r="286" spans="1:11" ht="75" x14ac:dyDescent="0.25">
      <c r="A286" s="28" t="s">
        <v>1335</v>
      </c>
      <c r="B286" s="28" t="s">
        <v>1336</v>
      </c>
      <c r="C286" s="28">
        <v>3</v>
      </c>
      <c r="D286" s="9" t="s">
        <v>1337</v>
      </c>
      <c r="E286" s="28" t="s">
        <v>3443</v>
      </c>
      <c r="F286" s="30" t="s">
        <v>3673</v>
      </c>
      <c r="H286" s="28" t="s">
        <v>1304</v>
      </c>
      <c r="J286" s="28" t="s">
        <v>2232</v>
      </c>
    </row>
    <row r="287" spans="1:11" ht="75" x14ac:dyDescent="0.25">
      <c r="A287" s="28" t="s">
        <v>1338</v>
      </c>
      <c r="B287" s="28" t="s">
        <v>1339</v>
      </c>
      <c r="C287" s="28">
        <v>4</v>
      </c>
      <c r="D287" s="28" t="s">
        <v>2259</v>
      </c>
      <c r="E287" s="28" t="s">
        <v>131</v>
      </c>
      <c r="F287" s="30" t="s">
        <v>3673</v>
      </c>
      <c r="H287" s="28" t="s">
        <v>1304</v>
      </c>
      <c r="J287" s="28" t="s">
        <v>2232</v>
      </c>
      <c r="K287" s="28" t="s">
        <v>2942</v>
      </c>
    </row>
    <row r="288" spans="1:11" ht="75" x14ac:dyDescent="0.25">
      <c r="A288" s="28" t="s">
        <v>1340</v>
      </c>
      <c r="B288" s="28" t="s">
        <v>1341</v>
      </c>
      <c r="C288" s="28">
        <v>4</v>
      </c>
      <c r="D288" s="28" t="s">
        <v>1342</v>
      </c>
      <c r="E288" s="28" t="s">
        <v>131</v>
      </c>
      <c r="F288" s="30" t="s">
        <v>3673</v>
      </c>
      <c r="H288" s="28" t="s">
        <v>1304</v>
      </c>
      <c r="J288" s="28" t="s">
        <v>2232</v>
      </c>
      <c r="K288" s="28" t="s">
        <v>2943</v>
      </c>
    </row>
    <row r="289" spans="1:11" ht="75" x14ac:dyDescent="0.25">
      <c r="A289" s="28" t="s">
        <v>1343</v>
      </c>
      <c r="B289" s="28" t="s">
        <v>1344</v>
      </c>
      <c r="C289" s="28">
        <v>4</v>
      </c>
      <c r="D289" s="28" t="s">
        <v>1345</v>
      </c>
      <c r="E289" s="28" t="s">
        <v>131</v>
      </c>
      <c r="F289" s="30" t="s">
        <v>3673</v>
      </c>
      <c r="H289" s="28" t="s">
        <v>1304</v>
      </c>
      <c r="J289" s="28" t="s">
        <v>2232</v>
      </c>
      <c r="K289" s="28" t="s">
        <v>2944</v>
      </c>
    </row>
    <row r="290" spans="1:11" ht="75" x14ac:dyDescent="0.25">
      <c r="A290" s="28" t="s">
        <v>1346</v>
      </c>
      <c r="B290" s="28" t="s">
        <v>1347</v>
      </c>
      <c r="C290" s="28">
        <v>4</v>
      </c>
      <c r="D290" s="28" t="s">
        <v>1348</v>
      </c>
      <c r="E290" s="28" t="s">
        <v>131</v>
      </c>
      <c r="F290" s="30" t="s">
        <v>3673</v>
      </c>
      <c r="H290" s="28" t="s">
        <v>1304</v>
      </c>
      <c r="J290" s="28" t="s">
        <v>2232</v>
      </c>
      <c r="K290" s="28" t="s">
        <v>2945</v>
      </c>
    </row>
    <row r="291" spans="1:11" ht="75" x14ac:dyDescent="0.25">
      <c r="A291" s="28" t="s">
        <v>1349</v>
      </c>
      <c r="B291" s="28">
        <v>14.3</v>
      </c>
      <c r="C291" s="28">
        <v>2</v>
      </c>
      <c r="D291" s="9" t="s">
        <v>1350</v>
      </c>
      <c r="E291" s="28" t="s">
        <v>3443</v>
      </c>
      <c r="F291" s="30" t="s">
        <v>3673</v>
      </c>
      <c r="H291" s="28" t="s">
        <v>337</v>
      </c>
      <c r="J291" s="28" t="s">
        <v>2232</v>
      </c>
    </row>
    <row r="292" spans="1:11" ht="75" x14ac:dyDescent="0.25">
      <c r="A292" s="28" t="s">
        <v>1351</v>
      </c>
      <c r="B292" s="28" t="s">
        <v>579</v>
      </c>
      <c r="C292" s="28">
        <v>3</v>
      </c>
      <c r="D292" s="9" t="s">
        <v>341</v>
      </c>
      <c r="E292" s="28" t="s">
        <v>3443</v>
      </c>
      <c r="F292" s="30" t="s">
        <v>3673</v>
      </c>
      <c r="H292" s="28" t="s">
        <v>340</v>
      </c>
      <c r="J292" s="28" t="s">
        <v>2232</v>
      </c>
    </row>
    <row r="293" spans="1:11" ht="75" x14ac:dyDescent="0.25">
      <c r="A293" s="28" t="s">
        <v>1352</v>
      </c>
      <c r="B293" s="28" t="s">
        <v>580</v>
      </c>
      <c r="C293" s="28">
        <v>4</v>
      </c>
      <c r="D293" s="28" t="s">
        <v>1353</v>
      </c>
      <c r="E293" s="28" t="s">
        <v>131</v>
      </c>
      <c r="F293" s="30" t="s">
        <v>3673</v>
      </c>
      <c r="H293" s="28" t="s">
        <v>343</v>
      </c>
      <c r="J293" s="28" t="s">
        <v>2232</v>
      </c>
      <c r="K293" s="28" t="s">
        <v>2946</v>
      </c>
    </row>
    <row r="294" spans="1:11" ht="75" x14ac:dyDescent="0.25">
      <c r="A294" s="28" t="s">
        <v>1354</v>
      </c>
      <c r="B294" s="28" t="s">
        <v>581</v>
      </c>
      <c r="C294" s="28">
        <v>4</v>
      </c>
      <c r="D294" s="28" t="s">
        <v>1355</v>
      </c>
      <c r="E294" s="28" t="s">
        <v>131</v>
      </c>
      <c r="F294" s="30" t="s">
        <v>3673</v>
      </c>
      <c r="H294" s="28" t="s">
        <v>343</v>
      </c>
      <c r="J294" s="28" t="s">
        <v>2232</v>
      </c>
      <c r="K294" s="28" t="s">
        <v>2947</v>
      </c>
    </row>
    <row r="295" spans="1:11" ht="75" x14ac:dyDescent="0.25">
      <c r="A295" s="28" t="s">
        <v>1356</v>
      </c>
      <c r="B295" s="28" t="s">
        <v>1357</v>
      </c>
      <c r="C295" s="28">
        <v>4</v>
      </c>
      <c r="D295" s="28" t="s">
        <v>1358</v>
      </c>
      <c r="E295" s="28" t="s">
        <v>131</v>
      </c>
      <c r="F295" s="30" t="s">
        <v>3673</v>
      </c>
      <c r="H295" s="28" t="s">
        <v>343</v>
      </c>
      <c r="J295" s="28" t="s">
        <v>2232</v>
      </c>
      <c r="K295" s="28" t="s">
        <v>2948</v>
      </c>
    </row>
    <row r="296" spans="1:11" ht="75" x14ac:dyDescent="0.25">
      <c r="A296" s="28" t="s">
        <v>1359</v>
      </c>
      <c r="B296" s="28" t="s">
        <v>582</v>
      </c>
      <c r="C296" s="28">
        <v>3</v>
      </c>
      <c r="D296" s="9" t="s">
        <v>1360</v>
      </c>
      <c r="E296" s="28" t="s">
        <v>3443</v>
      </c>
      <c r="F296" s="30" t="s">
        <v>3673</v>
      </c>
      <c r="H296" s="28" t="s">
        <v>347</v>
      </c>
      <c r="J296" s="28" t="s">
        <v>2232</v>
      </c>
    </row>
    <row r="297" spans="1:11" ht="75" x14ac:dyDescent="0.25">
      <c r="A297" s="28" t="s">
        <v>1361</v>
      </c>
      <c r="B297" s="28" t="s">
        <v>583</v>
      </c>
      <c r="C297" s="28">
        <v>4</v>
      </c>
      <c r="D297" s="28" t="s">
        <v>1362</v>
      </c>
      <c r="E297" s="28" t="s">
        <v>131</v>
      </c>
      <c r="F297" s="30" t="s">
        <v>3673</v>
      </c>
      <c r="H297" s="28" t="s">
        <v>350</v>
      </c>
      <c r="J297" s="28" t="s">
        <v>2232</v>
      </c>
      <c r="K297" s="28" t="s">
        <v>2949</v>
      </c>
    </row>
    <row r="298" spans="1:11" ht="75" x14ac:dyDescent="0.25">
      <c r="A298" s="28" t="s">
        <v>1363</v>
      </c>
      <c r="B298" s="28" t="s">
        <v>584</v>
      </c>
      <c r="C298" s="28">
        <v>3</v>
      </c>
      <c r="D298" s="9" t="s">
        <v>354</v>
      </c>
      <c r="E298" s="28" t="s">
        <v>3443</v>
      </c>
      <c r="F298" s="30" t="s">
        <v>3673</v>
      </c>
      <c r="H298" s="28" t="s">
        <v>355</v>
      </c>
      <c r="J298" s="28" t="s">
        <v>2232</v>
      </c>
    </row>
    <row r="299" spans="1:11" ht="60" x14ac:dyDescent="0.25">
      <c r="A299" s="28" t="s">
        <v>1364</v>
      </c>
      <c r="B299" s="28" t="s">
        <v>585</v>
      </c>
      <c r="C299" s="28">
        <v>4</v>
      </c>
      <c r="D299" s="28" t="s">
        <v>1365</v>
      </c>
      <c r="E299" s="28" t="s">
        <v>131</v>
      </c>
      <c r="F299" s="30" t="s">
        <v>3675</v>
      </c>
      <c r="H299" s="28" t="s">
        <v>355</v>
      </c>
      <c r="J299" s="28" t="s">
        <v>2232</v>
      </c>
      <c r="K299" s="28" t="s">
        <v>2950</v>
      </c>
    </row>
    <row r="300" spans="1:11" ht="75" x14ac:dyDescent="0.25">
      <c r="A300" s="28" t="s">
        <v>1366</v>
      </c>
      <c r="B300" s="28" t="s">
        <v>1367</v>
      </c>
      <c r="C300" s="28">
        <v>4</v>
      </c>
      <c r="D300" s="28" t="s">
        <v>61</v>
      </c>
      <c r="E300" s="28" t="s">
        <v>131</v>
      </c>
      <c r="F300" s="30" t="s">
        <v>3673</v>
      </c>
      <c r="H300" s="28" t="s">
        <v>355</v>
      </c>
      <c r="J300" s="28" t="s">
        <v>2232</v>
      </c>
      <c r="K300" s="28" t="s">
        <v>2951</v>
      </c>
    </row>
    <row r="301" spans="1:11" ht="75" x14ac:dyDescent="0.25">
      <c r="A301" s="28" t="s">
        <v>1368</v>
      </c>
      <c r="B301" s="28" t="s">
        <v>1369</v>
      </c>
      <c r="C301" s="28">
        <v>4</v>
      </c>
      <c r="D301" s="28" t="s">
        <v>60</v>
      </c>
      <c r="E301" s="28" t="s">
        <v>131</v>
      </c>
      <c r="F301" s="30" t="s">
        <v>3673</v>
      </c>
      <c r="H301" s="28" t="s">
        <v>355</v>
      </c>
      <c r="J301" s="28" t="s">
        <v>2232</v>
      </c>
      <c r="K301" s="28" t="s">
        <v>2952</v>
      </c>
    </row>
    <row r="302" spans="1:11" ht="60" x14ac:dyDescent="0.25">
      <c r="A302" s="28" t="s">
        <v>1370</v>
      </c>
      <c r="B302" s="28" t="s">
        <v>1371</v>
      </c>
      <c r="C302" s="28">
        <v>4</v>
      </c>
      <c r="D302" s="28" t="s">
        <v>59</v>
      </c>
      <c r="E302" s="28" t="s">
        <v>131</v>
      </c>
      <c r="F302" s="30" t="s">
        <v>3675</v>
      </c>
      <c r="H302" s="28" t="s">
        <v>355</v>
      </c>
      <c r="J302" s="28" t="s">
        <v>2232</v>
      </c>
      <c r="K302" s="28" t="s">
        <v>2952</v>
      </c>
    </row>
    <row r="303" spans="1:11" ht="75" x14ac:dyDescent="0.25">
      <c r="A303" s="28" t="s">
        <v>1372</v>
      </c>
      <c r="B303" s="28" t="s">
        <v>1373</v>
      </c>
      <c r="C303" s="28">
        <v>4</v>
      </c>
      <c r="D303" s="28" t="s">
        <v>58</v>
      </c>
      <c r="E303" s="28" t="s">
        <v>131</v>
      </c>
      <c r="F303" s="30" t="s">
        <v>3673</v>
      </c>
      <c r="H303" s="28" t="s">
        <v>355</v>
      </c>
      <c r="J303" s="28" t="s">
        <v>2232</v>
      </c>
      <c r="K303" s="28" t="s">
        <v>2953</v>
      </c>
    </row>
    <row r="304" spans="1:11" ht="75" x14ac:dyDescent="0.25">
      <c r="A304" s="28" t="s">
        <v>1374</v>
      </c>
      <c r="B304" s="28" t="s">
        <v>586</v>
      </c>
      <c r="C304" s="28">
        <v>3</v>
      </c>
      <c r="D304" s="9" t="s">
        <v>357</v>
      </c>
      <c r="E304" s="28" t="s">
        <v>3443</v>
      </c>
      <c r="F304" s="30" t="s">
        <v>3673</v>
      </c>
      <c r="H304" s="28" t="s">
        <v>356</v>
      </c>
      <c r="J304" s="28" t="s">
        <v>2232</v>
      </c>
    </row>
    <row r="305" spans="1:11" ht="75" x14ac:dyDescent="0.25">
      <c r="A305" s="28" t="s">
        <v>1375</v>
      </c>
      <c r="B305" s="28" t="s">
        <v>587</v>
      </c>
      <c r="C305" s="28">
        <v>4</v>
      </c>
      <c r="D305" s="28" t="s">
        <v>1376</v>
      </c>
      <c r="E305" s="28" t="s">
        <v>131</v>
      </c>
      <c r="F305" s="30" t="s">
        <v>3673</v>
      </c>
      <c r="H305" s="28" t="s">
        <v>359</v>
      </c>
      <c r="J305" s="28" t="s">
        <v>2232</v>
      </c>
      <c r="K305" s="28" t="s">
        <v>2954</v>
      </c>
    </row>
    <row r="306" spans="1:11" ht="75" x14ac:dyDescent="0.25">
      <c r="A306" s="28" t="s">
        <v>1377</v>
      </c>
      <c r="B306" s="28" t="s">
        <v>1378</v>
      </c>
      <c r="C306" s="28">
        <v>4</v>
      </c>
      <c r="D306" s="28" t="s">
        <v>1379</v>
      </c>
      <c r="E306" s="28" t="s">
        <v>131</v>
      </c>
      <c r="F306" s="30" t="s">
        <v>3673</v>
      </c>
      <c r="H306" s="28" t="s">
        <v>359</v>
      </c>
      <c r="J306" s="28" t="s">
        <v>2232</v>
      </c>
      <c r="K306" s="28" t="s">
        <v>2955</v>
      </c>
    </row>
    <row r="307" spans="1:11" ht="75" x14ac:dyDescent="0.25">
      <c r="A307" s="28" t="s">
        <v>1380</v>
      </c>
      <c r="B307" s="28" t="s">
        <v>1381</v>
      </c>
      <c r="C307" s="28">
        <v>4</v>
      </c>
      <c r="D307" s="28" t="s">
        <v>1382</v>
      </c>
      <c r="E307" s="28" t="s">
        <v>131</v>
      </c>
      <c r="F307" s="30" t="s">
        <v>3673</v>
      </c>
      <c r="H307" s="28" t="s">
        <v>359</v>
      </c>
      <c r="J307" s="28" t="s">
        <v>2232</v>
      </c>
      <c r="K307" s="28" t="s">
        <v>2956</v>
      </c>
    </row>
    <row r="308" spans="1:11" ht="75" x14ac:dyDescent="0.25">
      <c r="A308" s="28" t="s">
        <v>1383</v>
      </c>
      <c r="B308" s="28" t="s">
        <v>1384</v>
      </c>
      <c r="C308" s="28">
        <v>4</v>
      </c>
      <c r="D308" s="28" t="s">
        <v>1385</v>
      </c>
      <c r="E308" s="28" t="s">
        <v>131</v>
      </c>
      <c r="F308" s="30" t="s">
        <v>3673</v>
      </c>
      <c r="H308" s="28" t="s">
        <v>359</v>
      </c>
      <c r="J308" s="28" t="s">
        <v>2232</v>
      </c>
      <c r="K308" s="28" t="s">
        <v>2957</v>
      </c>
    </row>
    <row r="309" spans="1:11" ht="75" x14ac:dyDescent="0.25">
      <c r="A309" s="28" t="s">
        <v>3420</v>
      </c>
      <c r="B309" s="28" t="s">
        <v>3421</v>
      </c>
      <c r="C309" s="28">
        <v>4</v>
      </c>
      <c r="D309" s="28" t="s">
        <v>3422</v>
      </c>
      <c r="E309" s="28" t="s">
        <v>131</v>
      </c>
      <c r="F309" s="30" t="s">
        <v>3673</v>
      </c>
      <c r="H309" s="28" t="s">
        <v>359</v>
      </c>
      <c r="J309" s="28" t="s">
        <v>2232</v>
      </c>
      <c r="K309" s="28" t="s">
        <v>3423</v>
      </c>
    </row>
    <row r="310" spans="1:11" ht="90" x14ac:dyDescent="0.25">
      <c r="A310" s="28" t="s">
        <v>1386</v>
      </c>
      <c r="B310" s="28" t="s">
        <v>1387</v>
      </c>
      <c r="C310" s="28">
        <v>4</v>
      </c>
      <c r="D310" s="28" t="s">
        <v>1388</v>
      </c>
      <c r="E310" s="28" t="s">
        <v>131</v>
      </c>
      <c r="F310" s="30" t="s">
        <v>3673</v>
      </c>
      <c r="H310" s="30" t="s">
        <v>3663</v>
      </c>
      <c r="J310" s="28" t="s">
        <v>2232</v>
      </c>
      <c r="K310" s="28" t="s">
        <v>2958</v>
      </c>
    </row>
    <row r="311" spans="1:11" ht="60" x14ac:dyDescent="0.25">
      <c r="A311" s="28" t="s">
        <v>2260</v>
      </c>
      <c r="B311" s="28">
        <v>14.4</v>
      </c>
      <c r="C311" s="28">
        <v>2</v>
      </c>
      <c r="D311" s="9" t="s">
        <v>364</v>
      </c>
      <c r="E311" s="28" t="s">
        <v>3443</v>
      </c>
      <c r="F311" s="30" t="s">
        <v>3675</v>
      </c>
      <c r="J311" s="28" t="s">
        <v>2232</v>
      </c>
    </row>
    <row r="312" spans="1:11" ht="60" x14ac:dyDescent="0.25">
      <c r="A312" s="28" t="s">
        <v>2261</v>
      </c>
      <c r="B312" s="28" t="s">
        <v>1390</v>
      </c>
      <c r="C312" s="28">
        <v>3</v>
      </c>
      <c r="D312" s="9" t="s">
        <v>2262</v>
      </c>
      <c r="E312" s="28" t="s">
        <v>3443</v>
      </c>
      <c r="F312" s="30" t="s">
        <v>3675</v>
      </c>
      <c r="H312" s="28" t="s">
        <v>124</v>
      </c>
      <c r="J312" s="28" t="s">
        <v>2232</v>
      </c>
    </row>
    <row r="313" spans="1:11" ht="90" x14ac:dyDescent="0.25">
      <c r="A313" s="28" t="s">
        <v>2263</v>
      </c>
      <c r="B313" s="28" t="s">
        <v>1393</v>
      </c>
      <c r="C313" s="28">
        <v>4</v>
      </c>
      <c r="D313" s="28" t="s">
        <v>2264</v>
      </c>
      <c r="E313" s="28" t="s">
        <v>131</v>
      </c>
      <c r="F313" s="30" t="s">
        <v>3675</v>
      </c>
      <c r="H313" s="30" t="s">
        <v>3664</v>
      </c>
      <c r="J313" s="28" t="s">
        <v>2232</v>
      </c>
    </row>
    <row r="314" spans="1:11" ht="60" x14ac:dyDescent="0.25">
      <c r="A314" s="28" t="s">
        <v>1389</v>
      </c>
      <c r="B314" s="28" t="s">
        <v>1401</v>
      </c>
      <c r="C314" s="28">
        <v>3</v>
      </c>
      <c r="D314" s="9" t="s">
        <v>1391</v>
      </c>
      <c r="E314" s="28" t="s">
        <v>3443</v>
      </c>
      <c r="F314" s="30" t="s">
        <v>3675</v>
      </c>
      <c r="H314" s="28" t="s">
        <v>124</v>
      </c>
      <c r="J314" s="28" t="s">
        <v>2232</v>
      </c>
    </row>
    <row r="315" spans="1:11" ht="60" x14ac:dyDescent="0.25">
      <c r="A315" s="28" t="s">
        <v>1392</v>
      </c>
      <c r="B315" s="28" t="s">
        <v>1404</v>
      </c>
      <c r="C315" s="28">
        <v>4</v>
      </c>
      <c r="D315" s="28" t="s">
        <v>3424</v>
      </c>
      <c r="E315" s="28" t="s">
        <v>131</v>
      </c>
      <c r="F315" s="30" t="s">
        <v>3675</v>
      </c>
      <c r="H315" s="28" t="s">
        <v>124</v>
      </c>
      <c r="J315" s="28" t="s">
        <v>2232</v>
      </c>
    </row>
    <row r="316" spans="1:11" ht="60" x14ac:dyDescent="0.25">
      <c r="A316" s="28" t="s">
        <v>3425</v>
      </c>
      <c r="B316" s="28" t="s">
        <v>1407</v>
      </c>
      <c r="C316" s="28">
        <v>4</v>
      </c>
      <c r="D316" s="28" t="s">
        <v>3426</v>
      </c>
      <c r="E316" s="28" t="s">
        <v>131</v>
      </c>
      <c r="F316" s="30" t="s">
        <v>3675</v>
      </c>
      <c r="H316" s="28" t="s">
        <v>125</v>
      </c>
      <c r="J316" s="28" t="s">
        <v>2232</v>
      </c>
    </row>
    <row r="317" spans="1:11" ht="60" x14ac:dyDescent="0.25">
      <c r="A317" s="28" t="s">
        <v>3427</v>
      </c>
      <c r="B317" s="28" t="s">
        <v>1410</v>
      </c>
      <c r="C317" s="28">
        <v>4</v>
      </c>
      <c r="D317" s="28" t="s">
        <v>3428</v>
      </c>
      <c r="E317" s="28" t="s">
        <v>131</v>
      </c>
      <c r="F317" s="30" t="s">
        <v>3675</v>
      </c>
      <c r="H317" s="28" t="s">
        <v>125</v>
      </c>
      <c r="J317" s="28" t="s">
        <v>2232</v>
      </c>
    </row>
    <row r="318" spans="1:11" ht="60" x14ac:dyDescent="0.25">
      <c r="A318" s="28" t="s">
        <v>1394</v>
      </c>
      <c r="B318" s="28" t="s">
        <v>1413</v>
      </c>
      <c r="C318" s="28">
        <v>4</v>
      </c>
      <c r="D318" s="28" t="s">
        <v>1395</v>
      </c>
      <c r="E318" s="28" t="s">
        <v>131</v>
      </c>
      <c r="F318" s="30" t="s">
        <v>3675</v>
      </c>
      <c r="H318" s="28" t="s">
        <v>124</v>
      </c>
      <c r="J318" s="28" t="s">
        <v>2232</v>
      </c>
    </row>
    <row r="319" spans="1:11" ht="60" x14ac:dyDescent="0.25">
      <c r="A319" s="28" t="s">
        <v>1396</v>
      </c>
      <c r="B319" s="28" t="s">
        <v>1416</v>
      </c>
      <c r="C319" s="28">
        <v>4</v>
      </c>
      <c r="D319" s="28" t="s">
        <v>1397</v>
      </c>
      <c r="E319" s="28" t="s">
        <v>131</v>
      </c>
      <c r="F319" s="30" t="s">
        <v>3675</v>
      </c>
      <c r="H319" s="28" t="s">
        <v>124</v>
      </c>
      <c r="J319" s="28" t="s">
        <v>2232</v>
      </c>
    </row>
    <row r="320" spans="1:11" ht="60" x14ac:dyDescent="0.25">
      <c r="A320" s="28" t="s">
        <v>1398</v>
      </c>
      <c r="B320" s="28" t="s">
        <v>3429</v>
      </c>
      <c r="C320" s="28">
        <v>4</v>
      </c>
      <c r="D320" s="28" t="s">
        <v>3430</v>
      </c>
      <c r="E320" s="28" t="s">
        <v>131</v>
      </c>
      <c r="F320" s="30" t="s">
        <v>3675</v>
      </c>
      <c r="H320" s="28" t="s">
        <v>124</v>
      </c>
      <c r="J320" s="28" t="s">
        <v>2232</v>
      </c>
    </row>
    <row r="321" spans="1:10" ht="60" x14ac:dyDescent="0.25">
      <c r="A321" s="28" t="s">
        <v>1399</v>
      </c>
      <c r="B321" s="28" t="s">
        <v>3431</v>
      </c>
      <c r="C321" s="28">
        <v>4</v>
      </c>
      <c r="D321" s="28" t="s">
        <v>3432</v>
      </c>
      <c r="E321" s="28" t="s">
        <v>131</v>
      </c>
      <c r="F321" s="30" t="s">
        <v>3675</v>
      </c>
      <c r="H321" s="28" t="s">
        <v>124</v>
      </c>
      <c r="J321" s="28" t="s">
        <v>2232</v>
      </c>
    </row>
    <row r="322" spans="1:10" x14ac:dyDescent="0.25">
      <c r="A322" s="28" t="s">
        <v>1400</v>
      </c>
      <c r="B322" s="28" t="s">
        <v>2266</v>
      </c>
      <c r="C322" s="28">
        <v>3</v>
      </c>
      <c r="D322" s="9" t="s">
        <v>3455</v>
      </c>
      <c r="E322" s="28" t="s">
        <v>3443</v>
      </c>
      <c r="F322" s="28" t="s">
        <v>3591</v>
      </c>
      <c r="H322" s="28" t="s">
        <v>366</v>
      </c>
      <c r="J322" s="28" t="s">
        <v>2265</v>
      </c>
    </row>
    <row r="323" spans="1:10" x14ac:dyDescent="0.25">
      <c r="A323" s="28" t="s">
        <v>1403</v>
      </c>
      <c r="B323" s="28" t="s">
        <v>2267</v>
      </c>
      <c r="C323" s="28">
        <v>4</v>
      </c>
      <c r="D323" s="28" t="s">
        <v>1405</v>
      </c>
      <c r="E323" s="28" t="s">
        <v>131</v>
      </c>
      <c r="F323" s="28" t="s">
        <v>3591</v>
      </c>
      <c r="H323" s="28" t="s">
        <v>366</v>
      </c>
      <c r="J323" s="28" t="s">
        <v>2265</v>
      </c>
    </row>
    <row r="324" spans="1:10" x14ac:dyDescent="0.25">
      <c r="A324" s="28" t="s">
        <v>1406</v>
      </c>
      <c r="B324" s="28" t="s">
        <v>2268</v>
      </c>
      <c r="C324" s="28">
        <v>4</v>
      </c>
      <c r="D324" s="28" t="s">
        <v>1408</v>
      </c>
      <c r="E324" s="28" t="s">
        <v>131</v>
      </c>
      <c r="F324" s="28" t="s">
        <v>3591</v>
      </c>
      <c r="H324" s="28" t="s">
        <v>366</v>
      </c>
      <c r="J324" s="28" t="s">
        <v>2265</v>
      </c>
    </row>
    <row r="325" spans="1:10" x14ac:dyDescent="0.25">
      <c r="A325" s="28" t="s">
        <v>1409</v>
      </c>
      <c r="B325" s="28" t="s">
        <v>2269</v>
      </c>
      <c r="C325" s="28">
        <v>4</v>
      </c>
      <c r="D325" s="28" t="s">
        <v>1411</v>
      </c>
      <c r="E325" s="28" t="s">
        <v>131</v>
      </c>
      <c r="F325" s="28" t="s">
        <v>3591</v>
      </c>
      <c r="H325" s="28" t="s">
        <v>366</v>
      </c>
      <c r="J325" s="28" t="s">
        <v>2265</v>
      </c>
    </row>
    <row r="326" spans="1:10" x14ac:dyDescent="0.25">
      <c r="A326" s="28" t="s">
        <v>1412</v>
      </c>
      <c r="B326" s="28" t="s">
        <v>2270</v>
      </c>
      <c r="C326" s="28">
        <v>4</v>
      </c>
      <c r="D326" s="28" t="s">
        <v>1414</v>
      </c>
      <c r="E326" s="28" t="s">
        <v>131</v>
      </c>
      <c r="F326" s="28" t="s">
        <v>3591</v>
      </c>
      <c r="H326" s="28" t="s">
        <v>366</v>
      </c>
      <c r="J326" s="28" t="s">
        <v>2265</v>
      </c>
    </row>
    <row r="327" spans="1:10" x14ac:dyDescent="0.25">
      <c r="A327" s="28" t="s">
        <v>1415</v>
      </c>
      <c r="B327" s="28" t="s">
        <v>2271</v>
      </c>
      <c r="C327" s="28">
        <v>4</v>
      </c>
      <c r="D327" s="28" t="s">
        <v>1417</v>
      </c>
      <c r="E327" s="28" t="s">
        <v>131</v>
      </c>
      <c r="F327" s="28" t="s">
        <v>3591</v>
      </c>
      <c r="H327" s="28" t="s">
        <v>366</v>
      </c>
      <c r="J327" s="28" t="s">
        <v>2265</v>
      </c>
    </row>
    <row r="328" spans="1:10" x14ac:dyDescent="0.25">
      <c r="A328" s="28" t="s">
        <v>1418</v>
      </c>
      <c r="B328" s="28" t="s">
        <v>2272</v>
      </c>
      <c r="C328" s="28">
        <v>4</v>
      </c>
      <c r="D328" s="28" t="s">
        <v>1419</v>
      </c>
      <c r="E328" s="28" t="s">
        <v>131</v>
      </c>
      <c r="F328" s="28" t="s">
        <v>3591</v>
      </c>
      <c r="H328" s="28" t="s">
        <v>366</v>
      </c>
      <c r="J328" s="28" t="s">
        <v>2265</v>
      </c>
    </row>
    <row r="329" spans="1:10" ht="60" x14ac:dyDescent="0.25">
      <c r="A329" s="28" t="s">
        <v>3456</v>
      </c>
      <c r="B329" s="28" t="s">
        <v>3457</v>
      </c>
      <c r="C329" s="28">
        <v>3</v>
      </c>
      <c r="D329" s="9" t="s">
        <v>3458</v>
      </c>
      <c r="E329" s="28" t="s">
        <v>3443</v>
      </c>
      <c r="F329" s="30" t="s">
        <v>3675</v>
      </c>
      <c r="J329" s="28" t="s">
        <v>2232</v>
      </c>
    </row>
    <row r="330" spans="1:10" ht="60" x14ac:dyDescent="0.25">
      <c r="A330" s="28" t="s">
        <v>3459</v>
      </c>
      <c r="B330" s="28" t="s">
        <v>3460</v>
      </c>
      <c r="C330" s="28">
        <v>4</v>
      </c>
      <c r="D330" s="28" t="s">
        <v>3461</v>
      </c>
      <c r="E330" s="28" t="s">
        <v>131</v>
      </c>
      <c r="F330" s="30" t="s">
        <v>3675</v>
      </c>
      <c r="J330" s="28" t="s">
        <v>2232</v>
      </c>
    </row>
    <row r="331" spans="1:10" ht="60" x14ac:dyDescent="0.25">
      <c r="A331" s="28" t="s">
        <v>3462</v>
      </c>
      <c r="B331" s="28" t="s">
        <v>3463</v>
      </c>
      <c r="C331" s="28">
        <v>4</v>
      </c>
      <c r="D331" s="28" t="s">
        <v>3464</v>
      </c>
      <c r="E331" s="28" t="s">
        <v>131</v>
      </c>
      <c r="F331" s="30" t="s">
        <v>3675</v>
      </c>
      <c r="J331" s="28" t="s">
        <v>2232</v>
      </c>
    </row>
    <row r="332" spans="1:10" x14ac:dyDescent="0.25">
      <c r="A332" s="28" t="s">
        <v>3694</v>
      </c>
      <c r="B332" s="28" t="s">
        <v>3695</v>
      </c>
      <c r="C332" s="28">
        <v>3</v>
      </c>
      <c r="D332" s="9" t="s">
        <v>3696</v>
      </c>
      <c r="E332" s="28" t="s">
        <v>3443</v>
      </c>
      <c r="F332" s="28" t="s">
        <v>3692</v>
      </c>
      <c r="H332" s="28" t="s">
        <v>3697</v>
      </c>
      <c r="I332" s="28" t="s">
        <v>3680</v>
      </c>
      <c r="J332" s="28" t="s">
        <v>3419</v>
      </c>
    </row>
    <row r="333" spans="1:10" x14ac:dyDescent="0.25">
      <c r="A333" s="28" t="s">
        <v>3698</v>
      </c>
      <c r="B333" s="28" t="s">
        <v>3699</v>
      </c>
      <c r="C333" s="28">
        <v>4</v>
      </c>
      <c r="D333" s="28" t="s">
        <v>3700</v>
      </c>
      <c r="E333" s="28" t="s">
        <v>131</v>
      </c>
      <c r="F333" s="28" t="s">
        <v>3692</v>
      </c>
      <c r="H333" s="28" t="s">
        <v>3701</v>
      </c>
      <c r="I333" s="28" t="s">
        <v>3680</v>
      </c>
      <c r="J333" s="28" t="s">
        <v>3419</v>
      </c>
    </row>
    <row r="334" spans="1:10" x14ac:dyDescent="0.25">
      <c r="A334" s="28" t="s">
        <v>3702</v>
      </c>
      <c r="B334" s="28" t="s">
        <v>3703</v>
      </c>
      <c r="C334" s="28">
        <v>4</v>
      </c>
      <c r="D334" s="28" t="s">
        <v>3704</v>
      </c>
      <c r="E334" s="28" t="s">
        <v>131</v>
      </c>
      <c r="F334" s="28" t="s">
        <v>3692</v>
      </c>
      <c r="H334" s="28" t="s">
        <v>3705</v>
      </c>
      <c r="I334" s="28" t="s">
        <v>3680</v>
      </c>
      <c r="J334" s="28" t="s">
        <v>3419</v>
      </c>
    </row>
    <row r="335" spans="1:10" ht="75" x14ac:dyDescent="0.25">
      <c r="A335" s="28" t="s">
        <v>1420</v>
      </c>
      <c r="B335" s="28">
        <v>15</v>
      </c>
      <c r="C335" s="28">
        <v>1</v>
      </c>
      <c r="D335" s="9" t="s">
        <v>369</v>
      </c>
      <c r="E335" s="28" t="s">
        <v>3443</v>
      </c>
      <c r="F335" s="30" t="s">
        <v>3673</v>
      </c>
      <c r="H335" s="28" t="s">
        <v>368</v>
      </c>
      <c r="J335" s="28" t="s">
        <v>2232</v>
      </c>
    </row>
    <row r="336" spans="1:10" ht="60" x14ac:dyDescent="0.25">
      <c r="A336" s="28" t="s">
        <v>3465</v>
      </c>
      <c r="B336" s="28">
        <v>15.1</v>
      </c>
      <c r="C336" s="28">
        <v>2</v>
      </c>
      <c r="D336" s="9" t="s">
        <v>3466</v>
      </c>
      <c r="E336" s="28" t="s">
        <v>3443</v>
      </c>
      <c r="F336" s="30" t="s">
        <v>3675</v>
      </c>
      <c r="J336" s="28" t="s">
        <v>2232</v>
      </c>
    </row>
    <row r="337" spans="1:11" ht="60" x14ac:dyDescent="0.25">
      <c r="A337" s="28" t="s">
        <v>3467</v>
      </c>
      <c r="B337" s="28" t="s">
        <v>1424</v>
      </c>
      <c r="C337" s="28">
        <v>3</v>
      </c>
      <c r="D337" s="28" t="s">
        <v>3468</v>
      </c>
      <c r="E337" s="28" t="s">
        <v>131</v>
      </c>
      <c r="F337" s="30" t="s">
        <v>3675</v>
      </c>
      <c r="J337" s="28" t="s">
        <v>2232</v>
      </c>
    </row>
    <row r="338" spans="1:11" ht="105" x14ac:dyDescent="0.25">
      <c r="A338" s="28" t="s">
        <v>3469</v>
      </c>
      <c r="B338" s="28" t="s">
        <v>1427</v>
      </c>
      <c r="C338" s="28">
        <v>3</v>
      </c>
      <c r="D338" s="30" t="s">
        <v>3470</v>
      </c>
      <c r="E338" s="28" t="s">
        <v>131</v>
      </c>
      <c r="F338" s="30" t="s">
        <v>3675</v>
      </c>
      <c r="J338" s="28" t="s">
        <v>2232</v>
      </c>
    </row>
    <row r="339" spans="1:11" ht="300" x14ac:dyDescent="0.25">
      <c r="A339" s="28" t="s">
        <v>3471</v>
      </c>
      <c r="B339" s="28" t="s">
        <v>1430</v>
      </c>
      <c r="C339" s="28">
        <v>3</v>
      </c>
      <c r="D339" s="30" t="s">
        <v>3472</v>
      </c>
      <c r="E339" s="28" t="s">
        <v>131</v>
      </c>
      <c r="F339" s="30" t="s">
        <v>3675</v>
      </c>
      <c r="J339" s="28" t="s">
        <v>2232</v>
      </c>
    </row>
    <row r="340" spans="1:11" ht="75" x14ac:dyDescent="0.25">
      <c r="A340" s="28" t="s">
        <v>1421</v>
      </c>
      <c r="B340" s="28">
        <v>15.2</v>
      </c>
      <c r="C340" s="28">
        <v>2</v>
      </c>
      <c r="D340" s="9" t="s">
        <v>1422</v>
      </c>
      <c r="E340" s="28" t="s">
        <v>3443</v>
      </c>
      <c r="F340" s="30" t="s">
        <v>3673</v>
      </c>
      <c r="H340" s="28" t="s">
        <v>371</v>
      </c>
      <c r="J340" s="28" t="s">
        <v>2232</v>
      </c>
      <c r="K340" s="28" t="s">
        <v>2959</v>
      </c>
    </row>
    <row r="341" spans="1:11" ht="75" x14ac:dyDescent="0.25">
      <c r="A341" s="28" t="s">
        <v>1423</v>
      </c>
      <c r="B341" s="28" t="s">
        <v>3473</v>
      </c>
      <c r="C341" s="28">
        <v>3</v>
      </c>
      <c r="D341" s="28" t="s">
        <v>1425</v>
      </c>
      <c r="E341" s="28" t="s">
        <v>131</v>
      </c>
      <c r="F341" s="30" t="s">
        <v>3673</v>
      </c>
      <c r="H341" s="28" t="s">
        <v>371</v>
      </c>
      <c r="J341" s="28" t="s">
        <v>2232</v>
      </c>
      <c r="K341" s="28" t="s">
        <v>2960</v>
      </c>
    </row>
    <row r="342" spans="1:11" ht="75" x14ac:dyDescent="0.25">
      <c r="A342" s="28" t="s">
        <v>1426</v>
      </c>
      <c r="B342" s="28" t="s">
        <v>3474</v>
      </c>
      <c r="C342" s="28">
        <v>3</v>
      </c>
      <c r="D342" s="28" t="s">
        <v>1428</v>
      </c>
      <c r="E342" s="28" t="s">
        <v>131</v>
      </c>
      <c r="F342" s="30" t="s">
        <v>3673</v>
      </c>
      <c r="H342" s="28" t="s">
        <v>371</v>
      </c>
      <c r="J342" s="28" t="s">
        <v>2232</v>
      </c>
      <c r="K342" s="28" t="s">
        <v>2961</v>
      </c>
    </row>
    <row r="343" spans="1:11" ht="75" x14ac:dyDescent="0.25">
      <c r="A343" s="28" t="s">
        <v>1429</v>
      </c>
      <c r="B343" s="28" t="s">
        <v>3475</v>
      </c>
      <c r="C343" s="28">
        <v>3</v>
      </c>
      <c r="D343" s="28" t="s">
        <v>1431</v>
      </c>
      <c r="E343" s="28" t="s">
        <v>131</v>
      </c>
      <c r="F343" s="30" t="s">
        <v>3673</v>
      </c>
      <c r="H343" s="28" t="s">
        <v>371</v>
      </c>
      <c r="J343" s="28" t="s">
        <v>2232</v>
      </c>
      <c r="K343" s="28" t="s">
        <v>2962</v>
      </c>
    </row>
    <row r="344" spans="1:11" ht="60" x14ac:dyDescent="0.25">
      <c r="A344" s="28" t="s">
        <v>1432</v>
      </c>
      <c r="B344" s="28">
        <v>16</v>
      </c>
      <c r="C344" s="28">
        <v>1</v>
      </c>
      <c r="D344" s="9" t="s">
        <v>374</v>
      </c>
      <c r="E344" s="28" t="s">
        <v>3443</v>
      </c>
      <c r="F344" s="30" t="s">
        <v>3675</v>
      </c>
      <c r="H344" s="28" t="s">
        <v>375</v>
      </c>
      <c r="J344" s="28" t="s">
        <v>2232</v>
      </c>
    </row>
    <row r="345" spans="1:11" ht="60" x14ac:dyDescent="0.25">
      <c r="A345" s="28" t="s">
        <v>1433</v>
      </c>
      <c r="B345" s="28">
        <v>16.100000000000001</v>
      </c>
      <c r="C345" s="28">
        <v>2</v>
      </c>
      <c r="D345" s="9" t="s">
        <v>118</v>
      </c>
      <c r="E345" s="28" t="s">
        <v>3443</v>
      </c>
      <c r="F345" s="30" t="s">
        <v>3675</v>
      </c>
      <c r="H345" s="28" t="s">
        <v>378</v>
      </c>
      <c r="J345" s="28" t="s">
        <v>2232</v>
      </c>
    </row>
    <row r="346" spans="1:11" ht="75" x14ac:dyDescent="0.25">
      <c r="A346" s="28" t="s">
        <v>1434</v>
      </c>
      <c r="B346" s="28" t="s">
        <v>592</v>
      </c>
      <c r="C346" s="28">
        <v>3</v>
      </c>
      <c r="D346" s="28" t="s">
        <v>1435</v>
      </c>
      <c r="E346" s="28" t="s">
        <v>131</v>
      </c>
      <c r="F346" s="30" t="s">
        <v>3673</v>
      </c>
      <c r="H346" s="28" t="s">
        <v>378</v>
      </c>
      <c r="J346" s="28" t="s">
        <v>2232</v>
      </c>
      <c r="K346" s="28" t="s">
        <v>2963</v>
      </c>
    </row>
    <row r="347" spans="1:11" ht="75" x14ac:dyDescent="0.25">
      <c r="A347" s="28" t="s">
        <v>1436</v>
      </c>
      <c r="B347" s="28" t="s">
        <v>1437</v>
      </c>
      <c r="C347" s="28">
        <v>3</v>
      </c>
      <c r="D347" s="28" t="s">
        <v>1438</v>
      </c>
      <c r="E347" s="28" t="s">
        <v>131</v>
      </c>
      <c r="F347" s="30" t="s">
        <v>3673</v>
      </c>
      <c r="H347" s="28" t="s">
        <v>378</v>
      </c>
      <c r="J347" s="28" t="s">
        <v>2232</v>
      </c>
      <c r="K347" s="28" t="s">
        <v>2964</v>
      </c>
    </row>
    <row r="348" spans="1:11" ht="75" x14ac:dyDescent="0.25">
      <c r="A348" s="28" t="s">
        <v>1439</v>
      </c>
      <c r="B348" s="28" t="s">
        <v>1440</v>
      </c>
      <c r="C348" s="28">
        <v>3</v>
      </c>
      <c r="D348" s="28" t="s">
        <v>1441</v>
      </c>
      <c r="E348" s="28" t="s">
        <v>139</v>
      </c>
      <c r="F348" s="30" t="s">
        <v>3673</v>
      </c>
      <c r="H348" s="28" t="s">
        <v>378</v>
      </c>
      <c r="J348" s="28" t="s">
        <v>2232</v>
      </c>
    </row>
    <row r="349" spans="1:11" ht="75" x14ac:dyDescent="0.25">
      <c r="A349" s="28" t="s">
        <v>1442</v>
      </c>
      <c r="B349" s="28" t="s">
        <v>1443</v>
      </c>
      <c r="C349" s="28">
        <v>3</v>
      </c>
      <c r="D349" s="28" t="s">
        <v>1444</v>
      </c>
      <c r="E349" s="28" t="s">
        <v>131</v>
      </c>
      <c r="F349" s="30" t="s">
        <v>3673</v>
      </c>
      <c r="H349" s="28" t="s">
        <v>378</v>
      </c>
      <c r="J349" s="28" t="s">
        <v>2232</v>
      </c>
      <c r="K349" s="28" t="s">
        <v>2965</v>
      </c>
    </row>
    <row r="350" spans="1:11" ht="75" x14ac:dyDescent="0.25">
      <c r="A350" s="28" t="s">
        <v>1445</v>
      </c>
      <c r="B350" s="28" t="s">
        <v>1446</v>
      </c>
      <c r="C350" s="28">
        <v>3</v>
      </c>
      <c r="D350" s="28" t="s">
        <v>1447</v>
      </c>
      <c r="E350" s="28" t="s">
        <v>131</v>
      </c>
      <c r="F350" s="30" t="s">
        <v>3673</v>
      </c>
      <c r="H350" s="28" t="s">
        <v>378</v>
      </c>
      <c r="J350" s="28" t="s">
        <v>2232</v>
      </c>
      <c r="K350" s="28" t="s">
        <v>2966</v>
      </c>
    </row>
    <row r="351" spans="1:11" ht="300" x14ac:dyDescent="0.25">
      <c r="A351" s="28" t="s">
        <v>1448</v>
      </c>
      <c r="B351" s="28" t="s">
        <v>1449</v>
      </c>
      <c r="C351" s="28">
        <v>3</v>
      </c>
      <c r="D351" s="30" t="s">
        <v>2273</v>
      </c>
      <c r="E351" s="28" t="s">
        <v>139</v>
      </c>
      <c r="F351" s="30" t="s">
        <v>3673</v>
      </c>
      <c r="H351" s="28" t="s">
        <v>378</v>
      </c>
      <c r="J351" s="28" t="s">
        <v>2232</v>
      </c>
    </row>
    <row r="352" spans="1:11" ht="75" x14ac:dyDescent="0.25">
      <c r="A352" s="28" t="s">
        <v>1450</v>
      </c>
      <c r="B352" s="28" t="s">
        <v>1451</v>
      </c>
      <c r="C352" s="28">
        <v>3</v>
      </c>
      <c r="D352" s="28" t="s">
        <v>1452</v>
      </c>
      <c r="E352" s="28" t="s">
        <v>131</v>
      </c>
      <c r="F352" s="30" t="s">
        <v>3673</v>
      </c>
      <c r="H352" s="28" t="s">
        <v>378</v>
      </c>
      <c r="J352" s="28" t="s">
        <v>2232</v>
      </c>
      <c r="K352" s="28" t="s">
        <v>2967</v>
      </c>
    </row>
    <row r="353" spans="1:11" ht="75" x14ac:dyDescent="0.25">
      <c r="A353" s="28" t="s">
        <v>1453</v>
      </c>
      <c r="B353" s="28" t="s">
        <v>1454</v>
      </c>
      <c r="C353" s="28">
        <v>3</v>
      </c>
      <c r="D353" s="28" t="s">
        <v>1455</v>
      </c>
      <c r="E353" s="28" t="s">
        <v>131</v>
      </c>
      <c r="F353" s="30" t="s">
        <v>3673</v>
      </c>
      <c r="H353" s="28" t="s">
        <v>378</v>
      </c>
      <c r="J353" s="28" t="s">
        <v>2232</v>
      </c>
      <c r="K353" s="28" t="s">
        <v>2968</v>
      </c>
    </row>
    <row r="354" spans="1:11" ht="75" x14ac:dyDescent="0.25">
      <c r="A354" s="28" t="s">
        <v>1456</v>
      </c>
      <c r="B354" s="28">
        <v>16.2</v>
      </c>
      <c r="C354" s="28">
        <v>2</v>
      </c>
      <c r="D354" s="9" t="s">
        <v>1457</v>
      </c>
      <c r="E354" s="28" t="s">
        <v>3443</v>
      </c>
      <c r="F354" s="30" t="s">
        <v>3673</v>
      </c>
      <c r="H354" s="28" t="s">
        <v>378</v>
      </c>
      <c r="J354" s="28" t="s">
        <v>2232</v>
      </c>
      <c r="K354" s="28" t="s">
        <v>1457</v>
      </c>
    </row>
    <row r="355" spans="1:11" ht="75" x14ac:dyDescent="0.25">
      <c r="A355" s="28" t="s">
        <v>1458</v>
      </c>
      <c r="B355" s="28" t="s">
        <v>1459</v>
      </c>
      <c r="C355" s="28">
        <v>3</v>
      </c>
      <c r="D355" s="28" t="s">
        <v>1460</v>
      </c>
      <c r="E355" s="28" t="s">
        <v>131</v>
      </c>
      <c r="F355" s="30" t="s">
        <v>3673</v>
      </c>
      <c r="H355" s="28" t="s">
        <v>378</v>
      </c>
      <c r="J355" s="28" t="s">
        <v>2232</v>
      </c>
      <c r="K355" s="28" t="s">
        <v>2969</v>
      </c>
    </row>
    <row r="356" spans="1:11" ht="75" x14ac:dyDescent="0.25">
      <c r="A356" s="28" t="s">
        <v>1461</v>
      </c>
      <c r="B356" s="28" t="s">
        <v>1462</v>
      </c>
      <c r="C356" s="28">
        <v>3</v>
      </c>
      <c r="D356" s="28" t="s">
        <v>1463</v>
      </c>
      <c r="E356" s="28" t="s">
        <v>131</v>
      </c>
      <c r="F356" s="30" t="s">
        <v>3673</v>
      </c>
      <c r="H356" s="28" t="s">
        <v>378</v>
      </c>
      <c r="J356" s="28" t="s">
        <v>2232</v>
      </c>
      <c r="K356" s="28" t="s">
        <v>2970</v>
      </c>
    </row>
    <row r="357" spans="1:11" ht="105" x14ac:dyDescent="0.25">
      <c r="A357" s="28" t="s">
        <v>1464</v>
      </c>
      <c r="B357" s="28" t="s">
        <v>1465</v>
      </c>
      <c r="C357" s="28">
        <v>3</v>
      </c>
      <c r="D357" s="30" t="s">
        <v>2274</v>
      </c>
      <c r="E357" s="28" t="s">
        <v>139</v>
      </c>
      <c r="F357" s="30" t="s">
        <v>3673</v>
      </c>
      <c r="H357" s="28" t="s">
        <v>378</v>
      </c>
      <c r="J357" s="28" t="s">
        <v>2232</v>
      </c>
    </row>
    <row r="358" spans="1:11" ht="60" x14ac:dyDescent="0.25">
      <c r="A358" s="28" t="s">
        <v>1466</v>
      </c>
      <c r="B358" s="28">
        <v>16.3</v>
      </c>
      <c r="C358" s="28">
        <v>2</v>
      </c>
      <c r="D358" s="9" t="s">
        <v>3476</v>
      </c>
      <c r="E358" s="28" t="s">
        <v>3443</v>
      </c>
      <c r="F358" s="30" t="s">
        <v>3675</v>
      </c>
      <c r="H358" s="28" t="s">
        <v>378</v>
      </c>
      <c r="J358" s="28" t="s">
        <v>2232</v>
      </c>
    </row>
    <row r="359" spans="1:11" ht="60" x14ac:dyDescent="0.25">
      <c r="A359" s="28" t="s">
        <v>3478</v>
      </c>
      <c r="B359" s="28" t="s">
        <v>1468</v>
      </c>
      <c r="C359" s="28">
        <v>3</v>
      </c>
      <c r="D359" s="28" t="s">
        <v>3477</v>
      </c>
      <c r="E359" s="28" t="s">
        <v>139</v>
      </c>
      <c r="F359" s="30" t="s">
        <v>3675</v>
      </c>
      <c r="J359" s="28" t="s">
        <v>2232</v>
      </c>
    </row>
    <row r="360" spans="1:11" ht="75" x14ac:dyDescent="0.25">
      <c r="A360" s="28" t="s">
        <v>1467</v>
      </c>
      <c r="B360" s="28" t="s">
        <v>1471</v>
      </c>
      <c r="C360" s="28">
        <v>3</v>
      </c>
      <c r="D360" s="30" t="s">
        <v>1469</v>
      </c>
      <c r="E360" s="28" t="s">
        <v>131</v>
      </c>
      <c r="F360" s="30" t="s">
        <v>3673</v>
      </c>
      <c r="H360" s="28" t="s">
        <v>378</v>
      </c>
      <c r="J360" s="28" t="s">
        <v>2232</v>
      </c>
      <c r="K360" s="28" t="s">
        <v>2971</v>
      </c>
    </row>
    <row r="361" spans="1:11" ht="75" x14ac:dyDescent="0.25">
      <c r="A361" s="28" t="s">
        <v>1470</v>
      </c>
      <c r="B361" s="28" t="s">
        <v>1474</v>
      </c>
      <c r="C361" s="28">
        <v>3</v>
      </c>
      <c r="D361" s="28" t="s">
        <v>1472</v>
      </c>
      <c r="E361" s="28" t="s">
        <v>131</v>
      </c>
      <c r="F361" s="30" t="s">
        <v>3673</v>
      </c>
      <c r="H361" s="28" t="s">
        <v>378</v>
      </c>
      <c r="J361" s="28" t="s">
        <v>2232</v>
      </c>
      <c r="K361" s="28" t="s">
        <v>2972</v>
      </c>
    </row>
    <row r="362" spans="1:11" ht="75" x14ac:dyDescent="0.25">
      <c r="A362" s="28" t="s">
        <v>1473</v>
      </c>
      <c r="B362" s="28" t="s">
        <v>3479</v>
      </c>
      <c r="C362" s="28">
        <v>3</v>
      </c>
      <c r="D362" s="28" t="s">
        <v>1475</v>
      </c>
      <c r="E362" s="28" t="s">
        <v>131</v>
      </c>
      <c r="F362" s="30" t="s">
        <v>3673</v>
      </c>
      <c r="H362" s="28" t="s">
        <v>378</v>
      </c>
      <c r="J362" s="28" t="s">
        <v>2232</v>
      </c>
      <c r="K362" s="28" t="s">
        <v>2973</v>
      </c>
    </row>
    <row r="363" spans="1:11" ht="75" x14ac:dyDescent="0.25">
      <c r="A363" s="28" t="s">
        <v>1476</v>
      </c>
      <c r="B363" s="28">
        <v>16.399999999999999</v>
      </c>
      <c r="C363" s="28">
        <v>2</v>
      </c>
      <c r="D363" s="9" t="s">
        <v>1477</v>
      </c>
      <c r="E363" s="28" t="s">
        <v>3443</v>
      </c>
      <c r="F363" s="30" t="s">
        <v>3673</v>
      </c>
      <c r="H363" s="28" t="s">
        <v>378</v>
      </c>
      <c r="J363" s="28" t="s">
        <v>2232</v>
      </c>
    </row>
    <row r="364" spans="1:11" ht="75" x14ac:dyDescent="0.25">
      <c r="A364" s="28" t="s">
        <v>1478</v>
      </c>
      <c r="B364" s="28" t="s">
        <v>1479</v>
      </c>
      <c r="C364" s="28">
        <v>3</v>
      </c>
      <c r="D364" s="28" t="s">
        <v>1480</v>
      </c>
      <c r="E364" s="28" t="s">
        <v>131</v>
      </c>
      <c r="F364" s="30" t="s">
        <v>3673</v>
      </c>
      <c r="H364" s="28" t="s">
        <v>378</v>
      </c>
      <c r="J364" s="28" t="s">
        <v>2232</v>
      </c>
      <c r="K364" s="28" t="s">
        <v>2974</v>
      </c>
    </row>
    <row r="365" spans="1:11" ht="75" x14ac:dyDescent="0.25">
      <c r="A365" s="28" t="s">
        <v>1481</v>
      </c>
      <c r="B365" s="28" t="s">
        <v>1482</v>
      </c>
      <c r="C365" s="28">
        <v>3</v>
      </c>
      <c r="D365" s="28" t="s">
        <v>2275</v>
      </c>
      <c r="E365" s="28" t="s">
        <v>131</v>
      </c>
      <c r="F365" s="30" t="s">
        <v>3673</v>
      </c>
      <c r="H365" s="28" t="s">
        <v>378</v>
      </c>
      <c r="J365" s="28" t="s">
        <v>2232</v>
      </c>
      <c r="K365" s="28" t="s">
        <v>2975</v>
      </c>
    </row>
    <row r="366" spans="1:11" ht="75" x14ac:dyDescent="0.25">
      <c r="A366" s="28" t="s">
        <v>1483</v>
      </c>
      <c r="B366" s="28" t="s">
        <v>1484</v>
      </c>
      <c r="C366" s="28">
        <v>3</v>
      </c>
      <c r="D366" s="28" t="s">
        <v>1485</v>
      </c>
      <c r="E366" s="28" t="s">
        <v>131</v>
      </c>
      <c r="F366" s="30" t="s">
        <v>3673</v>
      </c>
      <c r="H366" s="28" t="s">
        <v>378</v>
      </c>
      <c r="J366" s="28" t="s">
        <v>2232</v>
      </c>
      <c r="K366" s="28" t="s">
        <v>2976</v>
      </c>
    </row>
    <row r="367" spans="1:11" ht="75" x14ac:dyDescent="0.25">
      <c r="A367" s="28" t="s">
        <v>1486</v>
      </c>
      <c r="B367" s="28" t="s">
        <v>1487</v>
      </c>
      <c r="C367" s="28">
        <v>3</v>
      </c>
      <c r="D367" s="28" t="s">
        <v>34</v>
      </c>
      <c r="E367" s="28" t="s">
        <v>131</v>
      </c>
      <c r="F367" s="30" t="s">
        <v>3673</v>
      </c>
      <c r="H367" s="28" t="s">
        <v>378</v>
      </c>
      <c r="J367" s="28" t="s">
        <v>2232</v>
      </c>
      <c r="K367" s="28" t="s">
        <v>2977</v>
      </c>
    </row>
    <row r="368" spans="1:11" ht="75" x14ac:dyDescent="0.25">
      <c r="A368" s="28" t="s">
        <v>1488</v>
      </c>
      <c r="B368" s="28" t="s">
        <v>1489</v>
      </c>
      <c r="C368" s="28">
        <v>3</v>
      </c>
      <c r="D368" s="28" t="s">
        <v>2276</v>
      </c>
      <c r="E368" s="28" t="s">
        <v>131</v>
      </c>
      <c r="F368" s="30" t="s">
        <v>3673</v>
      </c>
      <c r="H368" s="28" t="s">
        <v>378</v>
      </c>
      <c r="J368" s="28" t="s">
        <v>2232</v>
      </c>
      <c r="K368" s="28" t="s">
        <v>2978</v>
      </c>
    </row>
    <row r="369" spans="1:11" ht="75" x14ac:dyDescent="0.25">
      <c r="A369" s="28" t="s">
        <v>1490</v>
      </c>
      <c r="B369" s="28">
        <v>16.5</v>
      </c>
      <c r="C369" s="28">
        <v>2</v>
      </c>
      <c r="D369" s="9" t="s">
        <v>1818</v>
      </c>
      <c r="E369" s="28" t="s">
        <v>3443</v>
      </c>
      <c r="F369" s="30" t="s">
        <v>3673</v>
      </c>
      <c r="H369" s="28" t="s">
        <v>378</v>
      </c>
      <c r="J369" s="28" t="s">
        <v>2232</v>
      </c>
    </row>
    <row r="370" spans="1:11" ht="75" x14ac:dyDescent="0.25">
      <c r="A370" s="28" t="s">
        <v>3481</v>
      </c>
      <c r="B370" s="28" t="s">
        <v>1492</v>
      </c>
      <c r="C370" s="28">
        <v>3</v>
      </c>
      <c r="D370" s="28" t="s">
        <v>3480</v>
      </c>
      <c r="E370" s="28" t="s">
        <v>139</v>
      </c>
      <c r="F370" s="30" t="s">
        <v>3673</v>
      </c>
      <c r="J370" s="28" t="s">
        <v>2232</v>
      </c>
    </row>
    <row r="371" spans="1:11" ht="75" x14ac:dyDescent="0.25">
      <c r="A371" s="28" t="s">
        <v>1491</v>
      </c>
      <c r="B371" s="28" t="s">
        <v>3482</v>
      </c>
      <c r="C371" s="28">
        <v>3</v>
      </c>
      <c r="D371" s="28" t="s">
        <v>1493</v>
      </c>
      <c r="E371" s="28" t="s">
        <v>131</v>
      </c>
      <c r="F371" s="30" t="s">
        <v>3673</v>
      </c>
      <c r="H371" s="28" t="s">
        <v>378</v>
      </c>
      <c r="J371" s="28" t="s">
        <v>2232</v>
      </c>
      <c r="K371" s="28" t="s">
        <v>2979</v>
      </c>
    </row>
    <row r="372" spans="1:11" ht="60" x14ac:dyDescent="0.25">
      <c r="A372" s="28" t="s">
        <v>1494</v>
      </c>
      <c r="B372" s="28">
        <v>17</v>
      </c>
      <c r="C372" s="28">
        <v>1</v>
      </c>
      <c r="D372" s="9" t="s">
        <v>18</v>
      </c>
      <c r="E372" s="28" t="s">
        <v>3443</v>
      </c>
      <c r="F372" s="30" t="s">
        <v>3675</v>
      </c>
      <c r="H372" s="28" t="s">
        <v>381</v>
      </c>
      <c r="J372" s="28" t="s">
        <v>2232</v>
      </c>
    </row>
    <row r="373" spans="1:11" ht="60" x14ac:dyDescent="0.25">
      <c r="A373" s="28" t="s">
        <v>1495</v>
      </c>
      <c r="B373" s="28">
        <v>17.100000000000001</v>
      </c>
      <c r="C373" s="28">
        <v>2</v>
      </c>
      <c r="D373" s="9" t="s">
        <v>118</v>
      </c>
      <c r="E373" s="28" t="s">
        <v>3443</v>
      </c>
      <c r="F373" s="30" t="s">
        <v>3675</v>
      </c>
      <c r="H373" s="28" t="s">
        <v>381</v>
      </c>
      <c r="J373" s="28" t="s">
        <v>2232</v>
      </c>
    </row>
    <row r="374" spans="1:11" ht="60" x14ac:dyDescent="0.25">
      <c r="A374" s="28" t="s">
        <v>1496</v>
      </c>
      <c r="B374" s="28" t="s">
        <v>1497</v>
      </c>
      <c r="C374" s="28">
        <v>3</v>
      </c>
      <c r="D374" s="28" t="s">
        <v>17</v>
      </c>
      <c r="E374" s="28" t="s">
        <v>131</v>
      </c>
      <c r="F374" s="30" t="s">
        <v>3675</v>
      </c>
      <c r="H374" s="28" t="s">
        <v>381</v>
      </c>
      <c r="J374" s="28" t="s">
        <v>2232</v>
      </c>
      <c r="K374" s="28" t="s">
        <v>2980</v>
      </c>
    </row>
    <row r="375" spans="1:11" ht="60" x14ac:dyDescent="0.25">
      <c r="A375" s="28" t="s">
        <v>1498</v>
      </c>
      <c r="B375" s="28" t="s">
        <v>1499</v>
      </c>
      <c r="C375" s="28">
        <v>3</v>
      </c>
      <c r="D375" s="28" t="s">
        <v>1500</v>
      </c>
      <c r="E375" s="28" t="s">
        <v>131</v>
      </c>
      <c r="F375" s="30" t="s">
        <v>3675</v>
      </c>
      <c r="H375" s="28" t="s">
        <v>381</v>
      </c>
      <c r="J375" s="28" t="s">
        <v>2232</v>
      </c>
      <c r="K375" s="28" t="s">
        <v>2981</v>
      </c>
    </row>
    <row r="376" spans="1:11" ht="60" x14ac:dyDescent="0.25">
      <c r="A376" s="28" t="s">
        <v>1501</v>
      </c>
      <c r="B376" s="28" t="s">
        <v>1502</v>
      </c>
      <c r="C376" s="28">
        <v>3</v>
      </c>
      <c r="D376" s="28" t="s">
        <v>1503</v>
      </c>
      <c r="E376" s="28" t="s">
        <v>131</v>
      </c>
      <c r="F376" s="30" t="s">
        <v>3675</v>
      </c>
      <c r="G376" s="28" t="s">
        <v>3592</v>
      </c>
      <c r="H376" s="28" t="s">
        <v>381</v>
      </c>
      <c r="J376" s="28" t="s">
        <v>2232</v>
      </c>
      <c r="K376" s="28" t="s">
        <v>2982</v>
      </c>
    </row>
    <row r="377" spans="1:11" ht="60" x14ac:dyDescent="0.25">
      <c r="A377" s="28" t="s">
        <v>1504</v>
      </c>
      <c r="B377" s="28">
        <v>17.2</v>
      </c>
      <c r="C377" s="28">
        <v>2</v>
      </c>
      <c r="D377" s="9" t="s">
        <v>1505</v>
      </c>
      <c r="E377" s="28" t="s">
        <v>3443</v>
      </c>
      <c r="F377" s="30" t="s">
        <v>3675</v>
      </c>
      <c r="H377" s="28" t="s">
        <v>381</v>
      </c>
      <c r="J377" s="28" t="s">
        <v>2232</v>
      </c>
    </row>
    <row r="378" spans="1:11" ht="60" x14ac:dyDescent="0.25">
      <c r="A378" s="28" t="s">
        <v>1506</v>
      </c>
      <c r="B378" s="28" t="s">
        <v>1507</v>
      </c>
      <c r="C378" s="28">
        <v>3</v>
      </c>
      <c r="D378" s="28" t="s">
        <v>1508</v>
      </c>
      <c r="E378" s="28" t="s">
        <v>131</v>
      </c>
      <c r="F378" s="30" t="s">
        <v>3675</v>
      </c>
      <c r="H378" s="28" t="s">
        <v>381</v>
      </c>
      <c r="J378" s="28" t="s">
        <v>2232</v>
      </c>
      <c r="K378" s="28" t="s">
        <v>2983</v>
      </c>
    </row>
    <row r="379" spans="1:11" ht="60" x14ac:dyDescent="0.25">
      <c r="A379" s="28" t="s">
        <v>1509</v>
      </c>
      <c r="B379" s="28">
        <v>17.3</v>
      </c>
      <c r="C379" s="28">
        <v>2</v>
      </c>
      <c r="D379" s="9" t="s">
        <v>1510</v>
      </c>
      <c r="E379" s="28" t="s">
        <v>3443</v>
      </c>
      <c r="F379" s="30" t="s">
        <v>3675</v>
      </c>
      <c r="H379" s="28" t="s">
        <v>381</v>
      </c>
      <c r="J379" s="28" t="s">
        <v>2232</v>
      </c>
    </row>
    <row r="380" spans="1:11" ht="60" x14ac:dyDescent="0.25">
      <c r="A380" s="28" t="s">
        <v>1511</v>
      </c>
      <c r="B380" s="28" t="s">
        <v>1512</v>
      </c>
      <c r="C380" s="28">
        <v>3</v>
      </c>
      <c r="D380" s="28" t="s">
        <v>1513</v>
      </c>
      <c r="E380" s="28" t="s">
        <v>131</v>
      </c>
      <c r="F380" s="30" t="s">
        <v>3675</v>
      </c>
      <c r="H380" s="28" t="s">
        <v>381</v>
      </c>
      <c r="J380" s="28" t="s">
        <v>2232</v>
      </c>
    </row>
    <row r="381" spans="1:11" ht="60" x14ac:dyDescent="0.25">
      <c r="A381" s="28" t="s">
        <v>1514</v>
      </c>
      <c r="B381" s="28" t="s">
        <v>1515</v>
      </c>
      <c r="C381" s="28">
        <v>3</v>
      </c>
      <c r="D381" s="28" t="s">
        <v>1516</v>
      </c>
      <c r="E381" s="28" t="s">
        <v>131</v>
      </c>
      <c r="F381" s="30" t="s">
        <v>3675</v>
      </c>
      <c r="H381" s="28" t="s">
        <v>381</v>
      </c>
      <c r="J381" s="28" t="s">
        <v>2232</v>
      </c>
    </row>
    <row r="382" spans="1:11" ht="150" x14ac:dyDescent="0.25">
      <c r="A382" s="28" t="s">
        <v>1517</v>
      </c>
      <c r="B382" s="28" t="s">
        <v>1518</v>
      </c>
      <c r="C382" s="28">
        <v>3</v>
      </c>
      <c r="D382" s="30" t="s">
        <v>2277</v>
      </c>
      <c r="E382" s="28" t="s">
        <v>139</v>
      </c>
      <c r="F382" s="30" t="s">
        <v>3675</v>
      </c>
      <c r="H382" s="28" t="s">
        <v>381</v>
      </c>
      <c r="J382" s="28" t="s">
        <v>2232</v>
      </c>
    </row>
    <row r="383" spans="1:11" ht="60" x14ac:dyDescent="0.25">
      <c r="A383" s="28" t="s">
        <v>1519</v>
      </c>
      <c r="B383" s="28" t="s">
        <v>1520</v>
      </c>
      <c r="C383" s="28">
        <v>3</v>
      </c>
      <c r="D383" s="28" t="s">
        <v>1521</v>
      </c>
      <c r="E383" s="28" t="s">
        <v>131</v>
      </c>
      <c r="F383" s="30" t="s">
        <v>3675</v>
      </c>
      <c r="H383" s="28" t="s">
        <v>381</v>
      </c>
      <c r="J383" s="28" t="s">
        <v>2232</v>
      </c>
    </row>
    <row r="384" spans="1:11" ht="60" x14ac:dyDescent="0.25">
      <c r="A384" s="28" t="s">
        <v>1522</v>
      </c>
      <c r="B384" s="28">
        <v>17.399999999999999</v>
      </c>
      <c r="C384" s="28">
        <v>2</v>
      </c>
      <c r="D384" s="9" t="s">
        <v>1523</v>
      </c>
      <c r="E384" s="28" t="s">
        <v>3443</v>
      </c>
      <c r="F384" s="30" t="s">
        <v>3675</v>
      </c>
      <c r="H384" s="28" t="s">
        <v>381</v>
      </c>
      <c r="J384" s="28" t="s">
        <v>2232</v>
      </c>
    </row>
    <row r="385" spans="1:11" ht="60" x14ac:dyDescent="0.25">
      <c r="A385" s="28" t="s">
        <v>1524</v>
      </c>
      <c r="B385" s="28" t="s">
        <v>1525</v>
      </c>
      <c r="C385" s="28">
        <v>3</v>
      </c>
      <c r="D385" s="28" t="s">
        <v>1526</v>
      </c>
      <c r="E385" s="28" t="s">
        <v>131</v>
      </c>
      <c r="F385" s="30" t="s">
        <v>3675</v>
      </c>
      <c r="H385" s="28" t="s">
        <v>381</v>
      </c>
      <c r="J385" s="28" t="s">
        <v>2232</v>
      </c>
      <c r="K385" s="28" t="s">
        <v>2984</v>
      </c>
    </row>
    <row r="386" spans="1:11" ht="60" x14ac:dyDescent="0.25">
      <c r="A386" s="28" t="s">
        <v>1527</v>
      </c>
      <c r="B386" s="28" t="s">
        <v>1528</v>
      </c>
      <c r="C386" s="28">
        <v>3</v>
      </c>
      <c r="D386" s="28" t="s">
        <v>16</v>
      </c>
      <c r="E386" s="28" t="s">
        <v>131</v>
      </c>
      <c r="F386" s="30" t="s">
        <v>3675</v>
      </c>
      <c r="H386" s="28" t="s">
        <v>381</v>
      </c>
      <c r="J386" s="28" t="s">
        <v>2232</v>
      </c>
      <c r="K386" s="28" t="s">
        <v>2985</v>
      </c>
    </row>
    <row r="387" spans="1:11" ht="105" x14ac:dyDescent="0.25">
      <c r="A387" s="28" t="s">
        <v>1529</v>
      </c>
      <c r="B387" s="28" t="s">
        <v>1530</v>
      </c>
      <c r="C387" s="28">
        <v>3</v>
      </c>
      <c r="D387" s="30" t="s">
        <v>1531</v>
      </c>
      <c r="E387" s="28" t="s">
        <v>131</v>
      </c>
      <c r="F387" s="30" t="s">
        <v>3675</v>
      </c>
      <c r="H387" s="28" t="s">
        <v>381</v>
      </c>
      <c r="J387" s="28" t="s">
        <v>2232</v>
      </c>
      <c r="K387" s="28" t="s">
        <v>2986</v>
      </c>
    </row>
    <row r="388" spans="1:11" ht="60" x14ac:dyDescent="0.25">
      <c r="A388" s="28" t="s">
        <v>1532</v>
      </c>
      <c r="B388" s="28">
        <v>17.5</v>
      </c>
      <c r="C388" s="28">
        <v>2</v>
      </c>
      <c r="D388" s="9" t="s">
        <v>1533</v>
      </c>
      <c r="E388" s="28" t="s">
        <v>3443</v>
      </c>
      <c r="F388" s="30" t="s">
        <v>3675</v>
      </c>
      <c r="H388" s="28" t="s">
        <v>381</v>
      </c>
      <c r="J388" s="28" t="s">
        <v>2232</v>
      </c>
    </row>
    <row r="389" spans="1:11" ht="60" x14ac:dyDescent="0.25">
      <c r="A389" s="28" t="s">
        <v>1534</v>
      </c>
      <c r="B389" s="28" t="s">
        <v>1535</v>
      </c>
      <c r="C389" s="28">
        <v>3</v>
      </c>
      <c r="D389" s="28" t="s">
        <v>15</v>
      </c>
      <c r="E389" s="28" t="s">
        <v>131</v>
      </c>
      <c r="F389" s="30" t="s">
        <v>3675</v>
      </c>
      <c r="H389" s="28" t="s">
        <v>381</v>
      </c>
      <c r="J389" s="28" t="s">
        <v>2232</v>
      </c>
      <c r="K389" s="28" t="s">
        <v>2987</v>
      </c>
    </row>
    <row r="390" spans="1:11" ht="60" x14ac:dyDescent="0.25">
      <c r="A390" s="28" t="s">
        <v>1536</v>
      </c>
      <c r="B390" s="28" t="s">
        <v>1537</v>
      </c>
      <c r="C390" s="28">
        <v>3</v>
      </c>
      <c r="D390" s="28" t="s">
        <v>1538</v>
      </c>
      <c r="E390" s="28" t="s">
        <v>131</v>
      </c>
      <c r="F390" s="30" t="s">
        <v>3675</v>
      </c>
      <c r="H390" s="28" t="s">
        <v>381</v>
      </c>
      <c r="J390" s="28" t="s">
        <v>2232</v>
      </c>
      <c r="K390" s="28" t="s">
        <v>2987</v>
      </c>
    </row>
    <row r="391" spans="1:11" ht="60" x14ac:dyDescent="0.25">
      <c r="A391" s="28" t="s">
        <v>1539</v>
      </c>
      <c r="B391" s="28" t="s">
        <v>1540</v>
      </c>
      <c r="C391" s="28">
        <v>3</v>
      </c>
      <c r="D391" s="28" t="s">
        <v>1541</v>
      </c>
      <c r="E391" s="28" t="s">
        <v>131</v>
      </c>
      <c r="F391" s="30" t="s">
        <v>3675</v>
      </c>
      <c r="H391" s="28" t="s">
        <v>381</v>
      </c>
      <c r="J391" s="28" t="s">
        <v>2232</v>
      </c>
      <c r="K391" s="28" t="s">
        <v>2987</v>
      </c>
    </row>
    <row r="392" spans="1:11" ht="60" x14ac:dyDescent="0.25">
      <c r="A392" s="28" t="s">
        <v>1542</v>
      </c>
      <c r="B392" s="28" t="s">
        <v>1543</v>
      </c>
      <c r="C392" s="28">
        <v>3</v>
      </c>
      <c r="D392" s="28" t="s">
        <v>2278</v>
      </c>
      <c r="E392" s="28" t="s">
        <v>131</v>
      </c>
      <c r="F392" s="30" t="s">
        <v>3675</v>
      </c>
      <c r="H392" s="28" t="s">
        <v>381</v>
      </c>
      <c r="J392" s="28" t="s">
        <v>2232</v>
      </c>
      <c r="K392" s="28" t="s">
        <v>2988</v>
      </c>
    </row>
    <row r="393" spans="1:11" ht="60" x14ac:dyDescent="0.25">
      <c r="A393" s="28" t="s">
        <v>1544</v>
      </c>
      <c r="B393" s="28" t="s">
        <v>1545</v>
      </c>
      <c r="C393" s="28">
        <v>3</v>
      </c>
      <c r="D393" s="28" t="s">
        <v>1546</v>
      </c>
      <c r="E393" s="28" t="s">
        <v>131</v>
      </c>
      <c r="F393" s="30" t="s">
        <v>3675</v>
      </c>
      <c r="H393" s="28" t="s">
        <v>381</v>
      </c>
      <c r="J393" s="28" t="s">
        <v>2232</v>
      </c>
      <c r="K393" s="28" t="s">
        <v>2988</v>
      </c>
    </row>
    <row r="394" spans="1:11" ht="60" x14ac:dyDescent="0.25">
      <c r="A394" s="28" t="s">
        <v>1547</v>
      </c>
      <c r="B394" s="28" t="s">
        <v>1548</v>
      </c>
      <c r="C394" s="28">
        <v>3</v>
      </c>
      <c r="D394" s="28" t="s">
        <v>1549</v>
      </c>
      <c r="E394" s="28" t="s">
        <v>131</v>
      </c>
      <c r="F394" s="30" t="s">
        <v>3675</v>
      </c>
      <c r="H394" s="28" t="s">
        <v>381</v>
      </c>
      <c r="J394" s="28" t="s">
        <v>2232</v>
      </c>
    </row>
    <row r="395" spans="1:11" ht="60" x14ac:dyDescent="0.25">
      <c r="A395" s="28" t="s">
        <v>1550</v>
      </c>
      <c r="B395" s="28">
        <v>17.8</v>
      </c>
      <c r="C395" s="28">
        <v>2</v>
      </c>
      <c r="D395" s="9" t="s">
        <v>225</v>
      </c>
      <c r="E395" s="28" t="s">
        <v>3443</v>
      </c>
      <c r="F395" s="30" t="s">
        <v>3675</v>
      </c>
      <c r="H395" s="28" t="s">
        <v>381</v>
      </c>
      <c r="J395" s="28" t="s">
        <v>2232</v>
      </c>
      <c r="K395" s="28" t="s">
        <v>2989</v>
      </c>
    </row>
    <row r="396" spans="1:11" ht="60" x14ac:dyDescent="0.25">
      <c r="A396" s="28" t="s">
        <v>3484</v>
      </c>
      <c r="B396" s="28" t="s">
        <v>1552</v>
      </c>
      <c r="C396" s="28">
        <v>3</v>
      </c>
      <c r="D396" s="28" t="s">
        <v>3483</v>
      </c>
      <c r="E396" s="28" t="s">
        <v>139</v>
      </c>
      <c r="F396" s="30" t="s">
        <v>3675</v>
      </c>
      <c r="J396" s="28" t="s">
        <v>2232</v>
      </c>
      <c r="K396" s="28" t="s">
        <v>2989</v>
      </c>
    </row>
    <row r="397" spans="1:11" ht="60" x14ac:dyDescent="0.25">
      <c r="A397" s="28" t="s">
        <v>1551</v>
      </c>
      <c r="B397" s="28" t="s">
        <v>1554</v>
      </c>
      <c r="C397" s="28">
        <v>3</v>
      </c>
      <c r="D397" s="28" t="s">
        <v>13</v>
      </c>
      <c r="E397" s="28" t="s">
        <v>131</v>
      </c>
      <c r="F397" s="30" t="s">
        <v>3675</v>
      </c>
      <c r="H397" s="28" t="s">
        <v>381</v>
      </c>
      <c r="J397" s="28" t="s">
        <v>2232</v>
      </c>
      <c r="K397" s="28" t="s">
        <v>2990</v>
      </c>
    </row>
    <row r="398" spans="1:11" ht="60" x14ac:dyDescent="0.25">
      <c r="A398" s="28" t="s">
        <v>1553</v>
      </c>
      <c r="B398" s="28" t="s">
        <v>1556</v>
      </c>
      <c r="C398" s="28">
        <v>3</v>
      </c>
      <c r="D398" s="28" t="s">
        <v>12</v>
      </c>
      <c r="E398" s="28" t="s">
        <v>131</v>
      </c>
      <c r="F398" s="30" t="s">
        <v>3675</v>
      </c>
      <c r="H398" s="28" t="s">
        <v>381</v>
      </c>
      <c r="J398" s="28" t="s">
        <v>2232</v>
      </c>
      <c r="K398" s="28" t="s">
        <v>2991</v>
      </c>
    </row>
    <row r="399" spans="1:11" ht="60" x14ac:dyDescent="0.25">
      <c r="A399" s="28" t="s">
        <v>1555</v>
      </c>
      <c r="B399" s="28" t="s">
        <v>1559</v>
      </c>
      <c r="C399" s="28">
        <v>3</v>
      </c>
      <c r="D399" s="28" t="s">
        <v>1557</v>
      </c>
      <c r="E399" s="28" t="s">
        <v>131</v>
      </c>
      <c r="F399" s="30" t="s">
        <v>3675</v>
      </c>
      <c r="H399" s="28" t="s">
        <v>381</v>
      </c>
      <c r="J399" s="28" t="s">
        <v>2232</v>
      </c>
      <c r="K399" s="28" t="s">
        <v>2992</v>
      </c>
    </row>
    <row r="400" spans="1:11" ht="60" x14ac:dyDescent="0.25">
      <c r="A400" s="28" t="s">
        <v>1558</v>
      </c>
      <c r="B400" s="28" t="s">
        <v>3485</v>
      </c>
      <c r="C400" s="28">
        <v>3</v>
      </c>
      <c r="D400" s="28" t="s">
        <v>2279</v>
      </c>
      <c r="E400" s="28" t="s">
        <v>131</v>
      </c>
      <c r="F400" s="30" t="s">
        <v>3675</v>
      </c>
      <c r="H400" s="28" t="s">
        <v>381</v>
      </c>
      <c r="J400" s="28" t="s">
        <v>2232</v>
      </c>
      <c r="K400" s="28" t="s">
        <v>2993</v>
      </c>
    </row>
    <row r="401" spans="1:11" ht="60" x14ac:dyDescent="0.25">
      <c r="A401" s="28" t="s">
        <v>1560</v>
      </c>
      <c r="B401" s="28">
        <v>17.899999999999999</v>
      </c>
      <c r="C401" s="28">
        <v>2</v>
      </c>
      <c r="D401" s="9" t="s">
        <v>1561</v>
      </c>
      <c r="E401" s="28" t="s">
        <v>3443</v>
      </c>
      <c r="F401" s="30" t="s">
        <v>3675</v>
      </c>
      <c r="H401" s="28" t="s">
        <v>381</v>
      </c>
      <c r="J401" s="28" t="s">
        <v>2232</v>
      </c>
      <c r="K401" s="28" t="s">
        <v>2989</v>
      </c>
    </row>
    <row r="402" spans="1:11" ht="60" x14ac:dyDescent="0.25">
      <c r="A402" s="28" t="s">
        <v>1562</v>
      </c>
      <c r="B402" s="28" t="s">
        <v>1563</v>
      </c>
      <c r="C402" s="28">
        <v>3</v>
      </c>
      <c r="D402" s="28" t="s">
        <v>14</v>
      </c>
      <c r="E402" s="28" t="s">
        <v>131</v>
      </c>
      <c r="F402" s="30" t="s">
        <v>3675</v>
      </c>
      <c r="H402" s="28" t="s">
        <v>381</v>
      </c>
      <c r="J402" s="28" t="s">
        <v>2232</v>
      </c>
      <c r="K402" s="28" t="s">
        <v>2994</v>
      </c>
    </row>
    <row r="403" spans="1:11" ht="60" x14ac:dyDescent="0.25">
      <c r="A403" s="28" t="s">
        <v>1564</v>
      </c>
      <c r="B403" s="28" t="s">
        <v>1565</v>
      </c>
      <c r="C403" s="28">
        <v>3</v>
      </c>
      <c r="D403" s="28" t="s">
        <v>1566</v>
      </c>
      <c r="E403" s="28" t="s">
        <v>131</v>
      </c>
      <c r="F403" s="30" t="s">
        <v>3675</v>
      </c>
      <c r="H403" s="28" t="s">
        <v>381</v>
      </c>
      <c r="J403" s="28" t="s">
        <v>2232</v>
      </c>
      <c r="K403" s="28" t="s">
        <v>2995</v>
      </c>
    </row>
    <row r="404" spans="1:11" ht="60" x14ac:dyDescent="0.25">
      <c r="A404" s="28" t="s">
        <v>1567</v>
      </c>
      <c r="B404" s="28" t="s">
        <v>1568</v>
      </c>
      <c r="C404" s="28">
        <v>3</v>
      </c>
      <c r="D404" s="28" t="s">
        <v>9</v>
      </c>
      <c r="E404" s="28" t="s">
        <v>131</v>
      </c>
      <c r="F404" s="30" t="s">
        <v>3675</v>
      </c>
      <c r="H404" s="28" t="s">
        <v>381</v>
      </c>
      <c r="J404" s="28" t="s">
        <v>2232</v>
      </c>
      <c r="K404" s="28" t="s">
        <v>2996</v>
      </c>
    </row>
    <row r="405" spans="1:11" ht="60" x14ac:dyDescent="0.25">
      <c r="A405" s="28" t="s">
        <v>1569</v>
      </c>
      <c r="B405" s="28" t="s">
        <v>1570</v>
      </c>
      <c r="C405" s="28">
        <v>3</v>
      </c>
      <c r="D405" s="28" t="s">
        <v>1571</v>
      </c>
      <c r="E405" s="28" t="s">
        <v>131</v>
      </c>
      <c r="F405" s="30" t="s">
        <v>3675</v>
      </c>
      <c r="H405" s="28" t="s">
        <v>381</v>
      </c>
      <c r="J405" s="28" t="s">
        <v>2232</v>
      </c>
      <c r="K405" s="28" t="s">
        <v>2997</v>
      </c>
    </row>
    <row r="406" spans="1:11" ht="60" x14ac:dyDescent="0.25">
      <c r="A406" s="28" t="s">
        <v>1572</v>
      </c>
      <c r="B406" s="28">
        <v>17.11</v>
      </c>
      <c r="C406" s="28">
        <v>2</v>
      </c>
      <c r="D406" s="9" t="s">
        <v>1573</v>
      </c>
      <c r="E406" s="28" t="s">
        <v>3443</v>
      </c>
      <c r="F406" s="30" t="s">
        <v>3675</v>
      </c>
      <c r="H406" s="28" t="s">
        <v>381</v>
      </c>
      <c r="J406" s="28" t="s">
        <v>2232</v>
      </c>
    </row>
    <row r="407" spans="1:11" ht="60" x14ac:dyDescent="0.25">
      <c r="A407" s="28" t="s">
        <v>1574</v>
      </c>
      <c r="B407" s="28" t="s">
        <v>1575</v>
      </c>
      <c r="C407" s="28">
        <v>3</v>
      </c>
      <c r="D407" s="28" t="s">
        <v>1576</v>
      </c>
      <c r="E407" s="28" t="s">
        <v>131</v>
      </c>
      <c r="F407" s="30" t="s">
        <v>3675</v>
      </c>
      <c r="H407" s="28" t="s">
        <v>381</v>
      </c>
      <c r="J407" s="28" t="s">
        <v>2232</v>
      </c>
      <c r="K407" s="28" t="s">
        <v>2998</v>
      </c>
    </row>
    <row r="408" spans="1:11" ht="75" x14ac:dyDescent="0.25">
      <c r="A408" s="28" t="s">
        <v>1577</v>
      </c>
      <c r="B408" s="28" t="s">
        <v>1578</v>
      </c>
      <c r="C408" s="28">
        <v>3</v>
      </c>
      <c r="D408" s="30" t="s">
        <v>1579</v>
      </c>
      <c r="E408" s="28" t="s">
        <v>131</v>
      </c>
      <c r="F408" s="30" t="s">
        <v>3675</v>
      </c>
      <c r="H408" s="28" t="s">
        <v>381</v>
      </c>
      <c r="J408" s="28" t="s">
        <v>2232</v>
      </c>
      <c r="K408" s="28" t="s">
        <v>2999</v>
      </c>
    </row>
    <row r="409" spans="1:11" ht="60" x14ac:dyDescent="0.25">
      <c r="A409" s="28" t="s">
        <v>1580</v>
      </c>
      <c r="B409" s="28" t="s">
        <v>1581</v>
      </c>
      <c r="C409" s="28">
        <v>3</v>
      </c>
      <c r="D409" s="28" t="s">
        <v>1582</v>
      </c>
      <c r="E409" s="28" t="s">
        <v>131</v>
      </c>
      <c r="F409" s="30" t="s">
        <v>3675</v>
      </c>
      <c r="H409" s="28" t="s">
        <v>381</v>
      </c>
      <c r="J409" s="28" t="s">
        <v>2232</v>
      </c>
      <c r="K409" s="28" t="s">
        <v>3000</v>
      </c>
    </row>
    <row r="410" spans="1:11" ht="60" x14ac:dyDescent="0.25">
      <c r="A410" s="28" t="s">
        <v>1583</v>
      </c>
      <c r="B410" s="28" t="s">
        <v>1584</v>
      </c>
      <c r="C410" s="28">
        <v>3</v>
      </c>
      <c r="D410" s="28" t="s">
        <v>1585</v>
      </c>
      <c r="E410" s="28" t="s">
        <v>131</v>
      </c>
      <c r="F410" s="30" t="s">
        <v>3675</v>
      </c>
      <c r="H410" s="28" t="s">
        <v>381</v>
      </c>
      <c r="J410" s="28" t="s">
        <v>2232</v>
      </c>
      <c r="K410" s="28" t="s">
        <v>3001</v>
      </c>
    </row>
    <row r="411" spans="1:11" ht="75" x14ac:dyDescent="0.25">
      <c r="A411" s="28" t="s">
        <v>1586</v>
      </c>
      <c r="B411" s="28">
        <v>18</v>
      </c>
      <c r="C411" s="28">
        <v>1</v>
      </c>
      <c r="D411" s="9" t="s">
        <v>384</v>
      </c>
      <c r="E411" s="28" t="s">
        <v>3443</v>
      </c>
      <c r="F411" s="30" t="s">
        <v>3673</v>
      </c>
      <c r="H411" s="28" t="s">
        <v>383</v>
      </c>
      <c r="J411" s="28" t="s">
        <v>2232</v>
      </c>
    </row>
    <row r="412" spans="1:11" ht="75" x14ac:dyDescent="0.25">
      <c r="A412" s="28" t="s">
        <v>1587</v>
      </c>
      <c r="B412" s="28">
        <v>18.100000000000001</v>
      </c>
      <c r="C412" s="28">
        <v>2</v>
      </c>
      <c r="D412" s="9" t="s">
        <v>1588</v>
      </c>
      <c r="E412" s="28" t="s">
        <v>3443</v>
      </c>
      <c r="F412" s="30" t="s">
        <v>3673</v>
      </c>
      <c r="H412" s="28" t="s">
        <v>386</v>
      </c>
      <c r="J412" s="28" t="s">
        <v>2232</v>
      </c>
    </row>
    <row r="413" spans="1:11" ht="75" x14ac:dyDescent="0.25">
      <c r="A413" s="28" t="s">
        <v>1589</v>
      </c>
      <c r="B413" s="28" t="s">
        <v>1590</v>
      </c>
      <c r="C413" s="28">
        <v>3</v>
      </c>
      <c r="D413" s="28" t="s">
        <v>387</v>
      </c>
      <c r="E413" s="28" t="s">
        <v>131</v>
      </c>
      <c r="F413" s="30" t="s">
        <v>3673</v>
      </c>
      <c r="H413" s="28" t="s">
        <v>386</v>
      </c>
      <c r="J413" s="28" t="s">
        <v>2232</v>
      </c>
      <c r="K413" s="28" t="s">
        <v>3002</v>
      </c>
    </row>
    <row r="414" spans="1:11" ht="75" x14ac:dyDescent="0.25">
      <c r="A414" s="28" t="s">
        <v>1591</v>
      </c>
      <c r="B414" s="28" t="s">
        <v>1592</v>
      </c>
      <c r="C414" s="28">
        <v>3</v>
      </c>
      <c r="D414" s="28" t="s">
        <v>1593</v>
      </c>
      <c r="E414" s="28" t="s">
        <v>131</v>
      </c>
      <c r="F414" s="30" t="s">
        <v>3673</v>
      </c>
      <c r="H414" s="28" t="s">
        <v>386</v>
      </c>
      <c r="J414" s="28" t="s">
        <v>2232</v>
      </c>
      <c r="K414" s="28" t="s">
        <v>3003</v>
      </c>
    </row>
    <row r="415" spans="1:11" ht="75" x14ac:dyDescent="0.25">
      <c r="A415" s="28" t="s">
        <v>1594</v>
      </c>
      <c r="B415" s="28" t="s">
        <v>1595</v>
      </c>
      <c r="C415" s="28">
        <v>3</v>
      </c>
      <c r="D415" s="28" t="s">
        <v>1596</v>
      </c>
      <c r="E415" s="28" t="s">
        <v>139</v>
      </c>
      <c r="F415" s="30" t="s">
        <v>3673</v>
      </c>
      <c r="H415" s="28" t="s">
        <v>386</v>
      </c>
      <c r="J415" s="28" t="s">
        <v>2232</v>
      </c>
    </row>
    <row r="416" spans="1:11" ht="75" x14ac:dyDescent="0.25">
      <c r="A416" s="28" t="s">
        <v>1597</v>
      </c>
      <c r="B416" s="28">
        <v>18.2</v>
      </c>
      <c r="C416" s="28">
        <v>2</v>
      </c>
      <c r="D416" s="9" t="s">
        <v>94</v>
      </c>
      <c r="E416" s="28" t="s">
        <v>3443</v>
      </c>
      <c r="F416" s="30" t="s">
        <v>3673</v>
      </c>
      <c r="H416" s="28" t="s">
        <v>388</v>
      </c>
      <c r="J416" s="28" t="s">
        <v>2232</v>
      </c>
    </row>
    <row r="417" spans="1:11" ht="75" x14ac:dyDescent="0.25">
      <c r="A417" s="28" t="s">
        <v>1598</v>
      </c>
      <c r="B417" s="28" t="s">
        <v>1599</v>
      </c>
      <c r="C417" s="28">
        <v>3</v>
      </c>
      <c r="D417" s="28" t="s">
        <v>1600</v>
      </c>
      <c r="E417" s="28" t="s">
        <v>131</v>
      </c>
      <c r="F417" s="30" t="s">
        <v>3673</v>
      </c>
      <c r="H417" s="28" t="s">
        <v>388</v>
      </c>
      <c r="J417" s="28" t="s">
        <v>2232</v>
      </c>
      <c r="K417" s="28" t="s">
        <v>3004</v>
      </c>
    </row>
    <row r="418" spans="1:11" ht="75" x14ac:dyDescent="0.25">
      <c r="A418" s="28" t="s">
        <v>1601</v>
      </c>
      <c r="B418" s="28">
        <v>18.3</v>
      </c>
      <c r="C418" s="28">
        <v>2</v>
      </c>
      <c r="D418" s="9" t="s">
        <v>1602</v>
      </c>
      <c r="E418" s="28" t="s">
        <v>3443</v>
      </c>
      <c r="F418" s="30" t="s">
        <v>3673</v>
      </c>
      <c r="H418" s="28" t="s">
        <v>391</v>
      </c>
      <c r="J418" s="28" t="s">
        <v>2232</v>
      </c>
    </row>
    <row r="419" spans="1:11" ht="75" x14ac:dyDescent="0.25">
      <c r="A419" s="28" t="s">
        <v>1603</v>
      </c>
      <c r="B419" s="28" t="s">
        <v>1604</v>
      </c>
      <c r="C419" s="28">
        <v>2</v>
      </c>
      <c r="D419" s="28" t="s">
        <v>1605</v>
      </c>
      <c r="E419" s="28" t="s">
        <v>131</v>
      </c>
      <c r="F419" s="30" t="s">
        <v>3673</v>
      </c>
      <c r="H419" s="28" t="s">
        <v>391</v>
      </c>
      <c r="J419" s="28" t="s">
        <v>2232</v>
      </c>
      <c r="K419" s="28" t="s">
        <v>3005</v>
      </c>
    </row>
    <row r="420" spans="1:11" ht="75" x14ac:dyDescent="0.25">
      <c r="A420" s="28" t="s">
        <v>798</v>
      </c>
      <c r="B420" s="28">
        <v>19</v>
      </c>
      <c r="C420" s="28">
        <v>1</v>
      </c>
      <c r="D420" s="9" t="s">
        <v>395</v>
      </c>
      <c r="E420" s="28" t="s">
        <v>3443</v>
      </c>
      <c r="F420" s="30" t="s">
        <v>3673</v>
      </c>
      <c r="H420" s="28" t="s">
        <v>398</v>
      </c>
      <c r="J420" s="28" t="s">
        <v>2232</v>
      </c>
    </row>
    <row r="421" spans="1:11" ht="75" x14ac:dyDescent="0.25">
      <c r="A421" s="28" t="s">
        <v>799</v>
      </c>
      <c r="B421" s="28" t="s">
        <v>2511</v>
      </c>
      <c r="C421" s="28">
        <v>2</v>
      </c>
      <c r="D421" s="28" t="s">
        <v>800</v>
      </c>
      <c r="E421" s="28" t="s">
        <v>131</v>
      </c>
      <c r="F421" s="30" t="s">
        <v>3673</v>
      </c>
      <c r="H421" s="28" t="s">
        <v>398</v>
      </c>
      <c r="J421" s="28" t="s">
        <v>2232</v>
      </c>
      <c r="K421" s="28" t="s">
        <v>3006</v>
      </c>
    </row>
    <row r="422" spans="1:11" ht="75" x14ac:dyDescent="0.25">
      <c r="A422" s="28" t="s">
        <v>1606</v>
      </c>
      <c r="B422" s="28">
        <v>20</v>
      </c>
      <c r="C422" s="28">
        <v>1</v>
      </c>
      <c r="D422" s="9" t="s">
        <v>400</v>
      </c>
      <c r="E422" s="28" t="s">
        <v>3443</v>
      </c>
      <c r="F422" s="30" t="s">
        <v>3673</v>
      </c>
      <c r="H422" s="28" t="s">
        <v>399</v>
      </c>
      <c r="J422" s="28" t="s">
        <v>2232</v>
      </c>
    </row>
    <row r="423" spans="1:11" ht="75" x14ac:dyDescent="0.25">
      <c r="A423" s="28" t="s">
        <v>1607</v>
      </c>
      <c r="B423" s="28">
        <v>20.100000000000001</v>
      </c>
      <c r="C423" s="28">
        <v>2</v>
      </c>
      <c r="D423" s="9" t="s">
        <v>3486</v>
      </c>
      <c r="E423" s="28" t="s">
        <v>3443</v>
      </c>
      <c r="F423" s="30" t="s">
        <v>3673</v>
      </c>
      <c r="H423" s="28" t="s">
        <v>402</v>
      </c>
      <c r="J423" s="28" t="s">
        <v>2232</v>
      </c>
      <c r="K423" s="28" t="s">
        <v>3007</v>
      </c>
    </row>
    <row r="424" spans="1:11" ht="75" x14ac:dyDescent="0.25">
      <c r="A424" s="28" t="s">
        <v>3487</v>
      </c>
      <c r="B424" s="28" t="s">
        <v>3488</v>
      </c>
      <c r="C424" s="28">
        <v>3</v>
      </c>
      <c r="D424" s="28" t="s">
        <v>3489</v>
      </c>
      <c r="E424" s="28" t="s">
        <v>139</v>
      </c>
      <c r="F424" s="30" t="s">
        <v>3673</v>
      </c>
      <c r="J424" s="28" t="s">
        <v>2232</v>
      </c>
      <c r="K424" s="28" t="s">
        <v>3007</v>
      </c>
    </row>
    <row r="425" spans="1:11" ht="75" x14ac:dyDescent="0.25">
      <c r="A425" s="28" t="s">
        <v>1608</v>
      </c>
      <c r="B425" s="28" t="s">
        <v>2512</v>
      </c>
      <c r="C425" s="28">
        <v>3</v>
      </c>
      <c r="D425" s="9" t="s">
        <v>1609</v>
      </c>
      <c r="E425" s="28" t="s">
        <v>3443</v>
      </c>
      <c r="F425" s="30" t="s">
        <v>3673</v>
      </c>
      <c r="H425" s="28" t="s">
        <v>402</v>
      </c>
      <c r="J425" s="28" t="s">
        <v>2232</v>
      </c>
    </row>
    <row r="426" spans="1:11" ht="75" x14ac:dyDescent="0.25">
      <c r="A426" s="28" t="s">
        <v>1610</v>
      </c>
      <c r="B426" s="28" t="s">
        <v>2513</v>
      </c>
      <c r="C426" s="28">
        <v>4</v>
      </c>
      <c r="D426" s="28" t="s">
        <v>35</v>
      </c>
      <c r="E426" s="28" t="s">
        <v>131</v>
      </c>
      <c r="F426" s="30" t="s">
        <v>3673</v>
      </c>
      <c r="H426" s="28" t="s">
        <v>402</v>
      </c>
      <c r="J426" s="28" t="s">
        <v>2232</v>
      </c>
      <c r="K426" s="28" t="s">
        <v>3008</v>
      </c>
    </row>
    <row r="427" spans="1:11" ht="75" x14ac:dyDescent="0.25">
      <c r="A427" s="28" t="s">
        <v>1611</v>
      </c>
      <c r="B427" s="28" t="s">
        <v>2514</v>
      </c>
      <c r="C427" s="28">
        <v>4</v>
      </c>
      <c r="D427" s="28" t="s">
        <v>1612</v>
      </c>
      <c r="E427" s="28" t="s">
        <v>131</v>
      </c>
      <c r="F427" s="30" t="s">
        <v>3673</v>
      </c>
      <c r="H427" s="28" t="s">
        <v>402</v>
      </c>
      <c r="J427" s="28" t="s">
        <v>2232</v>
      </c>
      <c r="K427" s="28" t="s">
        <v>3009</v>
      </c>
    </row>
    <row r="428" spans="1:11" ht="75" x14ac:dyDescent="0.25">
      <c r="A428" s="28" t="s">
        <v>1613</v>
      </c>
      <c r="B428" s="28" t="s">
        <v>2515</v>
      </c>
      <c r="C428" s="28">
        <v>4</v>
      </c>
      <c r="D428" s="28" t="s">
        <v>1614</v>
      </c>
      <c r="E428" s="28" t="s">
        <v>131</v>
      </c>
      <c r="F428" s="30" t="s">
        <v>3673</v>
      </c>
      <c r="H428" s="28" t="s">
        <v>402</v>
      </c>
      <c r="J428" s="28" t="s">
        <v>2232</v>
      </c>
      <c r="K428" s="28" t="s">
        <v>3010</v>
      </c>
    </row>
    <row r="429" spans="1:11" ht="75" x14ac:dyDescent="0.25">
      <c r="A429" s="28" t="s">
        <v>1615</v>
      </c>
      <c r="B429" s="28" t="s">
        <v>2516</v>
      </c>
      <c r="C429" s="28">
        <v>4</v>
      </c>
      <c r="D429" s="28" t="s">
        <v>1616</v>
      </c>
      <c r="E429" s="28" t="s">
        <v>131</v>
      </c>
      <c r="F429" s="30" t="s">
        <v>3673</v>
      </c>
      <c r="H429" s="28" t="s">
        <v>402</v>
      </c>
      <c r="J429" s="28" t="s">
        <v>2232</v>
      </c>
      <c r="K429" s="28" t="s">
        <v>3011</v>
      </c>
    </row>
    <row r="430" spans="1:11" x14ac:dyDescent="0.25">
      <c r="A430" s="28" t="s">
        <v>3706</v>
      </c>
      <c r="B430" s="28" t="s">
        <v>3707</v>
      </c>
      <c r="C430" s="28">
        <v>4</v>
      </c>
      <c r="D430" s="28" t="s">
        <v>3708</v>
      </c>
      <c r="E430" s="28" t="s">
        <v>131</v>
      </c>
      <c r="F430" s="28" t="s">
        <v>3692</v>
      </c>
      <c r="H430" s="28" t="s">
        <v>3709</v>
      </c>
      <c r="I430" s="28" t="s">
        <v>3680</v>
      </c>
      <c r="J430" s="28" t="s">
        <v>3419</v>
      </c>
    </row>
    <row r="431" spans="1:11" ht="150" x14ac:dyDescent="0.25">
      <c r="A431" s="28" t="s">
        <v>3710</v>
      </c>
      <c r="B431" s="28" t="s">
        <v>3711</v>
      </c>
      <c r="C431" s="28">
        <v>4</v>
      </c>
      <c r="D431" s="30" t="s">
        <v>3712</v>
      </c>
      <c r="E431" s="28" t="s">
        <v>131</v>
      </c>
      <c r="F431" s="28" t="s">
        <v>3692</v>
      </c>
      <c r="H431" s="28" t="s">
        <v>3709</v>
      </c>
      <c r="I431" s="28" t="s">
        <v>3680</v>
      </c>
      <c r="J431" s="28" t="s">
        <v>3419</v>
      </c>
    </row>
    <row r="432" spans="1:11" ht="75" x14ac:dyDescent="0.25">
      <c r="A432" s="28" t="s">
        <v>1617</v>
      </c>
      <c r="B432" s="28" t="s">
        <v>2517</v>
      </c>
      <c r="C432" s="28">
        <v>3</v>
      </c>
      <c r="D432" s="9" t="s">
        <v>1618</v>
      </c>
      <c r="E432" s="28" t="s">
        <v>3443</v>
      </c>
      <c r="F432" s="30" t="s">
        <v>3673</v>
      </c>
      <c r="H432" s="28" t="s">
        <v>402</v>
      </c>
      <c r="J432" s="28" t="s">
        <v>2232</v>
      </c>
    </row>
    <row r="433" spans="1:11" ht="75" x14ac:dyDescent="0.25">
      <c r="A433" s="28" t="s">
        <v>1619</v>
      </c>
      <c r="B433" s="28" t="s">
        <v>2518</v>
      </c>
      <c r="C433" s="28">
        <v>4</v>
      </c>
      <c r="D433" s="28" t="s">
        <v>1620</v>
      </c>
      <c r="E433" s="28" t="s">
        <v>131</v>
      </c>
      <c r="F433" s="30" t="s">
        <v>3673</v>
      </c>
      <c r="H433" s="28" t="s">
        <v>402</v>
      </c>
      <c r="J433" s="28" t="s">
        <v>2232</v>
      </c>
      <c r="K433" s="28" t="s">
        <v>3012</v>
      </c>
    </row>
    <row r="434" spans="1:11" ht="75" x14ac:dyDescent="0.25">
      <c r="A434" s="28" t="s">
        <v>1621</v>
      </c>
      <c r="B434" s="28" t="s">
        <v>2519</v>
      </c>
      <c r="C434" s="28">
        <v>3</v>
      </c>
      <c r="D434" s="9" t="s">
        <v>1622</v>
      </c>
      <c r="E434" s="28" t="s">
        <v>3443</v>
      </c>
      <c r="F434" s="30" t="s">
        <v>3673</v>
      </c>
      <c r="H434" s="28" t="s">
        <v>402</v>
      </c>
      <c r="J434" s="28" t="s">
        <v>2232</v>
      </c>
    </row>
    <row r="435" spans="1:11" ht="75" x14ac:dyDescent="0.25">
      <c r="A435" s="28" t="s">
        <v>1623</v>
      </c>
      <c r="B435" s="28" t="s">
        <v>2520</v>
      </c>
      <c r="C435" s="28">
        <v>4</v>
      </c>
      <c r="D435" s="28" t="s">
        <v>1624</v>
      </c>
      <c r="E435" s="28" t="s">
        <v>131</v>
      </c>
      <c r="F435" s="30" t="s">
        <v>3673</v>
      </c>
      <c r="H435" s="28" t="s">
        <v>402</v>
      </c>
      <c r="J435" s="28" t="s">
        <v>2232</v>
      </c>
      <c r="K435" s="28" t="s">
        <v>3013</v>
      </c>
    </row>
    <row r="436" spans="1:11" ht="75" x14ac:dyDescent="0.25">
      <c r="A436" s="28" t="s">
        <v>1625</v>
      </c>
      <c r="B436" s="28" t="s">
        <v>2521</v>
      </c>
      <c r="C436" s="28">
        <v>4</v>
      </c>
      <c r="D436" s="28" t="s">
        <v>1626</v>
      </c>
      <c r="E436" s="28" t="s">
        <v>131</v>
      </c>
      <c r="F436" s="30" t="s">
        <v>3673</v>
      </c>
      <c r="H436" s="28" t="s">
        <v>402</v>
      </c>
      <c r="J436" s="28" t="s">
        <v>2232</v>
      </c>
      <c r="K436" s="28" t="s">
        <v>3014</v>
      </c>
    </row>
    <row r="437" spans="1:11" ht="75" x14ac:dyDescent="0.25">
      <c r="A437" s="28" t="s">
        <v>1627</v>
      </c>
      <c r="B437" s="28" t="s">
        <v>2522</v>
      </c>
      <c r="C437" s="28">
        <v>4</v>
      </c>
      <c r="D437" s="28" t="s">
        <v>1628</v>
      </c>
      <c r="E437" s="28" t="s">
        <v>131</v>
      </c>
      <c r="F437" s="30" t="s">
        <v>3673</v>
      </c>
      <c r="H437" s="28" t="s">
        <v>402</v>
      </c>
      <c r="J437" s="28" t="s">
        <v>2232</v>
      </c>
      <c r="K437" s="28" t="s">
        <v>3015</v>
      </c>
    </row>
    <row r="438" spans="1:11" ht="75" x14ac:dyDescent="0.25">
      <c r="A438" s="28" t="s">
        <v>1629</v>
      </c>
      <c r="B438" s="28" t="s">
        <v>2523</v>
      </c>
      <c r="C438" s="28">
        <v>4</v>
      </c>
      <c r="D438" s="28" t="s">
        <v>1630</v>
      </c>
      <c r="E438" s="28" t="s">
        <v>131</v>
      </c>
      <c r="F438" s="30" t="s">
        <v>3673</v>
      </c>
      <c r="H438" s="28" t="s">
        <v>402</v>
      </c>
      <c r="J438" s="28" t="s">
        <v>2232</v>
      </c>
      <c r="K438" s="28" t="s">
        <v>3016</v>
      </c>
    </row>
    <row r="439" spans="1:11" ht="75" x14ac:dyDescent="0.25">
      <c r="A439" s="28" t="s">
        <v>1631</v>
      </c>
      <c r="B439" s="28" t="s">
        <v>2524</v>
      </c>
      <c r="C439" s="28">
        <v>4</v>
      </c>
      <c r="D439" s="28" t="s">
        <v>1632</v>
      </c>
      <c r="E439" s="28" t="s">
        <v>131</v>
      </c>
      <c r="F439" s="30" t="s">
        <v>3673</v>
      </c>
      <c r="H439" s="28" t="s">
        <v>402</v>
      </c>
      <c r="J439" s="28" t="s">
        <v>2232</v>
      </c>
      <c r="K439" s="28" t="s">
        <v>3017</v>
      </c>
    </row>
    <row r="440" spans="1:11" ht="75" x14ac:dyDescent="0.25">
      <c r="A440" s="28" t="s">
        <v>1633</v>
      </c>
      <c r="B440" s="28" t="s">
        <v>2525</v>
      </c>
      <c r="C440" s="28">
        <v>3</v>
      </c>
      <c r="D440" s="9" t="s">
        <v>1634</v>
      </c>
      <c r="E440" s="28" t="s">
        <v>3443</v>
      </c>
      <c r="F440" s="30" t="s">
        <v>3673</v>
      </c>
      <c r="H440" s="28" t="s">
        <v>402</v>
      </c>
      <c r="J440" s="28" t="s">
        <v>2232</v>
      </c>
    </row>
    <row r="441" spans="1:11" ht="75" x14ac:dyDescent="0.25">
      <c r="A441" s="28" t="s">
        <v>1635</v>
      </c>
      <c r="B441" s="28" t="s">
        <v>2526</v>
      </c>
      <c r="C441" s="28">
        <v>4</v>
      </c>
      <c r="D441" s="28" t="s">
        <v>1636</v>
      </c>
      <c r="E441" s="28" t="s">
        <v>131</v>
      </c>
      <c r="F441" s="30" t="s">
        <v>3673</v>
      </c>
      <c r="H441" s="28" t="s">
        <v>402</v>
      </c>
      <c r="J441" s="28" t="s">
        <v>2232</v>
      </c>
    </row>
    <row r="442" spans="1:11" ht="75" x14ac:dyDescent="0.25">
      <c r="A442" s="28" t="s">
        <v>1637</v>
      </c>
      <c r="B442" s="28" t="s">
        <v>2527</v>
      </c>
      <c r="C442" s="28">
        <v>4</v>
      </c>
      <c r="D442" s="28" t="s">
        <v>1638</v>
      </c>
      <c r="E442" s="28" t="s">
        <v>131</v>
      </c>
      <c r="F442" s="30" t="s">
        <v>3673</v>
      </c>
      <c r="H442" s="28" t="s">
        <v>402</v>
      </c>
      <c r="J442" s="28" t="s">
        <v>2232</v>
      </c>
      <c r="K442" s="28" t="s">
        <v>3018</v>
      </c>
    </row>
    <row r="443" spans="1:11" ht="75" x14ac:dyDescent="0.25">
      <c r="A443" s="28" t="s">
        <v>1639</v>
      </c>
      <c r="B443" s="28" t="s">
        <v>2528</v>
      </c>
      <c r="C443" s="28">
        <v>4</v>
      </c>
      <c r="D443" s="28" t="s">
        <v>1640</v>
      </c>
      <c r="E443" s="28" t="s">
        <v>131</v>
      </c>
      <c r="F443" s="30" t="s">
        <v>3673</v>
      </c>
      <c r="H443" s="28" t="s">
        <v>402</v>
      </c>
      <c r="J443" s="28" t="s">
        <v>2232</v>
      </c>
      <c r="K443" s="28" t="s">
        <v>3019</v>
      </c>
    </row>
    <row r="444" spans="1:11" ht="75" x14ac:dyDescent="0.25">
      <c r="A444" s="28" t="s">
        <v>1641</v>
      </c>
      <c r="B444" s="28" t="s">
        <v>2529</v>
      </c>
      <c r="C444" s="28">
        <v>4</v>
      </c>
      <c r="D444" s="28" t="s">
        <v>1642</v>
      </c>
      <c r="E444" s="28" t="s">
        <v>131</v>
      </c>
      <c r="F444" s="30" t="s">
        <v>3673</v>
      </c>
      <c r="H444" s="28" t="s">
        <v>402</v>
      </c>
      <c r="J444" s="28" t="s">
        <v>2232</v>
      </c>
      <c r="K444" s="28" t="s">
        <v>3020</v>
      </c>
    </row>
    <row r="445" spans="1:11" ht="75" x14ac:dyDescent="0.25">
      <c r="A445" s="28" t="s">
        <v>1643</v>
      </c>
      <c r="B445" s="28" t="s">
        <v>2530</v>
      </c>
      <c r="C445" s="28">
        <v>3</v>
      </c>
      <c r="D445" s="9" t="s">
        <v>1644</v>
      </c>
      <c r="E445" s="28" t="s">
        <v>3443</v>
      </c>
      <c r="F445" s="30" t="s">
        <v>3673</v>
      </c>
      <c r="H445" s="28" t="s">
        <v>402</v>
      </c>
      <c r="J445" s="28" t="s">
        <v>2232</v>
      </c>
    </row>
    <row r="446" spans="1:11" ht="75" x14ac:dyDescent="0.25">
      <c r="A446" s="28" t="s">
        <v>1645</v>
      </c>
      <c r="B446" s="28" t="s">
        <v>2531</v>
      </c>
      <c r="C446" s="28">
        <v>4</v>
      </c>
      <c r="D446" s="28" t="s">
        <v>3562</v>
      </c>
      <c r="E446" s="28" t="s">
        <v>131</v>
      </c>
      <c r="F446" s="30" t="s">
        <v>3673</v>
      </c>
      <c r="H446" s="28" t="s">
        <v>402</v>
      </c>
      <c r="J446" s="28" t="s">
        <v>2232</v>
      </c>
      <c r="K446" s="28" t="s">
        <v>3021</v>
      </c>
    </row>
    <row r="447" spans="1:11" ht="75" x14ac:dyDescent="0.25">
      <c r="A447" s="28" t="s">
        <v>1646</v>
      </c>
      <c r="B447" s="28" t="s">
        <v>2532</v>
      </c>
      <c r="C447" s="28">
        <v>3</v>
      </c>
      <c r="D447" s="9" t="s">
        <v>1647</v>
      </c>
      <c r="E447" s="28" t="s">
        <v>3443</v>
      </c>
      <c r="F447" s="30" t="s">
        <v>3673</v>
      </c>
      <c r="H447" s="28" t="s">
        <v>402</v>
      </c>
      <c r="J447" s="28" t="s">
        <v>2232</v>
      </c>
    </row>
    <row r="448" spans="1:11" ht="75" x14ac:dyDescent="0.25">
      <c r="A448" s="28" t="s">
        <v>1648</v>
      </c>
      <c r="B448" s="28" t="s">
        <v>2533</v>
      </c>
      <c r="C448" s="28">
        <v>4</v>
      </c>
      <c r="D448" s="28" t="s">
        <v>1649</v>
      </c>
      <c r="E448" s="28" t="s">
        <v>131</v>
      </c>
      <c r="F448" s="30" t="s">
        <v>3673</v>
      </c>
      <c r="H448" s="28" t="s">
        <v>402</v>
      </c>
      <c r="J448" s="28" t="s">
        <v>2232</v>
      </c>
      <c r="K448" s="28" t="s">
        <v>3022</v>
      </c>
    </row>
    <row r="449" spans="1:11" ht="75" x14ac:dyDescent="0.25">
      <c r="A449" s="28" t="s">
        <v>1650</v>
      </c>
      <c r="B449" s="28" t="s">
        <v>2534</v>
      </c>
      <c r="C449" s="28">
        <v>4</v>
      </c>
      <c r="D449" s="28" t="s">
        <v>1651</v>
      </c>
      <c r="E449" s="28" t="s">
        <v>131</v>
      </c>
      <c r="F449" s="30" t="s">
        <v>3673</v>
      </c>
      <c r="H449" s="28" t="s">
        <v>402</v>
      </c>
      <c r="J449" s="28" t="s">
        <v>2232</v>
      </c>
      <c r="K449" s="28" t="s">
        <v>3023</v>
      </c>
    </row>
    <row r="450" spans="1:11" ht="75" x14ac:dyDescent="0.25">
      <c r="A450" s="28" t="s">
        <v>1652</v>
      </c>
      <c r="B450" s="28" t="s">
        <v>2535</v>
      </c>
      <c r="C450" s="28">
        <v>4</v>
      </c>
      <c r="D450" s="28" t="s">
        <v>1653</v>
      </c>
      <c r="E450" s="28" t="s">
        <v>131</v>
      </c>
      <c r="F450" s="30" t="s">
        <v>3673</v>
      </c>
      <c r="H450" s="28" t="s">
        <v>402</v>
      </c>
      <c r="J450" s="28" t="s">
        <v>2232</v>
      </c>
      <c r="K450" s="28" t="s">
        <v>3024</v>
      </c>
    </row>
    <row r="451" spans="1:11" ht="75" x14ac:dyDescent="0.25">
      <c r="A451" s="28" t="s">
        <v>1654</v>
      </c>
      <c r="B451" s="28" t="s">
        <v>2536</v>
      </c>
      <c r="C451" s="28">
        <v>4</v>
      </c>
      <c r="D451" s="28" t="s">
        <v>2280</v>
      </c>
      <c r="E451" s="28" t="s">
        <v>131</v>
      </c>
      <c r="F451" s="30" t="s">
        <v>3673</v>
      </c>
      <c r="H451" s="28" t="s">
        <v>402</v>
      </c>
      <c r="J451" s="28" t="s">
        <v>2232</v>
      </c>
      <c r="K451" s="28" t="s">
        <v>3025</v>
      </c>
    </row>
    <row r="452" spans="1:11" ht="75" x14ac:dyDescent="0.25">
      <c r="A452" s="28" t="s">
        <v>1655</v>
      </c>
      <c r="B452" s="28" t="s">
        <v>2537</v>
      </c>
      <c r="C452" s="28">
        <v>4</v>
      </c>
      <c r="D452" s="28" t="s">
        <v>1656</v>
      </c>
      <c r="E452" s="28" t="s">
        <v>131</v>
      </c>
      <c r="F452" s="30" t="s">
        <v>3673</v>
      </c>
      <c r="H452" s="28" t="s">
        <v>402</v>
      </c>
      <c r="J452" s="28" t="s">
        <v>2232</v>
      </c>
      <c r="K452" s="28" t="s">
        <v>3026</v>
      </c>
    </row>
    <row r="453" spans="1:11" ht="75" x14ac:dyDescent="0.25">
      <c r="A453" s="28" t="s">
        <v>1657</v>
      </c>
      <c r="B453" s="28" t="s">
        <v>2538</v>
      </c>
      <c r="C453" s="28">
        <v>4</v>
      </c>
      <c r="D453" s="28" t="s">
        <v>1658</v>
      </c>
      <c r="E453" s="28" t="s">
        <v>131</v>
      </c>
      <c r="F453" s="30" t="s">
        <v>3673</v>
      </c>
      <c r="H453" s="28" t="s">
        <v>402</v>
      </c>
      <c r="J453" s="28" t="s">
        <v>2232</v>
      </c>
      <c r="K453" s="28" t="s">
        <v>3027</v>
      </c>
    </row>
    <row r="454" spans="1:11" ht="75" x14ac:dyDescent="0.25">
      <c r="A454" s="28" t="s">
        <v>1659</v>
      </c>
      <c r="B454" s="28" t="s">
        <v>2539</v>
      </c>
      <c r="C454" s="28">
        <v>4</v>
      </c>
      <c r="D454" s="28" t="s">
        <v>1660</v>
      </c>
      <c r="E454" s="28" t="s">
        <v>131</v>
      </c>
      <c r="F454" s="30" t="s">
        <v>3673</v>
      </c>
      <c r="H454" s="28" t="s">
        <v>402</v>
      </c>
      <c r="J454" s="28" t="s">
        <v>2232</v>
      </c>
      <c r="K454" s="28" t="s">
        <v>3028</v>
      </c>
    </row>
    <row r="455" spans="1:11" ht="75" x14ac:dyDescent="0.25">
      <c r="A455" s="28" t="s">
        <v>1661</v>
      </c>
      <c r="B455" s="28" t="s">
        <v>2540</v>
      </c>
      <c r="C455" s="28">
        <v>4</v>
      </c>
      <c r="D455" s="28" t="s">
        <v>1662</v>
      </c>
      <c r="E455" s="28" t="s">
        <v>131</v>
      </c>
      <c r="F455" s="30" t="s">
        <v>3673</v>
      </c>
      <c r="H455" s="28" t="s">
        <v>402</v>
      </c>
      <c r="J455" s="28" t="s">
        <v>2232</v>
      </c>
      <c r="K455" s="28" t="s">
        <v>3029</v>
      </c>
    </row>
    <row r="456" spans="1:11" ht="75" x14ac:dyDescent="0.25">
      <c r="A456" s="28" t="s">
        <v>1663</v>
      </c>
      <c r="B456" s="28" t="s">
        <v>2541</v>
      </c>
      <c r="C456" s="28">
        <v>3</v>
      </c>
      <c r="D456" s="9" t="s">
        <v>1664</v>
      </c>
      <c r="E456" s="28" t="s">
        <v>3443</v>
      </c>
      <c r="F456" s="30" t="s">
        <v>3673</v>
      </c>
      <c r="H456" s="28" t="s">
        <v>402</v>
      </c>
      <c r="J456" s="28" t="s">
        <v>2232</v>
      </c>
    </row>
    <row r="457" spans="1:11" ht="75" x14ac:dyDescent="0.25">
      <c r="A457" s="28" t="s">
        <v>1665</v>
      </c>
      <c r="B457" s="28" t="s">
        <v>2542</v>
      </c>
      <c r="C457" s="28">
        <v>4</v>
      </c>
      <c r="D457" s="28" t="s">
        <v>1666</v>
      </c>
      <c r="E457" s="28" t="s">
        <v>131</v>
      </c>
      <c r="F457" s="30" t="s">
        <v>3673</v>
      </c>
      <c r="H457" s="28" t="s">
        <v>402</v>
      </c>
      <c r="J457" s="28" t="s">
        <v>2232</v>
      </c>
      <c r="K457" s="28" t="s">
        <v>3030</v>
      </c>
    </row>
    <row r="458" spans="1:11" ht="75" x14ac:dyDescent="0.25">
      <c r="A458" s="28" t="s">
        <v>1667</v>
      </c>
      <c r="B458" s="28" t="s">
        <v>2543</v>
      </c>
      <c r="C458" s="28">
        <v>4</v>
      </c>
      <c r="D458" s="28" t="s">
        <v>2281</v>
      </c>
      <c r="E458" s="28" t="s">
        <v>131</v>
      </c>
      <c r="F458" s="30" t="s">
        <v>3673</v>
      </c>
      <c r="H458" s="28" t="s">
        <v>402</v>
      </c>
      <c r="J458" s="28" t="s">
        <v>2232</v>
      </c>
      <c r="K458" s="28" t="s">
        <v>3031</v>
      </c>
    </row>
    <row r="459" spans="1:11" ht="75" x14ac:dyDescent="0.25">
      <c r="A459" s="28" t="s">
        <v>1668</v>
      </c>
      <c r="B459" s="28" t="s">
        <v>2544</v>
      </c>
      <c r="C459" s="28">
        <v>4</v>
      </c>
      <c r="D459" s="28" t="s">
        <v>1669</v>
      </c>
      <c r="E459" s="28" t="s">
        <v>131</v>
      </c>
      <c r="F459" s="30" t="s">
        <v>3673</v>
      </c>
      <c r="H459" s="28" t="s">
        <v>402</v>
      </c>
      <c r="J459" s="28" t="s">
        <v>2232</v>
      </c>
      <c r="K459" s="28" t="s">
        <v>3032</v>
      </c>
    </row>
    <row r="460" spans="1:11" ht="75" x14ac:dyDescent="0.25">
      <c r="A460" s="28" t="s">
        <v>1670</v>
      </c>
      <c r="B460" s="28" t="s">
        <v>2545</v>
      </c>
      <c r="C460" s="28">
        <v>3</v>
      </c>
      <c r="D460" s="9" t="s">
        <v>1671</v>
      </c>
      <c r="E460" s="28" t="s">
        <v>3443</v>
      </c>
      <c r="F460" s="30" t="s">
        <v>3673</v>
      </c>
      <c r="H460" s="28" t="s">
        <v>402</v>
      </c>
      <c r="J460" s="28" t="s">
        <v>2232</v>
      </c>
    </row>
    <row r="461" spans="1:11" ht="75" x14ac:dyDescent="0.25">
      <c r="A461" s="28" t="s">
        <v>1672</v>
      </c>
      <c r="B461" s="28" t="s">
        <v>2546</v>
      </c>
      <c r="C461" s="28">
        <v>4</v>
      </c>
      <c r="D461" s="28" t="s">
        <v>1673</v>
      </c>
      <c r="E461" s="28" t="s">
        <v>131</v>
      </c>
      <c r="F461" s="30" t="s">
        <v>3673</v>
      </c>
      <c r="H461" s="28" t="s">
        <v>402</v>
      </c>
      <c r="J461" s="28" t="s">
        <v>2232</v>
      </c>
      <c r="K461" s="28" t="s">
        <v>3033</v>
      </c>
    </row>
    <row r="462" spans="1:11" ht="75" x14ac:dyDescent="0.25">
      <c r="A462" s="28" t="s">
        <v>1674</v>
      </c>
      <c r="B462" s="28">
        <v>20.2</v>
      </c>
      <c r="C462" s="28">
        <v>2</v>
      </c>
      <c r="D462" s="9" t="s">
        <v>3490</v>
      </c>
      <c r="E462" s="28" t="s">
        <v>3443</v>
      </c>
      <c r="F462" s="30" t="s">
        <v>3673</v>
      </c>
      <c r="H462" s="28" t="s">
        <v>404</v>
      </c>
      <c r="J462" s="28" t="s">
        <v>2232</v>
      </c>
      <c r="K462" s="28" t="s">
        <v>3034</v>
      </c>
    </row>
    <row r="463" spans="1:11" ht="75" x14ac:dyDescent="0.25">
      <c r="A463" s="28" t="s">
        <v>3491</v>
      </c>
      <c r="B463" s="28" t="s">
        <v>1691</v>
      </c>
      <c r="C463" s="28">
        <v>3</v>
      </c>
      <c r="D463" s="28" t="s">
        <v>3492</v>
      </c>
      <c r="E463" s="28" t="s">
        <v>139</v>
      </c>
      <c r="F463" s="30" t="s">
        <v>3673</v>
      </c>
      <c r="J463" s="28" t="s">
        <v>2232</v>
      </c>
      <c r="K463" s="28" t="s">
        <v>3034</v>
      </c>
    </row>
    <row r="464" spans="1:11" ht="105" x14ac:dyDescent="0.25">
      <c r="A464" s="28" t="s">
        <v>1675</v>
      </c>
      <c r="B464" s="28" t="s">
        <v>3493</v>
      </c>
      <c r="C464" s="28">
        <v>3</v>
      </c>
      <c r="D464" s="30" t="s">
        <v>1676</v>
      </c>
      <c r="E464" s="28" t="s">
        <v>131</v>
      </c>
      <c r="F464" s="30" t="s">
        <v>3673</v>
      </c>
      <c r="H464" s="28" t="s">
        <v>404</v>
      </c>
      <c r="J464" s="28" t="s">
        <v>2232</v>
      </c>
      <c r="K464" s="28" t="s">
        <v>3035</v>
      </c>
    </row>
    <row r="465" spans="1:11" ht="75" x14ac:dyDescent="0.25">
      <c r="A465" s="28" t="s">
        <v>1677</v>
      </c>
      <c r="B465" s="28">
        <v>21</v>
      </c>
      <c r="C465" s="28">
        <v>1</v>
      </c>
      <c r="D465" s="9" t="s">
        <v>93</v>
      </c>
      <c r="E465" s="28" t="s">
        <v>3443</v>
      </c>
      <c r="F465" s="30" t="s">
        <v>3673</v>
      </c>
      <c r="H465" s="28" t="s">
        <v>406</v>
      </c>
      <c r="J465" s="28" t="s">
        <v>2232</v>
      </c>
    </row>
    <row r="466" spans="1:11" ht="75" x14ac:dyDescent="0.25">
      <c r="A466" s="28" t="s">
        <v>1678</v>
      </c>
      <c r="B466" s="28">
        <v>21.1</v>
      </c>
      <c r="C466" s="28">
        <v>2</v>
      </c>
      <c r="D466" s="9" t="s">
        <v>1679</v>
      </c>
      <c r="E466" s="28" t="s">
        <v>3443</v>
      </c>
      <c r="F466" s="30" t="s">
        <v>3673</v>
      </c>
      <c r="H466" s="28" t="s">
        <v>408</v>
      </c>
      <c r="J466" s="28" t="s">
        <v>2232</v>
      </c>
    </row>
    <row r="467" spans="1:11" ht="75" x14ac:dyDescent="0.25">
      <c r="A467" s="28" t="s">
        <v>1680</v>
      </c>
      <c r="B467" s="28" t="s">
        <v>606</v>
      </c>
      <c r="C467" s="28">
        <v>3</v>
      </c>
      <c r="D467" s="28" t="s">
        <v>91</v>
      </c>
      <c r="E467" s="28" t="s">
        <v>131</v>
      </c>
      <c r="F467" s="30" t="s">
        <v>3673</v>
      </c>
      <c r="H467" s="28" t="s">
        <v>408</v>
      </c>
      <c r="J467" s="28" t="s">
        <v>2232</v>
      </c>
      <c r="K467" s="28" t="s">
        <v>3036</v>
      </c>
    </row>
    <row r="468" spans="1:11" ht="75" x14ac:dyDescent="0.25">
      <c r="A468" s="28" t="s">
        <v>1681</v>
      </c>
      <c r="B468" s="28" t="s">
        <v>2547</v>
      </c>
      <c r="C468" s="28">
        <v>3</v>
      </c>
      <c r="D468" s="28" t="s">
        <v>90</v>
      </c>
      <c r="E468" s="28" t="s">
        <v>131</v>
      </c>
      <c r="F468" s="30" t="s">
        <v>3673</v>
      </c>
      <c r="H468" s="28" t="s">
        <v>408</v>
      </c>
      <c r="J468" s="28" t="s">
        <v>2232</v>
      </c>
      <c r="K468" s="28" t="s">
        <v>3037</v>
      </c>
    </row>
    <row r="469" spans="1:11" ht="75" x14ac:dyDescent="0.25">
      <c r="A469" s="28" t="s">
        <v>1682</v>
      </c>
      <c r="B469" s="28" t="s">
        <v>2548</v>
      </c>
      <c r="C469" s="28">
        <v>3</v>
      </c>
      <c r="D469" s="28" t="s">
        <v>89</v>
      </c>
      <c r="E469" s="28" t="s">
        <v>131</v>
      </c>
      <c r="F469" s="30" t="s">
        <v>3673</v>
      </c>
      <c r="H469" s="28" t="s">
        <v>408</v>
      </c>
      <c r="J469" s="28" t="s">
        <v>2232</v>
      </c>
      <c r="K469" s="28" t="s">
        <v>3038</v>
      </c>
    </row>
    <row r="470" spans="1:11" ht="75" x14ac:dyDescent="0.25">
      <c r="A470" s="28" t="s">
        <v>1683</v>
      </c>
      <c r="B470" s="28" t="s">
        <v>2549</v>
      </c>
      <c r="C470" s="28">
        <v>3</v>
      </c>
      <c r="D470" s="28" t="s">
        <v>88</v>
      </c>
      <c r="E470" s="28" t="s">
        <v>131</v>
      </c>
      <c r="F470" s="30" t="s">
        <v>3673</v>
      </c>
      <c r="H470" s="28" t="s">
        <v>408</v>
      </c>
      <c r="J470" s="28" t="s">
        <v>2232</v>
      </c>
      <c r="K470" s="28" t="s">
        <v>3039</v>
      </c>
    </row>
    <row r="471" spans="1:11" ht="75" x14ac:dyDescent="0.25">
      <c r="A471" s="28" t="s">
        <v>1684</v>
      </c>
      <c r="B471" s="28" t="s">
        <v>2550</v>
      </c>
      <c r="C471" s="28">
        <v>3</v>
      </c>
      <c r="D471" s="28" t="s">
        <v>87</v>
      </c>
      <c r="E471" s="28" t="s">
        <v>131</v>
      </c>
      <c r="F471" s="30" t="s">
        <v>3673</v>
      </c>
      <c r="H471" s="28" t="s">
        <v>408</v>
      </c>
      <c r="J471" s="28" t="s">
        <v>2232</v>
      </c>
      <c r="K471" s="28" t="s">
        <v>3040</v>
      </c>
    </row>
    <row r="472" spans="1:11" ht="75" x14ac:dyDescent="0.25">
      <c r="A472" s="28" t="s">
        <v>1685</v>
      </c>
      <c r="B472" s="28" t="s">
        <v>2551</v>
      </c>
      <c r="C472" s="28">
        <v>3</v>
      </c>
      <c r="D472" s="28" t="s">
        <v>1686</v>
      </c>
      <c r="E472" s="28" t="s">
        <v>131</v>
      </c>
      <c r="F472" s="30" t="s">
        <v>3673</v>
      </c>
      <c r="H472" s="28" t="s">
        <v>408</v>
      </c>
      <c r="J472" s="28" t="s">
        <v>2232</v>
      </c>
      <c r="K472" s="28" t="s">
        <v>3040</v>
      </c>
    </row>
    <row r="473" spans="1:11" ht="75" x14ac:dyDescent="0.25">
      <c r="A473" s="28" t="s">
        <v>1687</v>
      </c>
      <c r="B473" s="28" t="s">
        <v>2552</v>
      </c>
      <c r="C473" s="28">
        <v>3</v>
      </c>
      <c r="D473" s="28" t="s">
        <v>3563</v>
      </c>
      <c r="E473" s="28" t="s">
        <v>131</v>
      </c>
      <c r="F473" s="30" t="s">
        <v>3673</v>
      </c>
      <c r="H473" s="28" t="s">
        <v>408</v>
      </c>
      <c r="J473" s="28" t="s">
        <v>2232</v>
      </c>
      <c r="K473" s="28" t="s">
        <v>3040</v>
      </c>
    </row>
    <row r="474" spans="1:11" ht="75" x14ac:dyDescent="0.25">
      <c r="A474" s="28" t="s">
        <v>1688</v>
      </c>
      <c r="B474" s="28">
        <v>21.2</v>
      </c>
      <c r="C474" s="28">
        <v>2</v>
      </c>
      <c r="D474" s="9" t="s">
        <v>1689</v>
      </c>
      <c r="E474" s="28" t="s">
        <v>3443</v>
      </c>
      <c r="F474" s="30" t="s">
        <v>3673</v>
      </c>
      <c r="H474" s="28" t="s">
        <v>409</v>
      </c>
      <c r="J474" s="28" t="s">
        <v>2232</v>
      </c>
      <c r="K474" s="28" t="s">
        <v>3041</v>
      </c>
    </row>
    <row r="475" spans="1:11" ht="75" x14ac:dyDescent="0.25">
      <c r="A475" s="28" t="s">
        <v>1690</v>
      </c>
      <c r="B475" s="28" t="s">
        <v>1799</v>
      </c>
      <c r="C475" s="28">
        <v>3</v>
      </c>
      <c r="D475" s="28" t="s">
        <v>85</v>
      </c>
      <c r="E475" s="28" t="s">
        <v>131</v>
      </c>
      <c r="F475" s="30" t="s">
        <v>3673</v>
      </c>
      <c r="H475" s="28" t="s">
        <v>409</v>
      </c>
      <c r="J475" s="28" t="s">
        <v>2232</v>
      </c>
      <c r="K475" s="28" t="s">
        <v>3042</v>
      </c>
    </row>
    <row r="476" spans="1:11" ht="75" x14ac:dyDescent="0.25">
      <c r="A476" s="28" t="s">
        <v>1692</v>
      </c>
      <c r="B476" s="28">
        <v>21.3</v>
      </c>
      <c r="C476" s="28">
        <v>2</v>
      </c>
      <c r="D476" s="9" t="s">
        <v>1693</v>
      </c>
      <c r="E476" s="28" t="s">
        <v>3443</v>
      </c>
      <c r="F476" s="30" t="s">
        <v>3673</v>
      </c>
      <c r="H476" s="28" t="s">
        <v>411</v>
      </c>
      <c r="J476" s="28" t="s">
        <v>2232</v>
      </c>
      <c r="K476" s="28" t="s">
        <v>3043</v>
      </c>
    </row>
    <row r="477" spans="1:11" ht="75" x14ac:dyDescent="0.25">
      <c r="A477" s="28" t="s">
        <v>1694</v>
      </c>
      <c r="B477" s="28" t="s">
        <v>2553</v>
      </c>
      <c r="C477" s="28">
        <v>3</v>
      </c>
      <c r="D477" s="9" t="s">
        <v>1695</v>
      </c>
      <c r="E477" s="28" t="s">
        <v>3443</v>
      </c>
      <c r="F477" s="30" t="s">
        <v>3673</v>
      </c>
      <c r="H477" s="28" t="s">
        <v>411</v>
      </c>
      <c r="J477" s="28" t="s">
        <v>2232</v>
      </c>
    </row>
    <row r="478" spans="1:11" ht="75" x14ac:dyDescent="0.25">
      <c r="A478" s="28" t="s">
        <v>1696</v>
      </c>
      <c r="B478" s="28" t="s">
        <v>2554</v>
      </c>
      <c r="C478" s="28">
        <v>4</v>
      </c>
      <c r="D478" s="28" t="s">
        <v>1697</v>
      </c>
      <c r="E478" s="28" t="s">
        <v>131</v>
      </c>
      <c r="F478" s="30" t="s">
        <v>3673</v>
      </c>
      <c r="H478" s="28" t="s">
        <v>411</v>
      </c>
      <c r="J478" s="28" t="s">
        <v>2232</v>
      </c>
      <c r="K478" s="28" t="s">
        <v>3044</v>
      </c>
    </row>
    <row r="479" spans="1:11" ht="75" x14ac:dyDescent="0.25">
      <c r="A479" s="28" t="s">
        <v>1698</v>
      </c>
      <c r="B479" s="28" t="s">
        <v>2555</v>
      </c>
      <c r="C479" s="28">
        <v>4</v>
      </c>
      <c r="D479" s="28" t="s">
        <v>1699</v>
      </c>
      <c r="E479" s="28" t="s">
        <v>131</v>
      </c>
      <c r="F479" s="30" t="s">
        <v>3673</v>
      </c>
      <c r="H479" s="28" t="s">
        <v>411</v>
      </c>
      <c r="J479" s="28" t="s">
        <v>2232</v>
      </c>
      <c r="K479" s="28" t="s">
        <v>3045</v>
      </c>
    </row>
    <row r="480" spans="1:11" ht="75" x14ac:dyDescent="0.25">
      <c r="A480" s="28" t="s">
        <v>1700</v>
      </c>
      <c r="B480" s="28" t="s">
        <v>2556</v>
      </c>
      <c r="C480" s="28">
        <v>4</v>
      </c>
      <c r="D480" s="28" t="s">
        <v>1701</v>
      </c>
      <c r="E480" s="28" t="s">
        <v>131</v>
      </c>
      <c r="F480" s="30" t="s">
        <v>3673</v>
      </c>
      <c r="H480" s="28" t="s">
        <v>411</v>
      </c>
      <c r="J480" s="28" t="s">
        <v>2232</v>
      </c>
      <c r="K480" s="28" t="s">
        <v>3046</v>
      </c>
    </row>
    <row r="481" spans="1:11" ht="75" x14ac:dyDescent="0.25">
      <c r="A481" s="28" t="s">
        <v>3564</v>
      </c>
      <c r="B481" s="28" t="s">
        <v>2557</v>
      </c>
      <c r="C481" s="28">
        <v>4</v>
      </c>
      <c r="D481" s="28" t="s">
        <v>3565</v>
      </c>
      <c r="E481" s="28" t="s">
        <v>131</v>
      </c>
      <c r="F481" s="30" t="s">
        <v>3673</v>
      </c>
      <c r="H481" s="28" t="s">
        <v>411</v>
      </c>
      <c r="J481" s="28" t="s">
        <v>2232</v>
      </c>
      <c r="K481" s="28" t="s">
        <v>3046</v>
      </c>
    </row>
    <row r="482" spans="1:11" ht="75" x14ac:dyDescent="0.25">
      <c r="A482" s="28" t="s">
        <v>1702</v>
      </c>
      <c r="B482" s="28" t="s">
        <v>3566</v>
      </c>
      <c r="C482" s="28">
        <v>4</v>
      </c>
      <c r="D482" s="28" t="s">
        <v>11</v>
      </c>
      <c r="E482" s="28" t="s">
        <v>131</v>
      </c>
      <c r="F482" s="30" t="s">
        <v>3673</v>
      </c>
      <c r="H482" s="28" t="s">
        <v>411</v>
      </c>
      <c r="J482" s="28" t="s">
        <v>2232</v>
      </c>
      <c r="K482" s="28" t="s">
        <v>3047</v>
      </c>
    </row>
    <row r="483" spans="1:11" ht="75" x14ac:dyDescent="0.25">
      <c r="A483" s="28" t="s">
        <v>1703</v>
      </c>
      <c r="B483" s="28" t="s">
        <v>2558</v>
      </c>
      <c r="C483" s="28">
        <v>3</v>
      </c>
      <c r="D483" s="9" t="s">
        <v>1704</v>
      </c>
      <c r="E483" s="28" t="s">
        <v>3443</v>
      </c>
      <c r="F483" s="30" t="s">
        <v>3673</v>
      </c>
      <c r="H483" s="28" t="s">
        <v>411</v>
      </c>
      <c r="J483" s="28" t="s">
        <v>2232</v>
      </c>
    </row>
    <row r="484" spans="1:11" ht="75" x14ac:dyDescent="0.25">
      <c r="A484" s="28" t="s">
        <v>1705</v>
      </c>
      <c r="B484" s="28" t="s">
        <v>2559</v>
      </c>
      <c r="C484" s="28">
        <v>4</v>
      </c>
      <c r="D484" s="28" t="s">
        <v>2282</v>
      </c>
      <c r="E484" s="28" t="s">
        <v>131</v>
      </c>
      <c r="F484" s="30" t="s">
        <v>3673</v>
      </c>
      <c r="H484" s="28" t="s">
        <v>411</v>
      </c>
      <c r="J484" s="28" t="s">
        <v>2232</v>
      </c>
      <c r="K484" s="28" t="s">
        <v>3048</v>
      </c>
    </row>
    <row r="485" spans="1:11" ht="75" x14ac:dyDescent="0.25">
      <c r="A485" s="28" t="s">
        <v>1706</v>
      </c>
      <c r="B485" s="28" t="s">
        <v>2560</v>
      </c>
      <c r="C485" s="28">
        <v>4</v>
      </c>
      <c r="D485" s="28" t="s">
        <v>10</v>
      </c>
      <c r="E485" s="28" t="s">
        <v>131</v>
      </c>
      <c r="F485" s="30" t="s">
        <v>3673</v>
      </c>
      <c r="H485" s="28" t="s">
        <v>411</v>
      </c>
      <c r="J485" s="28" t="s">
        <v>2232</v>
      </c>
      <c r="K485" s="28" t="s">
        <v>3049</v>
      </c>
    </row>
    <row r="486" spans="1:11" ht="75" x14ac:dyDescent="0.25">
      <c r="A486" s="28" t="s">
        <v>1707</v>
      </c>
      <c r="B486" s="28" t="s">
        <v>2561</v>
      </c>
      <c r="C486" s="28">
        <v>4</v>
      </c>
      <c r="D486" s="28" t="s">
        <v>1708</v>
      </c>
      <c r="E486" s="28" t="s">
        <v>131</v>
      </c>
      <c r="F486" s="30" t="s">
        <v>3673</v>
      </c>
      <c r="H486" s="28" t="s">
        <v>411</v>
      </c>
      <c r="J486" s="28" t="s">
        <v>2232</v>
      </c>
      <c r="K486" s="28" t="s">
        <v>3050</v>
      </c>
    </row>
    <row r="487" spans="1:11" ht="75" x14ac:dyDescent="0.25">
      <c r="A487" s="28" t="s">
        <v>1709</v>
      </c>
      <c r="B487" s="28" t="s">
        <v>2562</v>
      </c>
      <c r="C487" s="28">
        <v>3</v>
      </c>
      <c r="D487" s="9" t="s">
        <v>1710</v>
      </c>
      <c r="E487" s="28" t="s">
        <v>3443</v>
      </c>
      <c r="F487" s="30" t="s">
        <v>3673</v>
      </c>
      <c r="H487" s="28" t="s">
        <v>411</v>
      </c>
      <c r="J487" s="28" t="s">
        <v>2232</v>
      </c>
    </row>
    <row r="488" spans="1:11" ht="75" x14ac:dyDescent="0.25">
      <c r="A488" s="28" t="s">
        <v>1711</v>
      </c>
      <c r="B488" s="28" t="s">
        <v>2563</v>
      </c>
      <c r="C488" s="28">
        <v>4</v>
      </c>
      <c r="D488" s="28" t="s">
        <v>1712</v>
      </c>
      <c r="E488" s="28" t="s">
        <v>131</v>
      </c>
      <c r="F488" s="30" t="s">
        <v>3673</v>
      </c>
      <c r="H488" s="28" t="s">
        <v>411</v>
      </c>
      <c r="J488" s="28" t="s">
        <v>2232</v>
      </c>
      <c r="K488" s="28" t="s">
        <v>3051</v>
      </c>
    </row>
    <row r="489" spans="1:11" ht="75" x14ac:dyDescent="0.25">
      <c r="A489" s="28" t="s">
        <v>1713</v>
      </c>
      <c r="B489" s="28" t="s">
        <v>2564</v>
      </c>
      <c r="C489" s="28">
        <v>4</v>
      </c>
      <c r="D489" s="28" t="s">
        <v>1714</v>
      </c>
      <c r="E489" s="28" t="s">
        <v>131</v>
      </c>
      <c r="F489" s="30" t="s">
        <v>3673</v>
      </c>
      <c r="H489" s="28" t="s">
        <v>411</v>
      </c>
      <c r="J489" s="28" t="s">
        <v>2232</v>
      </c>
      <c r="K489" s="28" t="s">
        <v>3052</v>
      </c>
    </row>
    <row r="490" spans="1:11" ht="75" x14ac:dyDescent="0.25">
      <c r="A490" s="28" t="s">
        <v>1715</v>
      </c>
      <c r="B490" s="28" t="s">
        <v>2565</v>
      </c>
      <c r="C490" s="28">
        <v>3</v>
      </c>
      <c r="D490" s="9" t="s">
        <v>1716</v>
      </c>
      <c r="E490" s="28" t="s">
        <v>3443</v>
      </c>
      <c r="F490" s="30" t="s">
        <v>3673</v>
      </c>
      <c r="H490" s="28" t="s">
        <v>411</v>
      </c>
      <c r="J490" s="28" t="s">
        <v>2232</v>
      </c>
    </row>
    <row r="491" spans="1:11" ht="75" x14ac:dyDescent="0.25">
      <c r="A491" s="28" t="s">
        <v>1717</v>
      </c>
      <c r="B491" s="28" t="s">
        <v>2566</v>
      </c>
      <c r="C491" s="28">
        <v>4</v>
      </c>
      <c r="D491" s="28" t="s">
        <v>27</v>
      </c>
      <c r="E491" s="28" t="s">
        <v>131</v>
      </c>
      <c r="F491" s="30" t="s">
        <v>3673</v>
      </c>
      <c r="H491" s="28" t="s">
        <v>411</v>
      </c>
      <c r="J491" s="28" t="s">
        <v>2232</v>
      </c>
      <c r="K491" s="28" t="s">
        <v>3053</v>
      </c>
    </row>
    <row r="492" spans="1:11" ht="75" x14ac:dyDescent="0.25">
      <c r="A492" s="28" t="s">
        <v>1718</v>
      </c>
      <c r="B492" s="28" t="s">
        <v>2567</v>
      </c>
      <c r="C492" s="28">
        <v>4</v>
      </c>
      <c r="D492" s="28" t="s">
        <v>1719</v>
      </c>
      <c r="E492" s="28" t="s">
        <v>131</v>
      </c>
      <c r="F492" s="30" t="s">
        <v>3673</v>
      </c>
      <c r="H492" s="28" t="s">
        <v>411</v>
      </c>
      <c r="J492" s="28" t="s">
        <v>2232</v>
      </c>
      <c r="K492" s="28" t="s">
        <v>3054</v>
      </c>
    </row>
    <row r="493" spans="1:11" ht="75" x14ac:dyDescent="0.25">
      <c r="A493" s="28" t="s">
        <v>1720</v>
      </c>
      <c r="B493" s="28" t="s">
        <v>2568</v>
      </c>
      <c r="C493" s="28">
        <v>4</v>
      </c>
      <c r="D493" s="28" t="s">
        <v>1721</v>
      </c>
      <c r="E493" s="28" t="s">
        <v>131</v>
      </c>
      <c r="F493" s="30" t="s">
        <v>3673</v>
      </c>
      <c r="H493" s="28" t="s">
        <v>411</v>
      </c>
      <c r="J493" s="28" t="s">
        <v>2232</v>
      </c>
      <c r="K493" s="28" t="s">
        <v>3055</v>
      </c>
    </row>
    <row r="494" spans="1:11" ht="409.5" x14ac:dyDescent="0.25">
      <c r="A494" s="28" t="s">
        <v>1722</v>
      </c>
      <c r="B494" s="28" t="s">
        <v>2569</v>
      </c>
      <c r="C494" s="28">
        <v>4</v>
      </c>
      <c r="D494" s="30" t="s">
        <v>3567</v>
      </c>
      <c r="E494" s="28" t="s">
        <v>131</v>
      </c>
      <c r="F494" s="30" t="s">
        <v>3673</v>
      </c>
      <c r="H494" s="28" t="s">
        <v>411</v>
      </c>
      <c r="J494" s="28" t="s">
        <v>2232</v>
      </c>
      <c r="K494" s="28" t="s">
        <v>3056</v>
      </c>
    </row>
    <row r="495" spans="1:11" ht="75" x14ac:dyDescent="0.25">
      <c r="A495" s="28" t="s">
        <v>1723</v>
      </c>
      <c r="B495" s="28" t="s">
        <v>2570</v>
      </c>
      <c r="C495" s="28">
        <v>3</v>
      </c>
      <c r="D495" s="9" t="s">
        <v>1724</v>
      </c>
      <c r="E495" s="28" t="s">
        <v>3443</v>
      </c>
      <c r="F495" s="30" t="s">
        <v>3673</v>
      </c>
      <c r="H495" s="28" t="s">
        <v>411</v>
      </c>
      <c r="J495" s="28" t="s">
        <v>2232</v>
      </c>
    </row>
    <row r="496" spans="1:11" ht="75" x14ac:dyDescent="0.25">
      <c r="A496" s="28" t="s">
        <v>1725</v>
      </c>
      <c r="B496" s="28" t="s">
        <v>2571</v>
      </c>
      <c r="C496" s="28">
        <v>4</v>
      </c>
      <c r="D496" s="28" t="s">
        <v>1726</v>
      </c>
      <c r="E496" s="28" t="s">
        <v>131</v>
      </c>
      <c r="F496" s="30" t="s">
        <v>3673</v>
      </c>
      <c r="H496" s="28" t="s">
        <v>411</v>
      </c>
      <c r="J496" s="28" t="s">
        <v>2232</v>
      </c>
      <c r="K496" s="28" t="s">
        <v>3057</v>
      </c>
    </row>
    <row r="497" spans="1:11" ht="75" x14ac:dyDescent="0.25">
      <c r="A497" s="28" t="s">
        <v>1727</v>
      </c>
      <c r="B497" s="28" t="s">
        <v>2572</v>
      </c>
      <c r="C497" s="28">
        <v>4</v>
      </c>
      <c r="D497" s="28" t="s">
        <v>1728</v>
      </c>
      <c r="E497" s="28" t="s">
        <v>131</v>
      </c>
      <c r="F497" s="30" t="s">
        <v>3673</v>
      </c>
      <c r="H497" s="28" t="s">
        <v>411</v>
      </c>
      <c r="J497" s="28" t="s">
        <v>2232</v>
      </c>
      <c r="K497" s="28" t="s">
        <v>3058</v>
      </c>
    </row>
    <row r="498" spans="1:11" ht="75" x14ac:dyDescent="0.25">
      <c r="A498" s="28" t="s">
        <v>1729</v>
      </c>
      <c r="B498" s="28" t="s">
        <v>2573</v>
      </c>
      <c r="C498" s="28">
        <v>4</v>
      </c>
      <c r="D498" s="28" t="s">
        <v>1730</v>
      </c>
      <c r="E498" s="28" t="s">
        <v>131</v>
      </c>
      <c r="F498" s="30" t="s">
        <v>3673</v>
      </c>
      <c r="H498" s="28" t="s">
        <v>411</v>
      </c>
      <c r="J498" s="28" t="s">
        <v>2232</v>
      </c>
      <c r="K498" s="28" t="s">
        <v>3059</v>
      </c>
    </row>
    <row r="499" spans="1:11" ht="75" x14ac:dyDescent="0.25">
      <c r="A499" s="28" t="s">
        <v>1731</v>
      </c>
      <c r="B499" s="28" t="s">
        <v>2574</v>
      </c>
      <c r="C499" s="28">
        <v>4</v>
      </c>
      <c r="D499" s="28" t="s">
        <v>1732</v>
      </c>
      <c r="E499" s="28" t="s">
        <v>131</v>
      </c>
      <c r="F499" s="30" t="s">
        <v>3673</v>
      </c>
      <c r="H499" s="28" t="s">
        <v>411</v>
      </c>
      <c r="J499" s="28" t="s">
        <v>2232</v>
      </c>
      <c r="K499" s="28" t="s">
        <v>3060</v>
      </c>
    </row>
    <row r="500" spans="1:11" ht="75" x14ac:dyDescent="0.25">
      <c r="A500" s="28" t="s">
        <v>1733</v>
      </c>
      <c r="B500" s="28" t="s">
        <v>2575</v>
      </c>
      <c r="C500" s="28">
        <v>4</v>
      </c>
      <c r="D500" s="28" t="s">
        <v>1734</v>
      </c>
      <c r="E500" s="28" t="s">
        <v>131</v>
      </c>
      <c r="F500" s="30" t="s">
        <v>3673</v>
      </c>
      <c r="H500" s="28" t="s">
        <v>411</v>
      </c>
      <c r="J500" s="28" t="s">
        <v>2232</v>
      </c>
      <c r="K500" s="28" t="s">
        <v>3061</v>
      </c>
    </row>
    <row r="501" spans="1:11" ht="75" x14ac:dyDescent="0.25">
      <c r="A501" s="28" t="s">
        <v>1735</v>
      </c>
      <c r="B501" s="28" t="s">
        <v>2576</v>
      </c>
      <c r="C501" s="28">
        <v>4</v>
      </c>
      <c r="D501" s="28" t="s">
        <v>1736</v>
      </c>
      <c r="E501" s="28" t="s">
        <v>131</v>
      </c>
      <c r="F501" s="30" t="s">
        <v>3673</v>
      </c>
      <c r="H501" s="28" t="s">
        <v>411</v>
      </c>
      <c r="J501" s="28" t="s">
        <v>2232</v>
      </c>
      <c r="K501" s="28" t="s">
        <v>3062</v>
      </c>
    </row>
    <row r="502" spans="1:11" ht="75" x14ac:dyDescent="0.25">
      <c r="A502" s="28" t="s">
        <v>1737</v>
      </c>
      <c r="B502" s="28" t="s">
        <v>2577</v>
      </c>
      <c r="C502" s="28">
        <v>3</v>
      </c>
      <c r="D502" s="9" t="s">
        <v>1738</v>
      </c>
      <c r="E502" s="28" t="s">
        <v>3443</v>
      </c>
      <c r="F502" s="30" t="s">
        <v>3673</v>
      </c>
      <c r="H502" s="28" t="s">
        <v>411</v>
      </c>
      <c r="J502" s="28" t="s">
        <v>2232</v>
      </c>
    </row>
    <row r="503" spans="1:11" ht="75" x14ac:dyDescent="0.25">
      <c r="A503" s="28" t="s">
        <v>1739</v>
      </c>
      <c r="B503" s="28" t="s">
        <v>2578</v>
      </c>
      <c r="C503" s="28">
        <v>4</v>
      </c>
      <c r="D503" s="28" t="s">
        <v>1740</v>
      </c>
      <c r="E503" s="28" t="s">
        <v>131</v>
      </c>
      <c r="F503" s="30" t="s">
        <v>3673</v>
      </c>
      <c r="H503" s="28" t="s">
        <v>411</v>
      </c>
      <c r="J503" s="28" t="s">
        <v>2232</v>
      </c>
      <c r="K503" s="28" t="s">
        <v>3063</v>
      </c>
    </row>
    <row r="504" spans="1:11" ht="75" x14ac:dyDescent="0.25">
      <c r="A504" s="28" t="s">
        <v>1741</v>
      </c>
      <c r="B504" s="28" t="s">
        <v>2579</v>
      </c>
      <c r="C504" s="28">
        <v>3</v>
      </c>
      <c r="D504" s="9" t="s">
        <v>1742</v>
      </c>
      <c r="E504" s="28" t="s">
        <v>3443</v>
      </c>
      <c r="F504" s="30" t="s">
        <v>3673</v>
      </c>
      <c r="H504" s="28" t="s">
        <v>411</v>
      </c>
      <c r="J504" s="28" t="s">
        <v>2232</v>
      </c>
    </row>
    <row r="505" spans="1:11" ht="75" x14ac:dyDescent="0.25">
      <c r="A505" s="28" t="s">
        <v>1743</v>
      </c>
      <c r="B505" s="28" t="s">
        <v>2580</v>
      </c>
      <c r="C505" s="28">
        <v>4</v>
      </c>
      <c r="D505" s="28" t="s">
        <v>1744</v>
      </c>
      <c r="E505" s="28" t="s">
        <v>131</v>
      </c>
      <c r="F505" s="30" t="s">
        <v>3673</v>
      </c>
      <c r="H505" s="28" t="s">
        <v>411</v>
      </c>
      <c r="J505" s="28" t="s">
        <v>2232</v>
      </c>
      <c r="K505" s="28" t="s">
        <v>3064</v>
      </c>
    </row>
    <row r="506" spans="1:11" x14ac:dyDescent="0.25">
      <c r="A506" s="28" t="s">
        <v>3713</v>
      </c>
      <c r="B506" s="28" t="s">
        <v>3714</v>
      </c>
      <c r="C506" s="28">
        <v>4</v>
      </c>
      <c r="D506" s="28" t="s">
        <v>3715</v>
      </c>
      <c r="E506" s="28" t="s">
        <v>131</v>
      </c>
      <c r="F506" s="28" t="s">
        <v>3692</v>
      </c>
      <c r="H506" s="28" t="s">
        <v>411</v>
      </c>
      <c r="I506" s="28" t="s">
        <v>3680</v>
      </c>
      <c r="J506" s="28" t="s">
        <v>3419</v>
      </c>
      <c r="K506" s="28" t="s">
        <v>3064</v>
      </c>
    </row>
    <row r="507" spans="1:11" ht="75" x14ac:dyDescent="0.25">
      <c r="A507" s="28" t="s">
        <v>1745</v>
      </c>
      <c r="B507" s="28" t="s">
        <v>2581</v>
      </c>
      <c r="C507" s="28">
        <v>3</v>
      </c>
      <c r="D507" s="9" t="s">
        <v>1746</v>
      </c>
      <c r="E507" s="28" t="s">
        <v>3443</v>
      </c>
      <c r="F507" s="30" t="s">
        <v>3673</v>
      </c>
      <c r="H507" s="28" t="s">
        <v>125</v>
      </c>
      <c r="J507" s="28" t="s">
        <v>2232</v>
      </c>
    </row>
    <row r="508" spans="1:11" ht="75" x14ac:dyDescent="0.25">
      <c r="A508" s="28" t="s">
        <v>1747</v>
      </c>
      <c r="B508" s="28" t="s">
        <v>2582</v>
      </c>
      <c r="C508" s="28">
        <v>4</v>
      </c>
      <c r="D508" s="28" t="s">
        <v>2283</v>
      </c>
      <c r="E508" s="28" t="s">
        <v>131</v>
      </c>
      <c r="F508" s="30" t="s">
        <v>3673</v>
      </c>
      <c r="H508" s="28" t="s">
        <v>125</v>
      </c>
      <c r="J508" s="28" t="s">
        <v>2232</v>
      </c>
      <c r="K508" s="28" t="s">
        <v>3065</v>
      </c>
    </row>
    <row r="509" spans="1:11" ht="75" x14ac:dyDescent="0.25">
      <c r="A509" s="28" t="s">
        <v>1748</v>
      </c>
      <c r="B509" s="28" t="s">
        <v>2583</v>
      </c>
      <c r="C509" s="28">
        <v>4</v>
      </c>
      <c r="D509" s="28" t="s">
        <v>1749</v>
      </c>
      <c r="E509" s="28" t="s">
        <v>131</v>
      </c>
      <c r="F509" s="30" t="s">
        <v>3673</v>
      </c>
      <c r="H509" s="28" t="s">
        <v>125</v>
      </c>
      <c r="J509" s="28" t="s">
        <v>2232</v>
      </c>
      <c r="K509" s="28" t="s">
        <v>3066</v>
      </c>
    </row>
    <row r="510" spans="1:11" ht="75" x14ac:dyDescent="0.25">
      <c r="A510" s="28" t="s">
        <v>1750</v>
      </c>
      <c r="B510" s="28" t="s">
        <v>2584</v>
      </c>
      <c r="C510" s="28">
        <v>4</v>
      </c>
      <c r="D510" s="28" t="s">
        <v>1751</v>
      </c>
      <c r="E510" s="28" t="s">
        <v>131</v>
      </c>
      <c r="F510" s="30" t="s">
        <v>3673</v>
      </c>
      <c r="H510" s="28" t="s">
        <v>125</v>
      </c>
      <c r="J510" s="28" t="s">
        <v>2232</v>
      </c>
      <c r="K510" s="28" t="s">
        <v>3067</v>
      </c>
    </row>
    <row r="511" spans="1:11" ht="75" x14ac:dyDescent="0.25">
      <c r="A511" s="28" t="s">
        <v>1752</v>
      </c>
      <c r="B511" s="28" t="s">
        <v>2585</v>
      </c>
      <c r="C511" s="28">
        <v>4</v>
      </c>
      <c r="D511" s="28" t="s">
        <v>1753</v>
      </c>
      <c r="E511" s="28" t="s">
        <v>131</v>
      </c>
      <c r="F511" s="30" t="s">
        <v>3673</v>
      </c>
      <c r="H511" s="28" t="s">
        <v>125</v>
      </c>
      <c r="J511" s="28" t="s">
        <v>2232</v>
      </c>
      <c r="K511" s="28" t="s">
        <v>3068</v>
      </c>
    </row>
    <row r="512" spans="1:11" ht="75" x14ac:dyDescent="0.25">
      <c r="A512" s="28" t="s">
        <v>1754</v>
      </c>
      <c r="B512" s="28" t="s">
        <v>2586</v>
      </c>
      <c r="C512" s="28">
        <v>4</v>
      </c>
      <c r="D512" s="28" t="s">
        <v>1755</v>
      </c>
      <c r="E512" s="28" t="s">
        <v>139</v>
      </c>
      <c r="F512" s="30" t="s">
        <v>3673</v>
      </c>
      <c r="H512" s="28" t="s">
        <v>125</v>
      </c>
      <c r="J512" s="28" t="s">
        <v>2232</v>
      </c>
    </row>
    <row r="513" spans="1:11" ht="75" x14ac:dyDescent="0.25">
      <c r="A513" s="28" t="s">
        <v>1756</v>
      </c>
      <c r="B513" s="28" t="s">
        <v>2587</v>
      </c>
      <c r="C513" s="28">
        <v>4</v>
      </c>
      <c r="D513" s="28" t="s">
        <v>1757</v>
      </c>
      <c r="E513" s="28" t="s">
        <v>131</v>
      </c>
      <c r="F513" s="30" t="s">
        <v>3673</v>
      </c>
      <c r="H513" s="28" t="s">
        <v>125</v>
      </c>
      <c r="J513" s="28" t="s">
        <v>2232</v>
      </c>
      <c r="K513" s="28" t="s">
        <v>3069</v>
      </c>
    </row>
    <row r="514" spans="1:11" ht="75" x14ac:dyDescent="0.25">
      <c r="A514" s="28" t="s">
        <v>1758</v>
      </c>
      <c r="B514" s="28" t="s">
        <v>2588</v>
      </c>
      <c r="C514" s="28">
        <v>4</v>
      </c>
      <c r="D514" s="28" t="s">
        <v>3323</v>
      </c>
      <c r="E514" s="28" t="s">
        <v>131</v>
      </c>
      <c r="F514" s="30" t="s">
        <v>3673</v>
      </c>
      <c r="H514" s="28" t="s">
        <v>125</v>
      </c>
      <c r="J514" s="28" t="s">
        <v>2232</v>
      </c>
      <c r="K514" s="28" t="s">
        <v>3070</v>
      </c>
    </row>
    <row r="515" spans="1:11" ht="75" x14ac:dyDescent="0.25">
      <c r="A515" s="28" t="s">
        <v>1759</v>
      </c>
      <c r="B515" s="28" t="s">
        <v>2589</v>
      </c>
      <c r="C515" s="28">
        <v>4</v>
      </c>
      <c r="D515" s="30" t="s">
        <v>3324</v>
      </c>
      <c r="E515" s="28" t="s">
        <v>131</v>
      </c>
      <c r="F515" s="30" t="s">
        <v>3673</v>
      </c>
      <c r="H515" s="28" t="s">
        <v>125</v>
      </c>
      <c r="J515" s="28" t="s">
        <v>2232</v>
      </c>
      <c r="K515" s="28" t="s">
        <v>3071</v>
      </c>
    </row>
    <row r="516" spans="1:11" ht="75" x14ac:dyDescent="0.25">
      <c r="A516" s="28" t="s">
        <v>1760</v>
      </c>
      <c r="B516" s="28" t="s">
        <v>2590</v>
      </c>
      <c r="C516" s="28">
        <v>4</v>
      </c>
      <c r="D516" s="28" t="s">
        <v>1761</v>
      </c>
      <c r="E516" s="28" t="s">
        <v>131</v>
      </c>
      <c r="F516" s="30" t="s">
        <v>3673</v>
      </c>
      <c r="H516" s="28" t="s">
        <v>125</v>
      </c>
      <c r="J516" s="28" t="s">
        <v>2232</v>
      </c>
      <c r="K516" s="28" t="s">
        <v>3072</v>
      </c>
    </row>
    <row r="517" spans="1:11" ht="75" x14ac:dyDescent="0.25">
      <c r="A517" s="28" t="s">
        <v>1762</v>
      </c>
      <c r="B517" s="28" t="s">
        <v>2591</v>
      </c>
      <c r="C517" s="28">
        <v>4</v>
      </c>
      <c r="D517" s="28" t="s">
        <v>1763</v>
      </c>
      <c r="E517" s="28" t="s">
        <v>131</v>
      </c>
      <c r="F517" s="30" t="s">
        <v>3673</v>
      </c>
      <c r="H517" s="28" t="s">
        <v>125</v>
      </c>
      <c r="J517" s="28" t="s">
        <v>2232</v>
      </c>
      <c r="K517" s="28" t="s">
        <v>3073</v>
      </c>
    </row>
    <row r="518" spans="1:11" ht="75" x14ac:dyDescent="0.25">
      <c r="A518" s="28" t="s">
        <v>1764</v>
      </c>
      <c r="B518" s="28" t="s">
        <v>2592</v>
      </c>
      <c r="C518" s="28">
        <v>4</v>
      </c>
      <c r="D518" s="28" t="s">
        <v>1765</v>
      </c>
      <c r="E518" s="28" t="s">
        <v>131</v>
      </c>
      <c r="F518" s="30" t="s">
        <v>3673</v>
      </c>
      <c r="H518" s="28" t="s">
        <v>125</v>
      </c>
      <c r="J518" s="28" t="s">
        <v>2232</v>
      </c>
      <c r="K518" s="28" t="s">
        <v>3074</v>
      </c>
    </row>
    <row r="519" spans="1:11" ht="75" x14ac:dyDescent="0.25">
      <c r="A519" s="28" t="s">
        <v>3075</v>
      </c>
      <c r="B519" s="28" t="s">
        <v>3076</v>
      </c>
      <c r="C519" s="28">
        <v>4</v>
      </c>
      <c r="D519" s="28" t="s">
        <v>3325</v>
      </c>
      <c r="E519" s="28" t="s">
        <v>131</v>
      </c>
      <c r="F519" s="30" t="s">
        <v>3673</v>
      </c>
      <c r="H519" s="28" t="s">
        <v>125</v>
      </c>
      <c r="J519" s="28" t="s">
        <v>2232</v>
      </c>
      <c r="K519" s="28" t="s">
        <v>3074</v>
      </c>
    </row>
    <row r="520" spans="1:11" ht="75" x14ac:dyDescent="0.25">
      <c r="A520" s="28" t="s">
        <v>3077</v>
      </c>
      <c r="B520" s="28" t="s">
        <v>3078</v>
      </c>
      <c r="C520" s="28">
        <v>3</v>
      </c>
      <c r="D520" s="9" t="s">
        <v>3340</v>
      </c>
      <c r="E520" s="28" t="s">
        <v>3443</v>
      </c>
      <c r="F520" s="30" t="s">
        <v>3673</v>
      </c>
      <c r="H520" s="28" t="s">
        <v>125</v>
      </c>
      <c r="J520" s="28" t="s">
        <v>2232</v>
      </c>
    </row>
    <row r="521" spans="1:11" ht="75" x14ac:dyDescent="0.25">
      <c r="A521" s="28" t="s">
        <v>3079</v>
      </c>
      <c r="B521" s="28" t="s">
        <v>3080</v>
      </c>
      <c r="C521" s="28">
        <v>4</v>
      </c>
      <c r="D521" s="28" t="s">
        <v>3326</v>
      </c>
      <c r="E521" s="28" t="s">
        <v>131</v>
      </c>
      <c r="F521" s="30" t="s">
        <v>3673</v>
      </c>
      <c r="H521" s="28" t="s">
        <v>411</v>
      </c>
      <c r="J521" s="28" t="s">
        <v>2232</v>
      </c>
      <c r="K521" s="28" t="s">
        <v>3062</v>
      </c>
    </row>
    <row r="522" spans="1:11" ht="75" x14ac:dyDescent="0.25">
      <c r="A522" s="28" t="s">
        <v>3081</v>
      </c>
      <c r="B522" s="28" t="s">
        <v>3082</v>
      </c>
      <c r="C522" s="28">
        <v>4</v>
      </c>
      <c r="D522" s="28" t="s">
        <v>3327</v>
      </c>
      <c r="E522" s="28" t="s">
        <v>131</v>
      </c>
      <c r="F522" s="30" t="s">
        <v>3673</v>
      </c>
      <c r="H522" s="28" t="s">
        <v>411</v>
      </c>
      <c r="J522" s="28" t="s">
        <v>2232</v>
      </c>
      <c r="K522" s="28" t="s">
        <v>3062</v>
      </c>
    </row>
    <row r="523" spans="1:11" ht="75" x14ac:dyDescent="0.25">
      <c r="A523" s="28" t="s">
        <v>1766</v>
      </c>
      <c r="B523" s="28">
        <v>21.4</v>
      </c>
      <c r="C523" s="28">
        <v>2</v>
      </c>
      <c r="D523" s="9" t="s">
        <v>1767</v>
      </c>
      <c r="E523" s="28" t="s">
        <v>3443</v>
      </c>
      <c r="F523" s="30" t="s">
        <v>3673</v>
      </c>
      <c r="H523" s="28" t="s">
        <v>414</v>
      </c>
      <c r="J523" s="28" t="s">
        <v>2232</v>
      </c>
      <c r="K523" s="28" t="s">
        <v>3083</v>
      </c>
    </row>
    <row r="524" spans="1:11" ht="75" x14ac:dyDescent="0.25">
      <c r="A524" s="28" t="s">
        <v>1768</v>
      </c>
      <c r="B524" s="28" t="s">
        <v>1804</v>
      </c>
      <c r="C524" s="28">
        <v>3</v>
      </c>
      <c r="D524" s="28" t="s">
        <v>1769</v>
      </c>
      <c r="E524" s="28" t="s">
        <v>131</v>
      </c>
      <c r="F524" s="30" t="s">
        <v>3673</v>
      </c>
      <c r="H524" s="28" t="s">
        <v>414</v>
      </c>
      <c r="J524" s="28" t="s">
        <v>2232</v>
      </c>
      <c r="K524" s="28" t="s">
        <v>3084</v>
      </c>
    </row>
    <row r="525" spans="1:11" ht="75" x14ac:dyDescent="0.25">
      <c r="A525" s="28" t="s">
        <v>1770</v>
      </c>
      <c r="B525" s="28" t="s">
        <v>1805</v>
      </c>
      <c r="C525" s="28">
        <v>3</v>
      </c>
      <c r="D525" s="28" t="s">
        <v>1771</v>
      </c>
      <c r="E525" s="28" t="s">
        <v>131</v>
      </c>
      <c r="F525" s="30" t="s">
        <v>3673</v>
      </c>
      <c r="H525" s="28" t="s">
        <v>414</v>
      </c>
      <c r="J525" s="28" t="s">
        <v>2232</v>
      </c>
      <c r="K525" s="28" t="s">
        <v>3085</v>
      </c>
    </row>
    <row r="526" spans="1:11" ht="75" x14ac:dyDescent="0.25">
      <c r="A526" s="28" t="s">
        <v>1772</v>
      </c>
      <c r="B526" s="28" t="s">
        <v>2509</v>
      </c>
      <c r="C526" s="28">
        <v>3</v>
      </c>
      <c r="D526" s="28" t="s">
        <v>1773</v>
      </c>
      <c r="E526" s="28" t="s">
        <v>131</v>
      </c>
      <c r="F526" s="30" t="s">
        <v>3673</v>
      </c>
      <c r="H526" s="28" t="s">
        <v>414</v>
      </c>
      <c r="J526" s="28" t="s">
        <v>2232</v>
      </c>
      <c r="K526" s="28" t="s">
        <v>3086</v>
      </c>
    </row>
    <row r="527" spans="1:11" ht="75" x14ac:dyDescent="0.25">
      <c r="A527" s="28" t="s">
        <v>1774</v>
      </c>
      <c r="B527" s="28">
        <v>21.5</v>
      </c>
      <c r="C527" s="28">
        <v>2</v>
      </c>
      <c r="D527" s="9" t="s">
        <v>1775</v>
      </c>
      <c r="E527" s="28" t="s">
        <v>3443</v>
      </c>
      <c r="F527" s="30" t="s">
        <v>3673</v>
      </c>
      <c r="H527" s="28" t="s">
        <v>416</v>
      </c>
      <c r="J527" s="28" t="s">
        <v>2232</v>
      </c>
      <c r="K527" s="28" t="s">
        <v>3087</v>
      </c>
    </row>
    <row r="528" spans="1:11" ht="75" x14ac:dyDescent="0.25">
      <c r="A528" s="28" t="s">
        <v>1776</v>
      </c>
      <c r="B528" s="28" t="s">
        <v>2593</v>
      </c>
      <c r="C528" s="28">
        <v>3</v>
      </c>
      <c r="D528" s="28" t="s">
        <v>1777</v>
      </c>
      <c r="E528" s="28" t="s">
        <v>131</v>
      </c>
      <c r="F528" s="30" t="s">
        <v>3673</v>
      </c>
      <c r="H528" s="28" t="s">
        <v>416</v>
      </c>
      <c r="J528" s="28" t="s">
        <v>2232</v>
      </c>
      <c r="K528" s="28" t="s">
        <v>3088</v>
      </c>
    </row>
    <row r="529" spans="1:11" ht="75" x14ac:dyDescent="0.25">
      <c r="A529" s="28" t="s">
        <v>1778</v>
      </c>
      <c r="B529" s="28" t="s">
        <v>2594</v>
      </c>
      <c r="C529" s="28">
        <v>3</v>
      </c>
      <c r="D529" s="28" t="s">
        <v>1779</v>
      </c>
      <c r="E529" s="28" t="s">
        <v>131</v>
      </c>
      <c r="F529" s="30" t="s">
        <v>3673</v>
      </c>
      <c r="H529" s="28" t="s">
        <v>416</v>
      </c>
      <c r="J529" s="28" t="s">
        <v>2232</v>
      </c>
      <c r="K529" s="28" t="s">
        <v>3089</v>
      </c>
    </row>
    <row r="530" spans="1:11" ht="75" x14ac:dyDescent="0.25">
      <c r="A530" s="28" t="s">
        <v>1780</v>
      </c>
      <c r="B530" s="28" t="s">
        <v>2595</v>
      </c>
      <c r="C530" s="28">
        <v>3</v>
      </c>
      <c r="D530" s="28" t="s">
        <v>1781</v>
      </c>
      <c r="E530" s="28" t="s">
        <v>131</v>
      </c>
      <c r="F530" s="30" t="s">
        <v>3673</v>
      </c>
      <c r="H530" s="28" t="s">
        <v>416</v>
      </c>
      <c r="J530" s="28" t="s">
        <v>2232</v>
      </c>
      <c r="K530" s="28" t="s">
        <v>3090</v>
      </c>
    </row>
    <row r="531" spans="1:11" ht="75" x14ac:dyDescent="0.25">
      <c r="A531" s="28" t="s">
        <v>1782</v>
      </c>
      <c r="B531" s="28" t="s">
        <v>2596</v>
      </c>
      <c r="C531" s="28">
        <v>3</v>
      </c>
      <c r="D531" s="28" t="s">
        <v>1783</v>
      </c>
      <c r="E531" s="28" t="s">
        <v>131</v>
      </c>
      <c r="F531" s="30" t="s">
        <v>3673</v>
      </c>
      <c r="H531" s="28" t="s">
        <v>416</v>
      </c>
      <c r="J531" s="28" t="s">
        <v>2232</v>
      </c>
      <c r="K531" s="28" t="s">
        <v>3091</v>
      </c>
    </row>
    <row r="532" spans="1:11" ht="75" x14ac:dyDescent="0.25">
      <c r="A532" s="28" t="s">
        <v>1784</v>
      </c>
      <c r="B532" s="28">
        <v>21.6</v>
      </c>
      <c r="C532" s="28">
        <v>2</v>
      </c>
      <c r="D532" s="9" t="s">
        <v>419</v>
      </c>
      <c r="E532" s="28" t="s">
        <v>3443</v>
      </c>
      <c r="F532" s="30" t="s">
        <v>3673</v>
      </c>
      <c r="H532" s="28" t="s">
        <v>411</v>
      </c>
      <c r="J532" s="28" t="s">
        <v>2232</v>
      </c>
    </row>
    <row r="533" spans="1:11" ht="75" x14ac:dyDescent="0.25">
      <c r="A533" s="28" t="s">
        <v>1785</v>
      </c>
      <c r="B533" s="28" t="s">
        <v>2597</v>
      </c>
      <c r="C533" s="28">
        <v>3</v>
      </c>
      <c r="D533" s="9" t="s">
        <v>1786</v>
      </c>
      <c r="E533" s="28" t="s">
        <v>3443</v>
      </c>
      <c r="F533" s="30" t="s">
        <v>3673</v>
      </c>
      <c r="H533" s="28" t="s">
        <v>420</v>
      </c>
      <c r="J533" s="28" t="s">
        <v>2232</v>
      </c>
      <c r="K533" s="28" t="s">
        <v>3092</v>
      </c>
    </row>
    <row r="534" spans="1:11" ht="75" x14ac:dyDescent="0.25">
      <c r="A534" s="28" t="s">
        <v>1787</v>
      </c>
      <c r="B534" s="28" t="s">
        <v>2598</v>
      </c>
      <c r="C534" s="28">
        <v>4</v>
      </c>
      <c r="D534" s="28" t="s">
        <v>2284</v>
      </c>
      <c r="E534" s="28" t="s">
        <v>131</v>
      </c>
      <c r="F534" s="30" t="s">
        <v>3673</v>
      </c>
      <c r="H534" s="28" t="s">
        <v>420</v>
      </c>
      <c r="J534" s="28" t="s">
        <v>2232</v>
      </c>
      <c r="K534" s="28" t="s">
        <v>3093</v>
      </c>
    </row>
    <row r="535" spans="1:11" ht="75" x14ac:dyDescent="0.25">
      <c r="A535" s="28" t="s">
        <v>1788</v>
      </c>
      <c r="B535" s="28" t="s">
        <v>2599</v>
      </c>
      <c r="C535" s="28">
        <v>4</v>
      </c>
      <c r="D535" s="28" t="s">
        <v>2285</v>
      </c>
      <c r="E535" s="28" t="s">
        <v>139</v>
      </c>
      <c r="F535" s="30" t="s">
        <v>3673</v>
      </c>
      <c r="H535" s="28" t="s">
        <v>420</v>
      </c>
      <c r="J535" s="28" t="s">
        <v>2232</v>
      </c>
    </row>
    <row r="536" spans="1:11" ht="75" x14ac:dyDescent="0.25">
      <c r="A536" s="28" t="s">
        <v>1789</v>
      </c>
      <c r="B536" s="28" t="s">
        <v>2600</v>
      </c>
      <c r="C536" s="28">
        <v>3</v>
      </c>
      <c r="D536" s="9" t="s">
        <v>1790</v>
      </c>
      <c r="E536" s="28" t="s">
        <v>3443</v>
      </c>
      <c r="F536" s="30" t="s">
        <v>3673</v>
      </c>
      <c r="H536" s="28" t="s">
        <v>411</v>
      </c>
      <c r="J536" s="28" t="s">
        <v>2232</v>
      </c>
      <c r="K536" s="28" t="s">
        <v>3094</v>
      </c>
    </row>
    <row r="537" spans="1:11" ht="75" x14ac:dyDescent="0.25">
      <c r="A537" s="28" t="s">
        <v>1791</v>
      </c>
      <c r="B537" s="28" t="s">
        <v>2601</v>
      </c>
      <c r="C537" s="28">
        <v>4</v>
      </c>
      <c r="D537" s="28" t="s">
        <v>2286</v>
      </c>
      <c r="E537" s="28" t="s">
        <v>131</v>
      </c>
      <c r="F537" s="30" t="s">
        <v>3673</v>
      </c>
      <c r="H537" s="28" t="s">
        <v>422</v>
      </c>
      <c r="J537" s="28" t="s">
        <v>2232</v>
      </c>
      <c r="K537" s="28" t="s">
        <v>3095</v>
      </c>
    </row>
    <row r="538" spans="1:11" ht="75" x14ac:dyDescent="0.25">
      <c r="A538" s="28" t="s">
        <v>1792</v>
      </c>
      <c r="B538" s="28" t="s">
        <v>2602</v>
      </c>
      <c r="C538" s="28">
        <v>4</v>
      </c>
      <c r="D538" s="28" t="s">
        <v>2287</v>
      </c>
      <c r="E538" s="28" t="s">
        <v>139</v>
      </c>
      <c r="F538" s="30" t="s">
        <v>3673</v>
      </c>
      <c r="H538" s="28" t="s">
        <v>422</v>
      </c>
      <c r="J538" s="28" t="s">
        <v>2232</v>
      </c>
    </row>
    <row r="539" spans="1:11" ht="75" x14ac:dyDescent="0.25">
      <c r="A539" s="28" t="s">
        <v>1793</v>
      </c>
      <c r="B539" s="28">
        <v>22</v>
      </c>
      <c r="C539" s="28">
        <v>1</v>
      </c>
      <c r="D539" s="9" t="s">
        <v>425</v>
      </c>
      <c r="E539" s="28" t="s">
        <v>3443</v>
      </c>
      <c r="F539" s="30" t="s">
        <v>3673</v>
      </c>
      <c r="H539" s="28" t="s">
        <v>424</v>
      </c>
      <c r="J539" s="28" t="s">
        <v>2232</v>
      </c>
    </row>
    <row r="540" spans="1:11" ht="75" x14ac:dyDescent="0.25">
      <c r="A540" s="28" t="s">
        <v>1794</v>
      </c>
      <c r="B540" s="28">
        <v>22.1</v>
      </c>
      <c r="C540" s="28">
        <v>2</v>
      </c>
      <c r="D540" s="9" t="s">
        <v>1795</v>
      </c>
      <c r="E540" s="28" t="s">
        <v>3443</v>
      </c>
      <c r="F540" s="30" t="s">
        <v>3673</v>
      </c>
      <c r="H540" s="28" t="s">
        <v>427</v>
      </c>
      <c r="J540" s="28" t="s">
        <v>2232</v>
      </c>
    </row>
    <row r="541" spans="1:11" ht="75" x14ac:dyDescent="0.25">
      <c r="A541" s="28" t="s">
        <v>1796</v>
      </c>
      <c r="B541" s="28" t="s">
        <v>2603</v>
      </c>
      <c r="C541" s="28">
        <v>2</v>
      </c>
      <c r="D541" s="28" t="s">
        <v>43</v>
      </c>
      <c r="E541" s="28" t="s">
        <v>131</v>
      </c>
      <c r="F541" s="30" t="s">
        <v>3673</v>
      </c>
      <c r="H541" s="28" t="s">
        <v>427</v>
      </c>
      <c r="J541" s="28" t="s">
        <v>2232</v>
      </c>
      <c r="K541" s="28" t="s">
        <v>3096</v>
      </c>
    </row>
    <row r="542" spans="1:11" ht="60" x14ac:dyDescent="0.25">
      <c r="A542" s="28" t="s">
        <v>2288</v>
      </c>
      <c r="B542" s="28" t="s">
        <v>2604</v>
      </c>
      <c r="C542" s="28">
        <v>2</v>
      </c>
      <c r="D542" s="28" t="s">
        <v>3436</v>
      </c>
      <c r="E542" s="28" t="s">
        <v>131</v>
      </c>
      <c r="F542" s="30" t="s">
        <v>3675</v>
      </c>
      <c r="H542" s="28" t="s">
        <v>427</v>
      </c>
      <c r="J542" s="28" t="s">
        <v>2232</v>
      </c>
    </row>
    <row r="543" spans="1:11" ht="75" x14ac:dyDescent="0.25">
      <c r="A543" s="28" t="s">
        <v>1797</v>
      </c>
      <c r="B543" s="28">
        <v>22.2</v>
      </c>
      <c r="C543" s="28">
        <v>2</v>
      </c>
      <c r="D543" s="9" t="s">
        <v>42</v>
      </c>
      <c r="E543" s="28" t="s">
        <v>3443</v>
      </c>
      <c r="F543" s="30" t="s">
        <v>3673</v>
      </c>
      <c r="H543" s="28" t="s">
        <v>429</v>
      </c>
      <c r="J543" s="28" t="s">
        <v>2232</v>
      </c>
    </row>
    <row r="544" spans="1:11" ht="75" x14ac:dyDescent="0.25">
      <c r="A544" s="28" t="s">
        <v>1798</v>
      </c>
      <c r="B544" s="28" t="s">
        <v>2605</v>
      </c>
      <c r="C544" s="28">
        <v>3</v>
      </c>
      <c r="D544" s="28" t="s">
        <v>1800</v>
      </c>
      <c r="E544" s="28" t="s">
        <v>131</v>
      </c>
      <c r="F544" s="30" t="s">
        <v>3673</v>
      </c>
      <c r="H544" s="28" t="s">
        <v>429</v>
      </c>
      <c r="J544" s="28" t="s">
        <v>2232</v>
      </c>
      <c r="K544" s="28" t="s">
        <v>3097</v>
      </c>
    </row>
    <row r="545" spans="1:11" ht="60" x14ac:dyDescent="0.25">
      <c r="A545" s="28" t="s">
        <v>2289</v>
      </c>
      <c r="B545" s="28" t="s">
        <v>2606</v>
      </c>
      <c r="C545" s="28">
        <v>3</v>
      </c>
      <c r="D545" s="28" t="s">
        <v>2290</v>
      </c>
      <c r="E545" s="28" t="s">
        <v>131</v>
      </c>
      <c r="F545" s="30" t="s">
        <v>3675</v>
      </c>
      <c r="H545" s="28" t="s">
        <v>429</v>
      </c>
      <c r="J545" s="28" t="s">
        <v>2232</v>
      </c>
    </row>
    <row r="546" spans="1:11" ht="60" x14ac:dyDescent="0.25">
      <c r="A546" s="28" t="s">
        <v>2291</v>
      </c>
      <c r="B546" s="28">
        <v>22.3</v>
      </c>
      <c r="C546" s="28">
        <v>2</v>
      </c>
      <c r="D546" s="9" t="s">
        <v>2292</v>
      </c>
      <c r="E546" s="28" t="s">
        <v>3443</v>
      </c>
      <c r="F546" s="30" t="s">
        <v>3675</v>
      </c>
      <c r="G546" s="28" t="s">
        <v>3593</v>
      </c>
      <c r="H546" s="28" t="s">
        <v>431</v>
      </c>
      <c r="J546" s="28" t="s">
        <v>2232</v>
      </c>
    </row>
    <row r="547" spans="1:11" ht="60" x14ac:dyDescent="0.25">
      <c r="A547" s="28" t="s">
        <v>1801</v>
      </c>
      <c r="B547" s="28" t="s">
        <v>2607</v>
      </c>
      <c r="C547" s="28">
        <v>2</v>
      </c>
      <c r="D547" s="28" t="s">
        <v>41</v>
      </c>
      <c r="E547" s="28" t="s">
        <v>131</v>
      </c>
      <c r="F547" s="30" t="s">
        <v>3675</v>
      </c>
      <c r="H547" s="28" t="s">
        <v>431</v>
      </c>
      <c r="J547" s="28" t="s">
        <v>2232</v>
      </c>
    </row>
    <row r="548" spans="1:11" ht="60" x14ac:dyDescent="0.25">
      <c r="A548" s="28" t="s">
        <v>1802</v>
      </c>
      <c r="B548" s="28" t="s">
        <v>2608</v>
      </c>
      <c r="C548" s="28">
        <v>2</v>
      </c>
      <c r="D548" s="28" t="s">
        <v>1803</v>
      </c>
      <c r="E548" s="28" t="s">
        <v>131</v>
      </c>
      <c r="F548" s="30" t="s">
        <v>3675</v>
      </c>
      <c r="H548" s="28" t="s">
        <v>431</v>
      </c>
      <c r="J548" s="28" t="s">
        <v>2232</v>
      </c>
    </row>
    <row r="549" spans="1:11" ht="75" x14ac:dyDescent="0.25">
      <c r="A549" s="28" t="s">
        <v>1806</v>
      </c>
      <c r="B549" s="28">
        <v>23</v>
      </c>
      <c r="C549" s="28">
        <v>1</v>
      </c>
      <c r="D549" s="9" t="s">
        <v>434</v>
      </c>
      <c r="E549" s="28" t="s">
        <v>3443</v>
      </c>
      <c r="F549" s="30" t="s">
        <v>3673</v>
      </c>
      <c r="H549" s="28" t="s">
        <v>435</v>
      </c>
      <c r="J549" s="28" t="s">
        <v>2232</v>
      </c>
    </row>
    <row r="550" spans="1:11" ht="75" x14ac:dyDescent="0.25">
      <c r="A550" s="28" t="s">
        <v>1807</v>
      </c>
      <c r="B550" s="28" t="s">
        <v>611</v>
      </c>
      <c r="C550" s="28">
        <v>2</v>
      </c>
      <c r="D550" s="28" t="s">
        <v>1808</v>
      </c>
      <c r="E550" s="28" t="s">
        <v>131</v>
      </c>
      <c r="F550" s="30" t="s">
        <v>3673</v>
      </c>
      <c r="H550" s="28" t="s">
        <v>435</v>
      </c>
      <c r="J550" s="28" t="s">
        <v>2232</v>
      </c>
      <c r="K550" s="28" t="s">
        <v>3098</v>
      </c>
    </row>
    <row r="551" spans="1:11" ht="75" x14ac:dyDescent="0.25">
      <c r="A551" s="28" t="s">
        <v>1809</v>
      </c>
      <c r="B551" s="28" t="s">
        <v>2609</v>
      </c>
      <c r="C551" s="28">
        <v>2</v>
      </c>
      <c r="D551" s="28" t="s">
        <v>1810</v>
      </c>
      <c r="E551" s="28" t="s">
        <v>131</v>
      </c>
      <c r="F551" s="30" t="s">
        <v>3673</v>
      </c>
      <c r="H551" s="28" t="s">
        <v>435</v>
      </c>
      <c r="J551" s="28" t="s">
        <v>2232</v>
      </c>
      <c r="K551" s="28" t="s">
        <v>3099</v>
      </c>
    </row>
    <row r="552" spans="1:11" ht="75" x14ac:dyDescent="0.25">
      <c r="A552" s="28" t="s">
        <v>1811</v>
      </c>
      <c r="B552" s="28" t="s">
        <v>2610</v>
      </c>
      <c r="C552" s="28">
        <v>2</v>
      </c>
      <c r="D552" s="28" t="s">
        <v>1812</v>
      </c>
      <c r="E552" s="28" t="s">
        <v>131</v>
      </c>
      <c r="F552" s="30" t="s">
        <v>3673</v>
      </c>
      <c r="H552" s="28" t="s">
        <v>435</v>
      </c>
      <c r="J552" s="28" t="s">
        <v>2232</v>
      </c>
      <c r="K552" s="28" t="s">
        <v>3100</v>
      </c>
    </row>
    <row r="553" spans="1:11" ht="75" x14ac:dyDescent="0.25">
      <c r="A553" s="28" t="s">
        <v>1813</v>
      </c>
      <c r="B553" s="28" t="s">
        <v>2611</v>
      </c>
      <c r="C553" s="28">
        <v>2</v>
      </c>
      <c r="D553" s="28" t="s">
        <v>1814</v>
      </c>
      <c r="E553" s="28" t="s">
        <v>131</v>
      </c>
      <c r="F553" s="30" t="s">
        <v>3673</v>
      </c>
      <c r="H553" s="28" t="s">
        <v>435</v>
      </c>
      <c r="J553" s="28" t="s">
        <v>2232</v>
      </c>
      <c r="K553" s="28" t="s">
        <v>3101</v>
      </c>
    </row>
    <row r="554" spans="1:11" ht="75" x14ac:dyDescent="0.25">
      <c r="A554" s="28" t="s">
        <v>1815</v>
      </c>
      <c r="B554" s="28">
        <v>24</v>
      </c>
      <c r="C554" s="28">
        <v>1</v>
      </c>
      <c r="D554" s="9" t="s">
        <v>438</v>
      </c>
      <c r="E554" s="28" t="s">
        <v>3443</v>
      </c>
      <c r="F554" s="30" t="s">
        <v>3673</v>
      </c>
      <c r="H554" s="28" t="s">
        <v>437</v>
      </c>
      <c r="J554" s="28" t="s">
        <v>2232</v>
      </c>
    </row>
    <row r="555" spans="1:11" ht="75" x14ac:dyDescent="0.25">
      <c r="A555" s="28" t="s">
        <v>1816</v>
      </c>
      <c r="B555" s="28" t="s">
        <v>612</v>
      </c>
      <c r="C555" s="28">
        <v>2</v>
      </c>
      <c r="D555" s="28" t="s">
        <v>441</v>
      </c>
      <c r="E555" s="28" t="s">
        <v>131</v>
      </c>
      <c r="F555" s="30" t="s">
        <v>3673</v>
      </c>
      <c r="H555" s="28" t="s">
        <v>440</v>
      </c>
      <c r="J555" s="28" t="s">
        <v>2232</v>
      </c>
      <c r="K555" s="28" t="s">
        <v>3102</v>
      </c>
    </row>
    <row r="556" spans="1:11" ht="75" x14ac:dyDescent="0.25">
      <c r="A556" s="28" t="s">
        <v>1817</v>
      </c>
      <c r="B556" s="28">
        <v>25</v>
      </c>
      <c r="C556" s="28">
        <v>1</v>
      </c>
      <c r="D556" s="9" t="s">
        <v>1818</v>
      </c>
      <c r="E556" s="28" t="s">
        <v>3443</v>
      </c>
      <c r="F556" s="30" t="s">
        <v>3673</v>
      </c>
      <c r="H556" s="28" t="s">
        <v>443</v>
      </c>
      <c r="J556" s="28" t="s">
        <v>2232</v>
      </c>
    </row>
    <row r="557" spans="1:11" ht="75" x14ac:dyDescent="0.25">
      <c r="A557" s="28" t="s">
        <v>1819</v>
      </c>
      <c r="B557" s="28">
        <v>25.1</v>
      </c>
      <c r="C557" s="28">
        <v>2</v>
      </c>
      <c r="D557" s="8" t="s">
        <v>3394</v>
      </c>
      <c r="E557" s="28" t="s">
        <v>131</v>
      </c>
      <c r="F557" s="30" t="s">
        <v>3673</v>
      </c>
      <c r="H557" s="28" t="s">
        <v>446</v>
      </c>
      <c r="J557" s="28" t="s">
        <v>2232</v>
      </c>
      <c r="K557" s="28" t="s">
        <v>3103</v>
      </c>
    </row>
    <row r="558" spans="1:11" ht="75" x14ac:dyDescent="0.25">
      <c r="A558" s="28" t="s">
        <v>3862</v>
      </c>
      <c r="B558" s="28" t="s">
        <v>3863</v>
      </c>
      <c r="C558" s="28">
        <v>3</v>
      </c>
      <c r="D558" s="9" t="s">
        <v>3864</v>
      </c>
      <c r="E558" s="28" t="s">
        <v>3443</v>
      </c>
      <c r="F558" s="30" t="s">
        <v>3673</v>
      </c>
      <c r="I558" s="28" t="s">
        <v>3680</v>
      </c>
      <c r="J558" s="28" t="s">
        <v>3419</v>
      </c>
    </row>
    <row r="559" spans="1:11" ht="409.5" x14ac:dyDescent="0.25">
      <c r="A559" s="28" t="s">
        <v>1943</v>
      </c>
      <c r="B559" s="28" t="s">
        <v>3865</v>
      </c>
      <c r="C559" s="28">
        <v>4</v>
      </c>
      <c r="D559" s="30" t="s">
        <v>3941</v>
      </c>
      <c r="E559" s="28" t="s">
        <v>131</v>
      </c>
      <c r="F559" s="30" t="s">
        <v>3673</v>
      </c>
      <c r="G559" s="30" t="s">
        <v>3650</v>
      </c>
      <c r="H559" s="28" t="s">
        <v>446</v>
      </c>
      <c r="I559" s="30" t="s">
        <v>3942</v>
      </c>
      <c r="J559" s="28" t="s">
        <v>2235</v>
      </c>
      <c r="K559" s="28" t="s">
        <v>3173</v>
      </c>
    </row>
    <row r="560" spans="1:11" ht="409.5" x14ac:dyDescent="0.25">
      <c r="A560" s="28" t="s">
        <v>1942</v>
      </c>
      <c r="B560" s="28" t="s">
        <v>3594</v>
      </c>
      <c r="C560" s="28">
        <v>4</v>
      </c>
      <c r="D560" s="30" t="s">
        <v>3943</v>
      </c>
      <c r="E560" s="28" t="s">
        <v>131</v>
      </c>
      <c r="F560" s="30" t="s">
        <v>3673</v>
      </c>
      <c r="G560" s="30" t="s">
        <v>3648</v>
      </c>
      <c r="H560" s="28" t="s">
        <v>446</v>
      </c>
      <c r="I560" s="30" t="s">
        <v>3944</v>
      </c>
      <c r="J560" s="28" t="s">
        <v>2235</v>
      </c>
      <c r="K560" s="28" t="s">
        <v>3172</v>
      </c>
    </row>
    <row r="561" spans="1:11" ht="409.5" x14ac:dyDescent="0.25">
      <c r="A561" s="28" t="s">
        <v>1822</v>
      </c>
      <c r="B561" s="28" t="s">
        <v>3597</v>
      </c>
      <c r="C561" s="28">
        <v>4</v>
      </c>
      <c r="D561" s="30" t="s">
        <v>3945</v>
      </c>
      <c r="E561" s="28" t="s">
        <v>131</v>
      </c>
      <c r="F561" s="30" t="s">
        <v>3673</v>
      </c>
      <c r="G561" s="28" t="s">
        <v>3598</v>
      </c>
      <c r="H561" s="28" t="s">
        <v>446</v>
      </c>
      <c r="I561" s="30" t="s">
        <v>3946</v>
      </c>
      <c r="J561" s="28" t="s">
        <v>2235</v>
      </c>
      <c r="K561" s="28" t="s">
        <v>3106</v>
      </c>
    </row>
    <row r="562" spans="1:11" ht="90" x14ac:dyDescent="0.25">
      <c r="A562" s="28" t="s">
        <v>3866</v>
      </c>
      <c r="B562" s="28" t="s">
        <v>3867</v>
      </c>
      <c r="C562" s="28">
        <v>3</v>
      </c>
      <c r="D562" s="9" t="s">
        <v>3868</v>
      </c>
      <c r="E562" s="28" t="s">
        <v>3443</v>
      </c>
      <c r="F562" s="30" t="s">
        <v>3869</v>
      </c>
      <c r="I562" s="28" t="s">
        <v>3680</v>
      </c>
      <c r="J562" s="28" t="s">
        <v>3419</v>
      </c>
    </row>
    <row r="563" spans="1:11" ht="409.5" x14ac:dyDescent="0.25">
      <c r="A563" s="28" t="s">
        <v>1939</v>
      </c>
      <c r="B563" s="28" t="s">
        <v>3602</v>
      </c>
      <c r="C563" s="28">
        <v>4</v>
      </c>
      <c r="D563" s="30" t="s">
        <v>3947</v>
      </c>
      <c r="E563" s="28" t="s">
        <v>131</v>
      </c>
      <c r="F563" s="30" t="s">
        <v>3673</v>
      </c>
      <c r="G563" s="30" t="s">
        <v>3646</v>
      </c>
      <c r="H563" s="28" t="s">
        <v>446</v>
      </c>
      <c r="I563" s="30" t="s">
        <v>3948</v>
      </c>
      <c r="J563" s="28" t="s">
        <v>2235</v>
      </c>
      <c r="K563" s="28" t="s">
        <v>3169</v>
      </c>
    </row>
    <row r="564" spans="1:11" ht="409.5" x14ac:dyDescent="0.25">
      <c r="A564" s="28" t="s">
        <v>1938</v>
      </c>
      <c r="B564" s="28" t="s">
        <v>3604</v>
      </c>
      <c r="C564" s="28">
        <v>4</v>
      </c>
      <c r="D564" s="30" t="s">
        <v>3949</v>
      </c>
      <c r="E564" s="28" t="s">
        <v>131</v>
      </c>
      <c r="F564" s="30" t="s">
        <v>3673</v>
      </c>
      <c r="G564" s="30" t="s">
        <v>3644</v>
      </c>
      <c r="H564" s="28" t="s">
        <v>446</v>
      </c>
      <c r="I564" s="30" t="s">
        <v>3950</v>
      </c>
      <c r="J564" s="28" t="s">
        <v>2235</v>
      </c>
      <c r="K564" s="28" t="s">
        <v>3168</v>
      </c>
    </row>
    <row r="565" spans="1:11" ht="409.5" x14ac:dyDescent="0.25">
      <c r="A565" s="28" t="s">
        <v>1820</v>
      </c>
      <c r="B565" s="28" t="s">
        <v>3606</v>
      </c>
      <c r="C565" s="28">
        <v>4</v>
      </c>
      <c r="D565" s="30" t="s">
        <v>3951</v>
      </c>
      <c r="E565" s="28" t="s">
        <v>131</v>
      </c>
      <c r="F565" s="30" t="s">
        <v>3673</v>
      </c>
      <c r="G565" s="28" t="s">
        <v>3870</v>
      </c>
      <c r="H565" s="28" t="s">
        <v>446</v>
      </c>
      <c r="I565" s="30" t="s">
        <v>3952</v>
      </c>
      <c r="J565" s="28" t="s">
        <v>2235</v>
      </c>
      <c r="K565" s="28" t="s">
        <v>3104</v>
      </c>
    </row>
    <row r="566" spans="1:11" ht="409.5" x14ac:dyDescent="0.25">
      <c r="A566" s="28" t="s">
        <v>1824</v>
      </c>
      <c r="B566" s="28" t="s">
        <v>3608</v>
      </c>
      <c r="C566" s="28">
        <v>4</v>
      </c>
      <c r="D566" s="30" t="s">
        <v>3953</v>
      </c>
      <c r="E566" s="28" t="s">
        <v>131</v>
      </c>
      <c r="F566" s="30" t="s">
        <v>3673</v>
      </c>
      <c r="G566" s="28" t="s">
        <v>3601</v>
      </c>
      <c r="H566" s="28" t="s">
        <v>446</v>
      </c>
      <c r="I566" s="30" t="s">
        <v>3954</v>
      </c>
      <c r="J566" s="28" t="s">
        <v>2235</v>
      </c>
      <c r="K566" s="28" t="s">
        <v>3108</v>
      </c>
    </row>
    <row r="567" spans="1:11" ht="409.5" x14ac:dyDescent="0.25">
      <c r="A567" s="28" t="s">
        <v>1947</v>
      </c>
      <c r="B567" s="28" t="s">
        <v>3610</v>
      </c>
      <c r="C567" s="28">
        <v>4</v>
      </c>
      <c r="D567" s="30" t="s">
        <v>3955</v>
      </c>
      <c r="E567" s="28" t="s">
        <v>131</v>
      </c>
      <c r="F567" s="30" t="s">
        <v>3673</v>
      </c>
      <c r="G567" s="30" t="s">
        <v>3871</v>
      </c>
      <c r="H567" s="28" t="s">
        <v>446</v>
      </c>
      <c r="I567" s="30" t="s">
        <v>3956</v>
      </c>
      <c r="J567" s="28" t="s">
        <v>2235</v>
      </c>
      <c r="K567" s="28" t="s">
        <v>3177</v>
      </c>
    </row>
    <row r="568" spans="1:11" ht="105" x14ac:dyDescent="0.25">
      <c r="A568" s="28" t="s">
        <v>3872</v>
      </c>
      <c r="B568" s="28" t="s">
        <v>3612</v>
      </c>
      <c r="C568" s="28">
        <v>4</v>
      </c>
      <c r="D568" s="30" t="s">
        <v>3957</v>
      </c>
      <c r="E568" s="28" t="s">
        <v>131</v>
      </c>
      <c r="F568" s="30" t="s">
        <v>3673</v>
      </c>
      <c r="G568" s="30" t="s">
        <v>3873</v>
      </c>
      <c r="H568" s="28" t="s">
        <v>446</v>
      </c>
      <c r="I568" s="28" t="s">
        <v>3680</v>
      </c>
      <c r="J568" s="28" t="s">
        <v>3419</v>
      </c>
      <c r="K568" s="28" t="s">
        <v>3176</v>
      </c>
    </row>
    <row r="569" spans="1:11" ht="409.5" x14ac:dyDescent="0.25">
      <c r="A569" s="28" t="s">
        <v>1946</v>
      </c>
      <c r="B569" s="28" t="s">
        <v>3614</v>
      </c>
      <c r="C569" s="28">
        <v>4</v>
      </c>
      <c r="D569" s="30" t="s">
        <v>3958</v>
      </c>
      <c r="E569" s="28" t="s">
        <v>131</v>
      </c>
      <c r="F569" s="30" t="s">
        <v>3673</v>
      </c>
      <c r="G569" s="30" t="s">
        <v>3874</v>
      </c>
      <c r="H569" s="28" t="s">
        <v>446</v>
      </c>
      <c r="I569" s="30" t="s">
        <v>3959</v>
      </c>
      <c r="J569" s="28" t="s">
        <v>2235</v>
      </c>
      <c r="K569" s="28" t="s">
        <v>3176</v>
      </c>
    </row>
    <row r="570" spans="1:11" ht="105" x14ac:dyDescent="0.25">
      <c r="A570" s="28" t="s">
        <v>3875</v>
      </c>
      <c r="B570" s="28" t="s">
        <v>3616</v>
      </c>
      <c r="C570" s="28">
        <v>4</v>
      </c>
      <c r="D570" s="30" t="s">
        <v>3960</v>
      </c>
      <c r="E570" s="28" t="s">
        <v>131</v>
      </c>
      <c r="F570" s="30" t="s">
        <v>3673</v>
      </c>
      <c r="G570" s="30" t="s">
        <v>3876</v>
      </c>
      <c r="H570" s="28" t="s">
        <v>446</v>
      </c>
      <c r="I570" s="28" t="s">
        <v>3680</v>
      </c>
      <c r="J570" s="28" t="s">
        <v>3419</v>
      </c>
      <c r="K570" s="28" t="s">
        <v>3177</v>
      </c>
    </row>
    <row r="571" spans="1:11" ht="75" x14ac:dyDescent="0.25">
      <c r="A571" s="28" t="s">
        <v>1945</v>
      </c>
      <c r="B571" s="28" t="s">
        <v>3618</v>
      </c>
      <c r="C571" s="28">
        <v>4</v>
      </c>
      <c r="D571" s="28" t="s">
        <v>3653</v>
      </c>
      <c r="E571" s="28" t="s">
        <v>131</v>
      </c>
      <c r="F571" s="30" t="s">
        <v>3673</v>
      </c>
      <c r="G571" s="28" t="s">
        <v>3877</v>
      </c>
      <c r="H571" s="28" t="s">
        <v>446</v>
      </c>
      <c r="J571" s="28" t="s">
        <v>2503</v>
      </c>
      <c r="K571" s="28" t="s">
        <v>3175</v>
      </c>
    </row>
    <row r="572" spans="1:11" ht="75" x14ac:dyDescent="0.25">
      <c r="A572" s="28" t="s">
        <v>1944</v>
      </c>
      <c r="B572" s="28" t="s">
        <v>3620</v>
      </c>
      <c r="C572" s="28">
        <v>4</v>
      </c>
      <c r="D572" s="28" t="s">
        <v>3651</v>
      </c>
      <c r="E572" s="28" t="s">
        <v>131</v>
      </c>
      <c r="F572" s="30" t="s">
        <v>3673</v>
      </c>
      <c r="G572" s="28" t="s">
        <v>3877</v>
      </c>
      <c r="H572" s="28" t="s">
        <v>446</v>
      </c>
      <c r="J572" s="28" t="s">
        <v>2503</v>
      </c>
      <c r="K572" s="28" t="s">
        <v>3174</v>
      </c>
    </row>
    <row r="573" spans="1:11" ht="75" x14ac:dyDescent="0.25">
      <c r="A573" s="28" t="s">
        <v>1823</v>
      </c>
      <c r="B573" s="28" t="s">
        <v>3622</v>
      </c>
      <c r="C573" s="28">
        <v>4</v>
      </c>
      <c r="D573" s="28" t="s">
        <v>2296</v>
      </c>
      <c r="E573" s="28" t="s">
        <v>131</v>
      </c>
      <c r="F573" s="30" t="s">
        <v>3673</v>
      </c>
      <c r="G573" s="28" t="s">
        <v>3877</v>
      </c>
      <c r="H573" s="28" t="s">
        <v>446</v>
      </c>
      <c r="J573" s="28" t="s">
        <v>2503</v>
      </c>
      <c r="K573" s="28" t="s">
        <v>3107</v>
      </c>
    </row>
    <row r="574" spans="1:11" ht="75" x14ac:dyDescent="0.25">
      <c r="A574" s="28" t="s">
        <v>1821</v>
      </c>
      <c r="B574" s="28" t="s">
        <v>3878</v>
      </c>
      <c r="C574" s="28">
        <v>4</v>
      </c>
      <c r="D574" s="28" t="s">
        <v>2294</v>
      </c>
      <c r="E574" s="28" t="s">
        <v>131</v>
      </c>
      <c r="F574" s="30" t="s">
        <v>3673</v>
      </c>
      <c r="G574" s="28" t="s">
        <v>3879</v>
      </c>
      <c r="H574" s="28" t="s">
        <v>446</v>
      </c>
      <c r="J574" s="28" t="s">
        <v>2503</v>
      </c>
      <c r="K574" s="28" t="s">
        <v>3105</v>
      </c>
    </row>
    <row r="575" spans="1:11" ht="75" x14ac:dyDescent="0.25">
      <c r="A575" s="28" t="s">
        <v>1825</v>
      </c>
      <c r="B575" s="28" t="s">
        <v>3880</v>
      </c>
      <c r="C575" s="28">
        <v>4</v>
      </c>
      <c r="D575" s="28" t="s">
        <v>2298</v>
      </c>
      <c r="E575" s="28" t="s">
        <v>131</v>
      </c>
      <c r="F575" s="30" t="s">
        <v>3673</v>
      </c>
      <c r="G575" s="28" t="s">
        <v>3879</v>
      </c>
      <c r="H575" s="28" t="s">
        <v>446</v>
      </c>
      <c r="J575" s="28" t="s">
        <v>2503</v>
      </c>
      <c r="K575" s="28" t="s">
        <v>3109</v>
      </c>
    </row>
    <row r="576" spans="1:11" ht="75" x14ac:dyDescent="0.25">
      <c r="A576" s="28" t="s">
        <v>3881</v>
      </c>
      <c r="B576" s="28" t="s">
        <v>3882</v>
      </c>
      <c r="C576" s="28">
        <v>3</v>
      </c>
      <c r="D576" s="9" t="s">
        <v>3883</v>
      </c>
      <c r="E576" s="28" t="s">
        <v>3443</v>
      </c>
      <c r="F576" s="30" t="s">
        <v>3673</v>
      </c>
      <c r="I576" s="28" t="s">
        <v>3680</v>
      </c>
      <c r="J576" s="28" t="s">
        <v>3419</v>
      </c>
    </row>
    <row r="577" spans="1:11" ht="75" x14ac:dyDescent="0.25">
      <c r="A577" s="28" t="s">
        <v>1834</v>
      </c>
      <c r="B577" s="28" t="s">
        <v>3624</v>
      </c>
      <c r="C577" s="28">
        <v>4</v>
      </c>
      <c r="D577" s="28" t="s">
        <v>3961</v>
      </c>
      <c r="E577" s="28" t="s">
        <v>131</v>
      </c>
      <c r="F577" s="30" t="s">
        <v>3673</v>
      </c>
      <c r="G577" s="30" t="s">
        <v>3615</v>
      </c>
      <c r="H577" s="28" t="s">
        <v>446</v>
      </c>
      <c r="I577" s="28" t="s">
        <v>3962</v>
      </c>
      <c r="J577" s="28" t="s">
        <v>2235</v>
      </c>
      <c r="K577" s="28" t="s">
        <v>3116</v>
      </c>
    </row>
    <row r="578" spans="1:11" ht="75" x14ac:dyDescent="0.25">
      <c r="A578" s="28" t="s">
        <v>3884</v>
      </c>
      <c r="B578" s="28" t="s">
        <v>3625</v>
      </c>
      <c r="C578" s="28">
        <v>4</v>
      </c>
      <c r="D578" s="28" t="s">
        <v>3963</v>
      </c>
      <c r="E578" s="28" t="s">
        <v>131</v>
      </c>
      <c r="F578" s="30" t="s">
        <v>3673</v>
      </c>
      <c r="G578" s="30" t="s">
        <v>3615</v>
      </c>
      <c r="H578" s="28" t="s">
        <v>446</v>
      </c>
      <c r="I578" s="28" t="s">
        <v>3680</v>
      </c>
      <c r="J578" s="28" t="s">
        <v>3419</v>
      </c>
      <c r="K578" s="28" t="s">
        <v>3116</v>
      </c>
    </row>
    <row r="579" spans="1:11" ht="75" x14ac:dyDescent="0.25">
      <c r="A579" s="28" t="s">
        <v>1832</v>
      </c>
      <c r="B579" s="28" t="s">
        <v>3626</v>
      </c>
      <c r="C579" s="28">
        <v>4</v>
      </c>
      <c r="D579" s="28" t="s">
        <v>3964</v>
      </c>
      <c r="E579" s="28" t="s">
        <v>131</v>
      </c>
      <c r="F579" s="30" t="s">
        <v>3673</v>
      </c>
      <c r="G579" s="30" t="s">
        <v>3613</v>
      </c>
      <c r="H579" s="28" t="s">
        <v>446</v>
      </c>
      <c r="I579" s="28" t="s">
        <v>3965</v>
      </c>
      <c r="J579" s="28" t="s">
        <v>2235</v>
      </c>
      <c r="K579" s="28" t="s">
        <v>3115</v>
      </c>
    </row>
    <row r="580" spans="1:11" ht="75" x14ac:dyDescent="0.25">
      <c r="A580" s="28" t="s">
        <v>3885</v>
      </c>
      <c r="B580" s="28" t="s">
        <v>3627</v>
      </c>
      <c r="C580" s="28">
        <v>4</v>
      </c>
      <c r="D580" s="28" t="s">
        <v>3966</v>
      </c>
      <c r="E580" s="28" t="s">
        <v>131</v>
      </c>
      <c r="F580" s="30" t="s">
        <v>3673</v>
      </c>
      <c r="G580" s="30" t="s">
        <v>3613</v>
      </c>
      <c r="H580" s="28" t="s">
        <v>446</v>
      </c>
      <c r="I580" s="28" t="s">
        <v>3680</v>
      </c>
      <c r="J580" s="28" t="s">
        <v>3419</v>
      </c>
      <c r="K580" s="28" t="s">
        <v>3115</v>
      </c>
    </row>
    <row r="581" spans="1:11" ht="75" x14ac:dyDescent="0.25">
      <c r="A581" s="28" t="s">
        <v>1836</v>
      </c>
      <c r="B581" s="28" t="s">
        <v>3628</v>
      </c>
      <c r="C581" s="28">
        <v>4</v>
      </c>
      <c r="D581" s="28" t="s">
        <v>3967</v>
      </c>
      <c r="E581" s="28" t="s">
        <v>131</v>
      </c>
      <c r="F581" s="30" t="s">
        <v>3673</v>
      </c>
      <c r="G581" s="30" t="s">
        <v>3617</v>
      </c>
      <c r="H581" s="28" t="s">
        <v>446</v>
      </c>
      <c r="I581" s="28" t="s">
        <v>3968</v>
      </c>
      <c r="J581" s="28" t="s">
        <v>2235</v>
      </c>
      <c r="K581" s="28" t="s">
        <v>3117</v>
      </c>
    </row>
    <row r="582" spans="1:11" ht="75" x14ac:dyDescent="0.25">
      <c r="A582" s="28" t="s">
        <v>3886</v>
      </c>
      <c r="B582" s="28" t="s">
        <v>3887</v>
      </c>
      <c r="C582" s="28">
        <v>3</v>
      </c>
      <c r="D582" s="9" t="s">
        <v>3888</v>
      </c>
      <c r="E582" s="28" t="s">
        <v>3443</v>
      </c>
      <c r="F582" s="30" t="s">
        <v>3673</v>
      </c>
      <c r="J582" s="28" t="s">
        <v>2503</v>
      </c>
    </row>
    <row r="583" spans="1:11" ht="75" x14ac:dyDescent="0.25">
      <c r="A583" s="28" t="s">
        <v>1826</v>
      </c>
      <c r="B583" s="28" t="s">
        <v>3629</v>
      </c>
      <c r="C583" s="28">
        <v>4</v>
      </c>
      <c r="D583" s="28" t="s">
        <v>1827</v>
      </c>
      <c r="E583" s="28" t="s">
        <v>131</v>
      </c>
      <c r="F583" s="30" t="s">
        <v>3673</v>
      </c>
      <c r="G583" s="28" t="s">
        <v>3889</v>
      </c>
      <c r="H583" s="28" t="s">
        <v>446</v>
      </c>
      <c r="J583" s="28" t="s">
        <v>2503</v>
      </c>
      <c r="K583" s="28" t="s">
        <v>3110</v>
      </c>
    </row>
    <row r="584" spans="1:11" ht="75" x14ac:dyDescent="0.25">
      <c r="A584" s="28" t="s">
        <v>1829</v>
      </c>
      <c r="B584" s="28" t="s">
        <v>3630</v>
      </c>
      <c r="C584" s="28">
        <v>4</v>
      </c>
      <c r="D584" s="28" t="s">
        <v>2300</v>
      </c>
      <c r="E584" s="28" t="s">
        <v>131</v>
      </c>
      <c r="F584" s="30" t="s">
        <v>3673</v>
      </c>
      <c r="G584" s="28" t="s">
        <v>3890</v>
      </c>
      <c r="H584" s="28" t="s">
        <v>446</v>
      </c>
      <c r="J584" s="28" t="s">
        <v>2503</v>
      </c>
      <c r="K584" s="28" t="s">
        <v>3112</v>
      </c>
    </row>
    <row r="585" spans="1:11" ht="75" x14ac:dyDescent="0.25">
      <c r="A585" s="28" t="s">
        <v>1831</v>
      </c>
      <c r="B585" s="28" t="s">
        <v>3631</v>
      </c>
      <c r="C585" s="28">
        <v>4</v>
      </c>
      <c r="D585" s="28" t="s">
        <v>2302</v>
      </c>
      <c r="E585" s="28" t="s">
        <v>131</v>
      </c>
      <c r="F585" s="30" t="s">
        <v>3673</v>
      </c>
      <c r="G585" s="28" t="s">
        <v>3890</v>
      </c>
      <c r="H585" s="28" t="s">
        <v>446</v>
      </c>
      <c r="J585" s="28" t="s">
        <v>2503</v>
      </c>
      <c r="K585" s="28" t="s">
        <v>3114</v>
      </c>
    </row>
    <row r="586" spans="1:11" ht="75" x14ac:dyDescent="0.25">
      <c r="A586" s="28" t="s">
        <v>1842</v>
      </c>
      <c r="B586" s="28" t="s">
        <v>3632</v>
      </c>
      <c r="C586" s="28">
        <v>4</v>
      </c>
      <c r="D586" s="28" t="s">
        <v>1843</v>
      </c>
      <c r="E586" s="28" t="s">
        <v>131</v>
      </c>
      <c r="F586" s="30" t="s">
        <v>3673</v>
      </c>
      <c r="G586" s="28" t="s">
        <v>3890</v>
      </c>
      <c r="H586" s="28" t="s">
        <v>446</v>
      </c>
      <c r="J586" s="28" t="s">
        <v>2503</v>
      </c>
      <c r="K586" s="28" t="s">
        <v>3120</v>
      </c>
    </row>
    <row r="587" spans="1:11" ht="75" x14ac:dyDescent="0.25">
      <c r="A587" s="28" t="s">
        <v>1838</v>
      </c>
      <c r="B587" s="28" t="s">
        <v>3633</v>
      </c>
      <c r="C587" s="28">
        <v>4</v>
      </c>
      <c r="D587" s="28" t="s">
        <v>1839</v>
      </c>
      <c r="E587" s="28" t="s">
        <v>131</v>
      </c>
      <c r="F587" s="30" t="s">
        <v>3673</v>
      </c>
      <c r="G587" s="28" t="s">
        <v>3890</v>
      </c>
      <c r="H587" s="28" t="s">
        <v>446</v>
      </c>
      <c r="J587" s="28" t="s">
        <v>2503</v>
      </c>
      <c r="K587" s="28" t="s">
        <v>3118</v>
      </c>
    </row>
    <row r="588" spans="1:11" ht="75" x14ac:dyDescent="0.25">
      <c r="A588" s="28" t="s">
        <v>1828</v>
      </c>
      <c r="B588" s="28" t="s">
        <v>3634</v>
      </c>
      <c r="C588" s="28">
        <v>4</v>
      </c>
      <c r="D588" s="28" t="s">
        <v>2299</v>
      </c>
      <c r="E588" s="28" t="s">
        <v>131</v>
      </c>
      <c r="F588" s="30" t="s">
        <v>3673</v>
      </c>
      <c r="G588" s="28" t="s">
        <v>3890</v>
      </c>
      <c r="H588" s="28" t="s">
        <v>446</v>
      </c>
      <c r="J588" s="28" t="s">
        <v>2503</v>
      </c>
      <c r="K588" s="28" t="s">
        <v>3111</v>
      </c>
    </row>
    <row r="589" spans="1:11" ht="75" x14ac:dyDescent="0.25">
      <c r="A589" s="28" t="s">
        <v>1830</v>
      </c>
      <c r="B589" s="28" t="s">
        <v>3635</v>
      </c>
      <c r="C589" s="28">
        <v>4</v>
      </c>
      <c r="D589" s="28" t="s">
        <v>2301</v>
      </c>
      <c r="E589" s="28" t="s">
        <v>131</v>
      </c>
      <c r="F589" s="30" t="s">
        <v>3673</v>
      </c>
      <c r="G589" s="28" t="s">
        <v>3890</v>
      </c>
      <c r="H589" s="28" t="s">
        <v>446</v>
      </c>
      <c r="J589" s="28" t="s">
        <v>2503</v>
      </c>
      <c r="K589" s="28" t="s">
        <v>3113</v>
      </c>
    </row>
    <row r="590" spans="1:11" ht="75" x14ac:dyDescent="0.25">
      <c r="A590" s="28" t="s">
        <v>1840</v>
      </c>
      <c r="B590" s="28" t="s">
        <v>3636</v>
      </c>
      <c r="C590" s="28">
        <v>4</v>
      </c>
      <c r="D590" s="28" t="s">
        <v>1841</v>
      </c>
      <c r="E590" s="28" t="s">
        <v>131</v>
      </c>
      <c r="F590" s="30" t="s">
        <v>3673</v>
      </c>
      <c r="G590" s="28" t="s">
        <v>3890</v>
      </c>
      <c r="H590" s="28" t="s">
        <v>446</v>
      </c>
      <c r="J590" s="28" t="s">
        <v>2503</v>
      </c>
      <c r="K590" s="28" t="s">
        <v>3119</v>
      </c>
    </row>
    <row r="591" spans="1:11" ht="75" x14ac:dyDescent="0.25">
      <c r="A591" s="28" t="s">
        <v>3891</v>
      </c>
      <c r="B591" s="28" t="s">
        <v>3892</v>
      </c>
      <c r="C591" s="28">
        <v>3</v>
      </c>
      <c r="D591" s="9" t="s">
        <v>3893</v>
      </c>
      <c r="E591" s="28" t="s">
        <v>3443</v>
      </c>
      <c r="F591" s="30" t="s">
        <v>3673</v>
      </c>
      <c r="J591" s="28" t="s">
        <v>2232</v>
      </c>
    </row>
    <row r="592" spans="1:11" ht="75" x14ac:dyDescent="0.25">
      <c r="A592" s="28" t="s">
        <v>1844</v>
      </c>
      <c r="B592" s="28" t="s">
        <v>3894</v>
      </c>
      <c r="C592" s="28">
        <v>4</v>
      </c>
      <c r="D592" s="28" t="s">
        <v>1845</v>
      </c>
      <c r="E592" s="28" t="s">
        <v>131</v>
      </c>
      <c r="F592" s="30" t="s">
        <v>3673</v>
      </c>
      <c r="G592" s="30" t="s">
        <v>3895</v>
      </c>
      <c r="H592" s="28" t="s">
        <v>446</v>
      </c>
      <c r="J592" s="28" t="s">
        <v>2503</v>
      </c>
      <c r="K592" s="28" t="s">
        <v>3121</v>
      </c>
    </row>
    <row r="593" spans="1:11" ht="75" x14ac:dyDescent="0.25">
      <c r="A593" s="28" t="s">
        <v>1846</v>
      </c>
      <c r="B593" s="28" t="s">
        <v>3896</v>
      </c>
      <c r="C593" s="28">
        <v>4</v>
      </c>
      <c r="D593" s="28" t="s">
        <v>1847</v>
      </c>
      <c r="E593" s="28" t="s">
        <v>131</v>
      </c>
      <c r="F593" s="30" t="s">
        <v>3673</v>
      </c>
      <c r="H593" s="28" t="s">
        <v>446</v>
      </c>
      <c r="J593" s="28" t="s">
        <v>2232</v>
      </c>
      <c r="K593" s="28" t="s">
        <v>3122</v>
      </c>
    </row>
    <row r="594" spans="1:11" ht="75" x14ac:dyDescent="0.25">
      <c r="A594" s="28" t="s">
        <v>1848</v>
      </c>
      <c r="B594" s="28" t="s">
        <v>3897</v>
      </c>
      <c r="C594" s="28">
        <v>4</v>
      </c>
      <c r="D594" s="28" t="s">
        <v>1849</v>
      </c>
      <c r="E594" s="28" t="s">
        <v>131</v>
      </c>
      <c r="F594" s="30" t="s">
        <v>3673</v>
      </c>
      <c r="H594" s="28" t="s">
        <v>446</v>
      </c>
      <c r="J594" s="28" t="s">
        <v>2232</v>
      </c>
      <c r="K594" s="28" t="s">
        <v>3123</v>
      </c>
    </row>
    <row r="595" spans="1:11" ht="75" x14ac:dyDescent="0.25">
      <c r="A595" s="28" t="s">
        <v>1850</v>
      </c>
      <c r="B595" s="28" t="s">
        <v>3898</v>
      </c>
      <c r="C595" s="28">
        <v>4</v>
      </c>
      <c r="D595" s="28" t="s">
        <v>1851</v>
      </c>
      <c r="E595" s="28" t="s">
        <v>131</v>
      </c>
      <c r="F595" s="30" t="s">
        <v>3673</v>
      </c>
      <c r="H595" s="28" t="s">
        <v>446</v>
      </c>
      <c r="J595" s="28" t="s">
        <v>2232</v>
      </c>
      <c r="K595" s="28" t="s">
        <v>3124</v>
      </c>
    </row>
    <row r="596" spans="1:11" ht="75" x14ac:dyDescent="0.25">
      <c r="A596" s="28" t="s">
        <v>1852</v>
      </c>
      <c r="B596" s="28" t="s">
        <v>3899</v>
      </c>
      <c r="C596" s="28">
        <v>4</v>
      </c>
      <c r="D596" s="28" t="s">
        <v>1853</v>
      </c>
      <c r="E596" s="28" t="s">
        <v>131</v>
      </c>
      <c r="F596" s="30" t="s">
        <v>3673</v>
      </c>
      <c r="H596" s="28" t="s">
        <v>446</v>
      </c>
      <c r="J596" s="28" t="s">
        <v>2232</v>
      </c>
      <c r="K596" s="28" t="s">
        <v>3125</v>
      </c>
    </row>
    <row r="597" spans="1:11" ht="75" x14ac:dyDescent="0.25">
      <c r="A597" s="28" t="s">
        <v>1854</v>
      </c>
      <c r="B597" s="28" t="s">
        <v>3900</v>
      </c>
      <c r="C597" s="28">
        <v>4</v>
      </c>
      <c r="D597" s="28" t="s">
        <v>1855</v>
      </c>
      <c r="E597" s="28" t="s">
        <v>131</v>
      </c>
      <c r="F597" s="30" t="s">
        <v>3673</v>
      </c>
      <c r="H597" s="28" t="s">
        <v>446</v>
      </c>
      <c r="J597" s="28" t="s">
        <v>2232</v>
      </c>
      <c r="K597" s="28" t="s">
        <v>3126</v>
      </c>
    </row>
    <row r="598" spans="1:11" ht="75" x14ac:dyDescent="0.25">
      <c r="A598" s="28" t="s">
        <v>1856</v>
      </c>
      <c r="B598" s="28" t="s">
        <v>3901</v>
      </c>
      <c r="C598" s="28">
        <v>4</v>
      </c>
      <c r="D598" s="28" t="s">
        <v>1857</v>
      </c>
      <c r="E598" s="28" t="s">
        <v>131</v>
      </c>
      <c r="F598" s="30" t="s">
        <v>3673</v>
      </c>
      <c r="H598" s="28" t="s">
        <v>446</v>
      </c>
      <c r="J598" s="28" t="s">
        <v>2232</v>
      </c>
      <c r="K598" s="28" t="s">
        <v>3127</v>
      </c>
    </row>
    <row r="599" spans="1:11" ht="75" x14ac:dyDescent="0.25">
      <c r="A599" s="28" t="s">
        <v>1858</v>
      </c>
      <c r="B599" s="28" t="s">
        <v>3902</v>
      </c>
      <c r="C599" s="28">
        <v>4</v>
      </c>
      <c r="D599" s="28" t="s">
        <v>1859</v>
      </c>
      <c r="E599" s="28" t="s">
        <v>131</v>
      </c>
      <c r="F599" s="30" t="s">
        <v>3673</v>
      </c>
      <c r="H599" s="28" t="s">
        <v>446</v>
      </c>
      <c r="J599" s="28" t="s">
        <v>2232</v>
      </c>
      <c r="K599" s="28" t="s">
        <v>3128</v>
      </c>
    </row>
    <row r="600" spans="1:11" ht="75" x14ac:dyDescent="0.25">
      <c r="A600" s="28" t="s">
        <v>1860</v>
      </c>
      <c r="B600" s="28" t="s">
        <v>3903</v>
      </c>
      <c r="C600" s="28">
        <v>4</v>
      </c>
      <c r="D600" s="28" t="s">
        <v>1861</v>
      </c>
      <c r="E600" s="28" t="s">
        <v>131</v>
      </c>
      <c r="F600" s="30" t="s">
        <v>3673</v>
      </c>
      <c r="H600" s="28" t="s">
        <v>446</v>
      </c>
      <c r="J600" s="28" t="s">
        <v>2232</v>
      </c>
      <c r="K600" s="28" t="s">
        <v>3129</v>
      </c>
    </row>
    <row r="601" spans="1:11" ht="75" x14ac:dyDescent="0.25">
      <c r="A601" s="28" t="s">
        <v>3904</v>
      </c>
      <c r="B601" s="28" t="s">
        <v>3905</v>
      </c>
      <c r="C601" s="28">
        <v>3</v>
      </c>
      <c r="D601" s="9" t="s">
        <v>3906</v>
      </c>
      <c r="E601" s="28" t="s">
        <v>3443</v>
      </c>
      <c r="F601" s="30" t="s">
        <v>3673</v>
      </c>
      <c r="J601" s="28" t="s">
        <v>2232</v>
      </c>
    </row>
    <row r="602" spans="1:11" ht="75" x14ac:dyDescent="0.25">
      <c r="A602" s="28" t="s">
        <v>1862</v>
      </c>
      <c r="B602" s="28" t="s">
        <v>3637</v>
      </c>
      <c r="C602" s="28">
        <v>4</v>
      </c>
      <c r="D602" s="28" t="s">
        <v>1863</v>
      </c>
      <c r="E602" s="28" t="s">
        <v>131</v>
      </c>
      <c r="F602" s="30" t="s">
        <v>3673</v>
      </c>
      <c r="H602" s="28" t="s">
        <v>446</v>
      </c>
      <c r="J602" s="28" t="s">
        <v>2232</v>
      </c>
      <c r="K602" s="28" t="s">
        <v>3130</v>
      </c>
    </row>
    <row r="603" spans="1:11" ht="75" x14ac:dyDescent="0.25">
      <c r="A603" s="28" t="s">
        <v>1864</v>
      </c>
      <c r="B603" s="28" t="s">
        <v>3638</v>
      </c>
      <c r="C603" s="28">
        <v>4</v>
      </c>
      <c r="D603" s="28" t="s">
        <v>1865</v>
      </c>
      <c r="E603" s="28" t="s">
        <v>131</v>
      </c>
      <c r="F603" s="30" t="s">
        <v>3673</v>
      </c>
      <c r="H603" s="28" t="s">
        <v>446</v>
      </c>
      <c r="J603" s="28" t="s">
        <v>2232</v>
      </c>
      <c r="K603" s="28" t="s">
        <v>3131</v>
      </c>
    </row>
    <row r="604" spans="1:11" ht="75" x14ac:dyDescent="0.25">
      <c r="A604" s="28" t="s">
        <v>1866</v>
      </c>
      <c r="B604" s="28" t="s">
        <v>3639</v>
      </c>
      <c r="C604" s="28">
        <v>4</v>
      </c>
      <c r="D604" s="28" t="s">
        <v>1867</v>
      </c>
      <c r="E604" s="28" t="s">
        <v>131</v>
      </c>
      <c r="F604" s="30" t="s">
        <v>3673</v>
      </c>
      <c r="H604" s="28" t="s">
        <v>446</v>
      </c>
      <c r="J604" s="28" t="s">
        <v>2232</v>
      </c>
      <c r="K604" s="28" t="s">
        <v>3132</v>
      </c>
    </row>
    <row r="605" spans="1:11" ht="75" x14ac:dyDescent="0.25">
      <c r="A605" s="28" t="s">
        <v>1868</v>
      </c>
      <c r="B605" s="28" t="s">
        <v>3640</v>
      </c>
      <c r="C605" s="28">
        <v>4</v>
      </c>
      <c r="D605" s="28" t="s">
        <v>1869</v>
      </c>
      <c r="E605" s="28" t="s">
        <v>131</v>
      </c>
      <c r="F605" s="30" t="s">
        <v>3673</v>
      </c>
      <c r="H605" s="28" t="s">
        <v>446</v>
      </c>
      <c r="J605" s="28" t="s">
        <v>2232</v>
      </c>
      <c r="K605" s="28" t="s">
        <v>3133</v>
      </c>
    </row>
    <row r="606" spans="1:11" ht="75" x14ac:dyDescent="0.25">
      <c r="A606" s="28" t="s">
        <v>1870</v>
      </c>
      <c r="B606" s="28" t="s">
        <v>3641</v>
      </c>
      <c r="C606" s="28">
        <v>4</v>
      </c>
      <c r="D606" s="28" t="s">
        <v>1871</v>
      </c>
      <c r="E606" s="28" t="s">
        <v>131</v>
      </c>
      <c r="F606" s="30" t="s">
        <v>3673</v>
      </c>
      <c r="H606" s="28" t="s">
        <v>446</v>
      </c>
      <c r="J606" s="28" t="s">
        <v>2232</v>
      </c>
      <c r="K606" s="28" t="s">
        <v>3134</v>
      </c>
    </row>
    <row r="607" spans="1:11" ht="75" x14ac:dyDescent="0.25">
      <c r="A607" s="28" t="s">
        <v>3907</v>
      </c>
      <c r="B607" s="28" t="s">
        <v>3908</v>
      </c>
      <c r="C607" s="28">
        <v>3</v>
      </c>
      <c r="D607" s="9" t="s">
        <v>3909</v>
      </c>
      <c r="E607" s="28" t="s">
        <v>3443</v>
      </c>
      <c r="F607" s="30" t="s">
        <v>3673</v>
      </c>
      <c r="J607" s="28" t="s">
        <v>2232</v>
      </c>
    </row>
    <row r="608" spans="1:11" ht="75" x14ac:dyDescent="0.25">
      <c r="A608" s="28" t="s">
        <v>1872</v>
      </c>
      <c r="B608" s="28" t="s">
        <v>3910</v>
      </c>
      <c r="C608" s="28">
        <v>4</v>
      </c>
      <c r="D608" s="28" t="s">
        <v>1873</v>
      </c>
      <c r="E608" s="28" t="s">
        <v>131</v>
      </c>
      <c r="F608" s="30" t="s">
        <v>3673</v>
      </c>
      <c r="H608" s="28" t="s">
        <v>446</v>
      </c>
      <c r="J608" s="28" t="s">
        <v>2232</v>
      </c>
      <c r="K608" s="28" t="s">
        <v>3135</v>
      </c>
    </row>
    <row r="609" spans="1:11" ht="75" x14ac:dyDescent="0.25">
      <c r="A609" s="28" t="s">
        <v>1874</v>
      </c>
      <c r="B609" s="28" t="s">
        <v>3911</v>
      </c>
      <c r="C609" s="28">
        <v>4</v>
      </c>
      <c r="D609" s="28" t="s">
        <v>1875</v>
      </c>
      <c r="E609" s="28" t="s">
        <v>131</v>
      </c>
      <c r="F609" s="30" t="s">
        <v>3673</v>
      </c>
      <c r="H609" s="28" t="s">
        <v>446</v>
      </c>
      <c r="J609" s="28" t="s">
        <v>2232</v>
      </c>
      <c r="K609" s="28" t="s">
        <v>3136</v>
      </c>
    </row>
    <row r="610" spans="1:11" ht="75" x14ac:dyDescent="0.25">
      <c r="A610" s="28" t="s">
        <v>1876</v>
      </c>
      <c r="B610" s="28" t="s">
        <v>3912</v>
      </c>
      <c r="C610" s="28">
        <v>4</v>
      </c>
      <c r="D610" s="28" t="s">
        <v>1877</v>
      </c>
      <c r="E610" s="28" t="s">
        <v>131</v>
      </c>
      <c r="F610" s="30" t="s">
        <v>3673</v>
      </c>
      <c r="H610" s="28" t="s">
        <v>446</v>
      </c>
      <c r="J610" s="28" t="s">
        <v>2232</v>
      </c>
      <c r="K610" s="28" t="s">
        <v>3137</v>
      </c>
    </row>
    <row r="611" spans="1:11" ht="75" x14ac:dyDescent="0.25">
      <c r="A611" s="28" t="s">
        <v>1878</v>
      </c>
      <c r="B611" s="28" t="s">
        <v>3913</v>
      </c>
      <c r="C611" s="28">
        <v>4</v>
      </c>
      <c r="D611" s="28" t="s">
        <v>1879</v>
      </c>
      <c r="E611" s="28" t="s">
        <v>131</v>
      </c>
      <c r="F611" s="30" t="s">
        <v>3673</v>
      </c>
      <c r="H611" s="28" t="s">
        <v>446</v>
      </c>
      <c r="J611" s="28" t="s">
        <v>2232</v>
      </c>
      <c r="K611" s="28" t="s">
        <v>3138</v>
      </c>
    </row>
    <row r="612" spans="1:11" ht="75" x14ac:dyDescent="0.25">
      <c r="A612" s="28" t="s">
        <v>1880</v>
      </c>
      <c r="B612" s="28" t="s">
        <v>3914</v>
      </c>
      <c r="C612" s="28">
        <v>4</v>
      </c>
      <c r="D612" s="28" t="s">
        <v>1881</v>
      </c>
      <c r="E612" s="28" t="s">
        <v>131</v>
      </c>
      <c r="F612" s="30" t="s">
        <v>3673</v>
      </c>
      <c r="H612" s="28" t="s">
        <v>446</v>
      </c>
      <c r="J612" s="28" t="s">
        <v>2232</v>
      </c>
      <c r="K612" s="28" t="s">
        <v>3139</v>
      </c>
    </row>
    <row r="613" spans="1:11" ht="75" x14ac:dyDescent="0.25">
      <c r="A613" s="28" t="s">
        <v>1882</v>
      </c>
      <c r="B613" s="28" t="s">
        <v>3915</v>
      </c>
      <c r="C613" s="28">
        <v>4</v>
      </c>
      <c r="D613" s="28" t="s">
        <v>1883</v>
      </c>
      <c r="E613" s="28" t="s">
        <v>131</v>
      </c>
      <c r="F613" s="30" t="s">
        <v>3673</v>
      </c>
      <c r="H613" s="28" t="s">
        <v>446</v>
      </c>
      <c r="J613" s="28" t="s">
        <v>2232</v>
      </c>
      <c r="K613" s="28" t="s">
        <v>3140</v>
      </c>
    </row>
    <row r="614" spans="1:11" ht="75" x14ac:dyDescent="0.25">
      <c r="A614" s="28" t="s">
        <v>1884</v>
      </c>
      <c r="B614" s="28" t="s">
        <v>3916</v>
      </c>
      <c r="C614" s="28">
        <v>4</v>
      </c>
      <c r="D614" s="28" t="s">
        <v>1885</v>
      </c>
      <c r="E614" s="28" t="s">
        <v>131</v>
      </c>
      <c r="F614" s="30" t="s">
        <v>3673</v>
      </c>
      <c r="H614" s="28" t="s">
        <v>446</v>
      </c>
      <c r="J614" s="28" t="s">
        <v>2232</v>
      </c>
      <c r="K614" s="28" t="s">
        <v>3141</v>
      </c>
    </row>
    <row r="615" spans="1:11" ht="75" x14ac:dyDescent="0.25">
      <c r="A615" s="28" t="s">
        <v>1886</v>
      </c>
      <c r="B615" s="28" t="s">
        <v>3917</v>
      </c>
      <c r="C615" s="28">
        <v>4</v>
      </c>
      <c r="D615" s="28" t="s">
        <v>1887</v>
      </c>
      <c r="E615" s="28" t="s">
        <v>131</v>
      </c>
      <c r="F615" s="30" t="s">
        <v>3673</v>
      </c>
      <c r="H615" s="28" t="s">
        <v>446</v>
      </c>
      <c r="J615" s="28" t="s">
        <v>2232</v>
      </c>
      <c r="K615" s="28" t="s">
        <v>3142</v>
      </c>
    </row>
    <row r="616" spans="1:11" ht="75" x14ac:dyDescent="0.25">
      <c r="A616" s="28" t="s">
        <v>1888</v>
      </c>
      <c r="B616" s="28" t="s">
        <v>3918</v>
      </c>
      <c r="C616" s="28">
        <v>4</v>
      </c>
      <c r="D616" s="28" t="s">
        <v>1889</v>
      </c>
      <c r="E616" s="28" t="s">
        <v>131</v>
      </c>
      <c r="F616" s="30" t="s">
        <v>3673</v>
      </c>
      <c r="H616" s="28" t="s">
        <v>446</v>
      </c>
      <c r="J616" s="28" t="s">
        <v>2232</v>
      </c>
      <c r="K616" s="28" t="s">
        <v>3143</v>
      </c>
    </row>
    <row r="617" spans="1:11" ht="75" x14ac:dyDescent="0.25">
      <c r="A617" s="28" t="s">
        <v>1890</v>
      </c>
      <c r="B617" s="28" t="s">
        <v>3919</v>
      </c>
      <c r="C617" s="28">
        <v>4</v>
      </c>
      <c r="D617" s="28" t="s">
        <v>1891</v>
      </c>
      <c r="E617" s="28" t="s">
        <v>131</v>
      </c>
      <c r="F617" s="30" t="s">
        <v>3673</v>
      </c>
      <c r="H617" s="28" t="s">
        <v>446</v>
      </c>
      <c r="J617" s="28" t="s">
        <v>2232</v>
      </c>
      <c r="K617" s="28" t="s">
        <v>3144</v>
      </c>
    </row>
    <row r="618" spans="1:11" x14ac:dyDescent="0.25">
      <c r="A618" s="28" t="s">
        <v>3920</v>
      </c>
      <c r="B618" s="28" t="s">
        <v>3921</v>
      </c>
      <c r="C618" s="28">
        <v>3</v>
      </c>
      <c r="D618" s="9" t="s">
        <v>3922</v>
      </c>
      <c r="E618" s="28" t="s">
        <v>3443</v>
      </c>
      <c r="J618" s="28" t="s">
        <v>3923</v>
      </c>
    </row>
    <row r="619" spans="1:11" ht="75" x14ac:dyDescent="0.25">
      <c r="A619" s="28" t="s">
        <v>3924</v>
      </c>
      <c r="B619" s="28" t="s">
        <v>3925</v>
      </c>
      <c r="C619" s="28">
        <v>3</v>
      </c>
      <c r="D619" s="9" t="s">
        <v>3926</v>
      </c>
      <c r="E619" s="28" t="s">
        <v>3443</v>
      </c>
      <c r="F619" s="30" t="s">
        <v>3673</v>
      </c>
      <c r="J619" s="28" t="s">
        <v>2232</v>
      </c>
    </row>
    <row r="620" spans="1:11" ht="75" x14ac:dyDescent="0.25">
      <c r="A620" s="28" t="s">
        <v>1904</v>
      </c>
      <c r="B620" s="28" t="s">
        <v>3927</v>
      </c>
      <c r="C620" s="28">
        <v>4</v>
      </c>
      <c r="D620" s="28" t="s">
        <v>1905</v>
      </c>
      <c r="E620" s="28" t="s">
        <v>131</v>
      </c>
      <c r="F620" s="30" t="s">
        <v>3673</v>
      </c>
      <c r="H620" s="28" t="s">
        <v>446</v>
      </c>
      <c r="J620" s="28" t="s">
        <v>2232</v>
      </c>
      <c r="K620" s="28" t="s">
        <v>3151</v>
      </c>
    </row>
    <row r="621" spans="1:11" ht="75" x14ac:dyDescent="0.25">
      <c r="A621" s="28" t="s">
        <v>1906</v>
      </c>
      <c r="B621" s="28" t="s">
        <v>3928</v>
      </c>
      <c r="C621" s="28">
        <v>4</v>
      </c>
      <c r="D621" s="28" t="s">
        <v>1907</v>
      </c>
      <c r="E621" s="28" t="s">
        <v>131</v>
      </c>
      <c r="F621" s="30" t="s">
        <v>3673</v>
      </c>
      <c r="H621" s="28" t="s">
        <v>446</v>
      </c>
      <c r="J621" s="28" t="s">
        <v>2232</v>
      </c>
      <c r="K621" s="28" t="s">
        <v>3152</v>
      </c>
    </row>
    <row r="622" spans="1:11" ht="75" x14ac:dyDescent="0.25">
      <c r="A622" s="28" t="s">
        <v>1908</v>
      </c>
      <c r="B622" s="28" t="s">
        <v>3929</v>
      </c>
      <c r="C622" s="28">
        <v>4</v>
      </c>
      <c r="D622" s="28" t="s">
        <v>1909</v>
      </c>
      <c r="E622" s="28" t="s">
        <v>131</v>
      </c>
      <c r="F622" s="30" t="s">
        <v>3673</v>
      </c>
      <c r="H622" s="28" t="s">
        <v>446</v>
      </c>
      <c r="J622" s="28" t="s">
        <v>2232</v>
      </c>
      <c r="K622" s="28" t="s">
        <v>3153</v>
      </c>
    </row>
    <row r="623" spans="1:11" ht="75" x14ac:dyDescent="0.25">
      <c r="A623" s="28" t="s">
        <v>1910</v>
      </c>
      <c r="B623" s="28" t="s">
        <v>3930</v>
      </c>
      <c r="C623" s="28">
        <v>4</v>
      </c>
      <c r="D623" s="28" t="s">
        <v>1911</v>
      </c>
      <c r="E623" s="28" t="s">
        <v>131</v>
      </c>
      <c r="F623" s="30" t="s">
        <v>3673</v>
      </c>
      <c r="H623" s="28" t="s">
        <v>446</v>
      </c>
      <c r="J623" s="28" t="s">
        <v>2232</v>
      </c>
      <c r="K623" s="28" t="s">
        <v>3154</v>
      </c>
    </row>
    <row r="624" spans="1:11" ht="75" x14ac:dyDescent="0.25">
      <c r="A624" s="28" t="s">
        <v>1912</v>
      </c>
      <c r="B624" s="28" t="s">
        <v>3931</v>
      </c>
      <c r="C624" s="28">
        <v>4</v>
      </c>
      <c r="D624" s="28" t="s">
        <v>1913</v>
      </c>
      <c r="E624" s="28" t="s">
        <v>131</v>
      </c>
      <c r="F624" s="30" t="s">
        <v>3673</v>
      </c>
      <c r="H624" s="28" t="s">
        <v>446</v>
      </c>
      <c r="J624" s="28" t="s">
        <v>2232</v>
      </c>
      <c r="K624" s="28" t="s">
        <v>3155</v>
      </c>
    </row>
    <row r="625" spans="1:11" ht="75" x14ac:dyDescent="0.25">
      <c r="A625" s="28" t="s">
        <v>1914</v>
      </c>
      <c r="B625" s="28" t="s">
        <v>3932</v>
      </c>
      <c r="C625" s="28">
        <v>4</v>
      </c>
      <c r="D625" s="28" t="s">
        <v>1915</v>
      </c>
      <c r="E625" s="28" t="s">
        <v>131</v>
      </c>
      <c r="F625" s="30" t="s">
        <v>3673</v>
      </c>
      <c r="H625" s="28" t="s">
        <v>446</v>
      </c>
      <c r="J625" s="28" t="s">
        <v>2232</v>
      </c>
      <c r="K625" s="28" t="s">
        <v>3156</v>
      </c>
    </row>
    <row r="626" spans="1:11" ht="75" x14ac:dyDescent="0.25">
      <c r="A626" s="28" t="s">
        <v>1916</v>
      </c>
      <c r="B626" s="28" t="s">
        <v>3933</v>
      </c>
      <c r="C626" s="28">
        <v>4</v>
      </c>
      <c r="D626" s="28" t="s">
        <v>1917</v>
      </c>
      <c r="E626" s="28" t="s">
        <v>131</v>
      </c>
      <c r="F626" s="30" t="s">
        <v>3673</v>
      </c>
      <c r="H626" s="28" t="s">
        <v>446</v>
      </c>
      <c r="J626" s="28" t="s">
        <v>2232</v>
      </c>
      <c r="K626" s="28" t="s">
        <v>3157</v>
      </c>
    </row>
    <row r="627" spans="1:11" ht="75" x14ac:dyDescent="0.25">
      <c r="A627" s="28" t="s">
        <v>1918</v>
      </c>
      <c r="B627" s="28" t="s">
        <v>3934</v>
      </c>
      <c r="C627" s="28">
        <v>4</v>
      </c>
      <c r="D627" s="28" t="s">
        <v>1919</v>
      </c>
      <c r="E627" s="28" t="s">
        <v>131</v>
      </c>
      <c r="F627" s="30" t="s">
        <v>3673</v>
      </c>
      <c r="H627" s="28" t="s">
        <v>446</v>
      </c>
      <c r="J627" s="28" t="s">
        <v>2232</v>
      </c>
      <c r="K627" s="28" t="s">
        <v>3158</v>
      </c>
    </row>
    <row r="628" spans="1:11" ht="75" x14ac:dyDescent="0.25">
      <c r="A628" s="28" t="s">
        <v>1920</v>
      </c>
      <c r="B628" s="28" t="s">
        <v>3935</v>
      </c>
      <c r="C628" s="28">
        <v>4</v>
      </c>
      <c r="D628" s="28" t="s">
        <v>1921</v>
      </c>
      <c r="E628" s="28" t="s">
        <v>131</v>
      </c>
      <c r="F628" s="30" t="s">
        <v>3673</v>
      </c>
      <c r="H628" s="28" t="s">
        <v>446</v>
      </c>
      <c r="J628" s="28" t="s">
        <v>2232</v>
      </c>
      <c r="K628" s="28" t="s">
        <v>3159</v>
      </c>
    </row>
    <row r="629" spans="1:11" ht="75" x14ac:dyDescent="0.25">
      <c r="A629" s="28" t="s">
        <v>1922</v>
      </c>
      <c r="B629" s="28" t="s">
        <v>3936</v>
      </c>
      <c r="C629" s="28">
        <v>4</v>
      </c>
      <c r="D629" s="28" t="s">
        <v>1923</v>
      </c>
      <c r="E629" s="28" t="s">
        <v>131</v>
      </c>
      <c r="F629" s="30" t="s">
        <v>3673</v>
      </c>
      <c r="H629" s="28" t="s">
        <v>446</v>
      </c>
      <c r="J629" s="28" t="s">
        <v>2232</v>
      </c>
      <c r="K629" s="28" t="s">
        <v>3160</v>
      </c>
    </row>
    <row r="630" spans="1:11" ht="75" x14ac:dyDescent="0.25">
      <c r="A630" s="28" t="s">
        <v>3937</v>
      </c>
      <c r="B630" s="28" t="s">
        <v>3938</v>
      </c>
      <c r="C630" s="28">
        <v>3</v>
      </c>
      <c r="D630" s="9" t="s">
        <v>3939</v>
      </c>
      <c r="E630" s="28" t="s">
        <v>3443</v>
      </c>
      <c r="F630" s="30" t="s">
        <v>3673</v>
      </c>
      <c r="J630" s="28" t="s">
        <v>2232</v>
      </c>
    </row>
    <row r="631" spans="1:11" ht="75" x14ac:dyDescent="0.25">
      <c r="A631" s="28" t="s">
        <v>1936</v>
      </c>
      <c r="B631" s="28" t="s">
        <v>3940</v>
      </c>
      <c r="C631" s="28">
        <v>4</v>
      </c>
      <c r="D631" s="28" t="s">
        <v>1937</v>
      </c>
      <c r="E631" s="28" t="s">
        <v>131</v>
      </c>
      <c r="F631" s="30" t="s">
        <v>3673</v>
      </c>
      <c r="H631" s="28" t="s">
        <v>446</v>
      </c>
      <c r="J631" s="28" t="s">
        <v>2232</v>
      </c>
      <c r="K631" s="28" t="s">
        <v>3167</v>
      </c>
    </row>
    <row r="632" spans="1:11" ht="75" x14ac:dyDescent="0.25">
      <c r="A632" s="28" t="s">
        <v>1958</v>
      </c>
      <c r="B632" s="28">
        <v>25.2</v>
      </c>
      <c r="C632" s="28">
        <v>2</v>
      </c>
      <c r="D632" s="8" t="s">
        <v>3395</v>
      </c>
      <c r="E632" s="28" t="s">
        <v>3443</v>
      </c>
      <c r="F632" s="30" t="s">
        <v>3673</v>
      </c>
      <c r="H632" s="28" t="s">
        <v>446</v>
      </c>
      <c r="J632" s="28" t="s">
        <v>2232</v>
      </c>
      <c r="K632" s="28" t="s">
        <v>3188</v>
      </c>
    </row>
    <row r="633" spans="1:11" ht="75" x14ac:dyDescent="0.25">
      <c r="A633" s="28" t="s">
        <v>1959</v>
      </c>
      <c r="B633" s="28" t="s">
        <v>2085</v>
      </c>
      <c r="C633" s="28">
        <v>3</v>
      </c>
      <c r="D633" s="28" t="s">
        <v>1960</v>
      </c>
      <c r="E633" s="28" t="s">
        <v>139</v>
      </c>
      <c r="F633" s="30" t="s">
        <v>3673</v>
      </c>
      <c r="H633" s="28" t="s">
        <v>448</v>
      </c>
      <c r="J633" s="28" t="s">
        <v>2232</v>
      </c>
    </row>
    <row r="634" spans="1:11" ht="75" x14ac:dyDescent="0.25">
      <c r="A634" s="28" t="s">
        <v>1961</v>
      </c>
      <c r="B634" s="28" t="s">
        <v>2612</v>
      </c>
      <c r="C634" s="28">
        <v>3</v>
      </c>
      <c r="D634" s="28" t="s">
        <v>1962</v>
      </c>
      <c r="E634" s="28" t="s">
        <v>131</v>
      </c>
      <c r="F634" s="30" t="s">
        <v>3673</v>
      </c>
      <c r="H634" s="28" t="s">
        <v>448</v>
      </c>
      <c r="J634" s="28" t="s">
        <v>2232</v>
      </c>
      <c r="K634" s="28" t="s">
        <v>3189</v>
      </c>
    </row>
    <row r="635" spans="1:11" ht="75" x14ac:dyDescent="0.25">
      <c r="A635" s="28" t="s">
        <v>1963</v>
      </c>
      <c r="B635" s="28" t="s">
        <v>2613</v>
      </c>
      <c r="C635" s="28">
        <v>3</v>
      </c>
      <c r="D635" s="28" t="s">
        <v>1964</v>
      </c>
      <c r="E635" s="28" t="s">
        <v>131</v>
      </c>
      <c r="F635" s="30" t="s">
        <v>3673</v>
      </c>
      <c r="H635" s="28" t="s">
        <v>448</v>
      </c>
      <c r="J635" s="28" t="s">
        <v>2232</v>
      </c>
      <c r="K635" s="28" t="s">
        <v>3190</v>
      </c>
    </row>
    <row r="636" spans="1:11" ht="75" x14ac:dyDescent="0.25">
      <c r="A636" s="28" t="s">
        <v>1965</v>
      </c>
      <c r="B636" s="28" t="s">
        <v>2614</v>
      </c>
      <c r="C636" s="28">
        <v>3</v>
      </c>
      <c r="D636" s="28" t="s">
        <v>1966</v>
      </c>
      <c r="E636" s="28" t="s">
        <v>131</v>
      </c>
      <c r="F636" s="30" t="s">
        <v>3673</v>
      </c>
      <c r="H636" s="28" t="s">
        <v>448</v>
      </c>
      <c r="J636" s="28" t="s">
        <v>2232</v>
      </c>
      <c r="K636" s="28" t="s">
        <v>3191</v>
      </c>
    </row>
    <row r="637" spans="1:11" ht="75" x14ac:dyDescent="0.25">
      <c r="A637" s="28" t="s">
        <v>1967</v>
      </c>
      <c r="B637" s="28" t="s">
        <v>2615</v>
      </c>
      <c r="C637" s="28">
        <v>3</v>
      </c>
      <c r="D637" s="28" t="s">
        <v>1968</v>
      </c>
      <c r="E637" s="28" t="s">
        <v>131</v>
      </c>
      <c r="F637" s="30" t="s">
        <v>3673</v>
      </c>
      <c r="H637" s="28" t="s">
        <v>448</v>
      </c>
      <c r="J637" s="28" t="s">
        <v>2232</v>
      </c>
      <c r="K637" s="28" t="s">
        <v>3192</v>
      </c>
    </row>
    <row r="638" spans="1:11" ht="75" x14ac:dyDescent="0.25">
      <c r="A638" s="28" t="s">
        <v>1969</v>
      </c>
      <c r="B638" s="28" t="s">
        <v>2616</v>
      </c>
      <c r="C638" s="28">
        <v>3</v>
      </c>
      <c r="D638" s="28" t="s">
        <v>1970</v>
      </c>
      <c r="E638" s="28" t="s">
        <v>131</v>
      </c>
      <c r="F638" s="30" t="s">
        <v>3673</v>
      </c>
      <c r="H638" s="28" t="s">
        <v>448</v>
      </c>
      <c r="J638" s="28" t="s">
        <v>2232</v>
      </c>
      <c r="K638" s="28" t="s">
        <v>3193</v>
      </c>
    </row>
    <row r="639" spans="1:11" ht="75" x14ac:dyDescent="0.25">
      <c r="A639" s="28" t="s">
        <v>1971</v>
      </c>
      <c r="B639" s="28" t="s">
        <v>2617</v>
      </c>
      <c r="C639" s="28">
        <v>3</v>
      </c>
      <c r="D639" s="28" t="s">
        <v>1972</v>
      </c>
      <c r="E639" s="28" t="s">
        <v>131</v>
      </c>
      <c r="F639" s="30" t="s">
        <v>3673</v>
      </c>
      <c r="H639" s="28" t="s">
        <v>448</v>
      </c>
      <c r="J639" s="28" t="s">
        <v>2232</v>
      </c>
      <c r="K639" s="28" t="s">
        <v>3194</v>
      </c>
    </row>
    <row r="640" spans="1:11" ht="75" x14ac:dyDescent="0.25">
      <c r="A640" s="28" t="s">
        <v>1973</v>
      </c>
      <c r="B640" s="28" t="s">
        <v>2618</v>
      </c>
      <c r="C640" s="28">
        <v>3</v>
      </c>
      <c r="D640" s="28" t="s">
        <v>1974</v>
      </c>
      <c r="E640" s="28" t="s">
        <v>131</v>
      </c>
      <c r="F640" s="30" t="s">
        <v>3673</v>
      </c>
      <c r="H640" s="28" t="s">
        <v>448</v>
      </c>
      <c r="J640" s="28" t="s">
        <v>2232</v>
      </c>
      <c r="K640" s="28" t="s">
        <v>3195</v>
      </c>
    </row>
    <row r="641" spans="1:11" ht="75" x14ac:dyDescent="0.25">
      <c r="A641" s="28" t="s">
        <v>1975</v>
      </c>
      <c r="B641" s="28" t="s">
        <v>2619</v>
      </c>
      <c r="C641" s="28">
        <v>3</v>
      </c>
      <c r="D641" s="28" t="s">
        <v>1976</v>
      </c>
      <c r="E641" s="28" t="s">
        <v>131</v>
      </c>
      <c r="F641" s="30" t="s">
        <v>3673</v>
      </c>
      <c r="H641" s="28" t="s">
        <v>448</v>
      </c>
      <c r="J641" s="28" t="s">
        <v>2232</v>
      </c>
      <c r="K641" s="28" t="s">
        <v>3196</v>
      </c>
    </row>
    <row r="642" spans="1:11" ht="75" x14ac:dyDescent="0.25">
      <c r="A642" s="28" t="s">
        <v>1977</v>
      </c>
      <c r="B642" s="28" t="s">
        <v>2620</v>
      </c>
      <c r="C642" s="28">
        <v>3</v>
      </c>
      <c r="D642" s="28" t="s">
        <v>1978</v>
      </c>
      <c r="E642" s="28" t="s">
        <v>131</v>
      </c>
      <c r="F642" s="30" t="s">
        <v>3673</v>
      </c>
      <c r="H642" s="28" t="s">
        <v>448</v>
      </c>
      <c r="J642" s="28" t="s">
        <v>2232</v>
      </c>
      <c r="K642" s="28" t="s">
        <v>3197</v>
      </c>
    </row>
    <row r="643" spans="1:11" ht="75" x14ac:dyDescent="0.25">
      <c r="A643" s="28" t="s">
        <v>1979</v>
      </c>
      <c r="B643" s="28" t="s">
        <v>2621</v>
      </c>
      <c r="C643" s="28">
        <v>3</v>
      </c>
      <c r="D643" s="28" t="s">
        <v>1980</v>
      </c>
      <c r="E643" s="28" t="s">
        <v>131</v>
      </c>
      <c r="F643" s="30" t="s">
        <v>3673</v>
      </c>
      <c r="H643" s="28" t="s">
        <v>448</v>
      </c>
      <c r="J643" s="28" t="s">
        <v>2232</v>
      </c>
      <c r="K643" s="28" t="s">
        <v>3198</v>
      </c>
    </row>
    <row r="644" spans="1:11" ht="75" x14ac:dyDescent="0.25">
      <c r="A644" s="28" t="s">
        <v>1981</v>
      </c>
      <c r="B644" s="28" t="s">
        <v>2622</v>
      </c>
      <c r="C644" s="28">
        <v>3</v>
      </c>
      <c r="D644" s="28" t="s">
        <v>1982</v>
      </c>
      <c r="E644" s="28" t="s">
        <v>131</v>
      </c>
      <c r="F644" s="30" t="s">
        <v>3673</v>
      </c>
      <c r="H644" s="28" t="s">
        <v>448</v>
      </c>
      <c r="J644" s="28" t="s">
        <v>2232</v>
      </c>
      <c r="K644" s="28" t="s">
        <v>3199</v>
      </c>
    </row>
    <row r="645" spans="1:11" ht="75" x14ac:dyDescent="0.25">
      <c r="A645" s="28" t="s">
        <v>1983</v>
      </c>
      <c r="B645" s="28" t="s">
        <v>2623</v>
      </c>
      <c r="C645" s="28">
        <v>3</v>
      </c>
      <c r="D645" s="28" t="s">
        <v>1984</v>
      </c>
      <c r="E645" s="28" t="s">
        <v>131</v>
      </c>
      <c r="F645" s="30" t="s">
        <v>3673</v>
      </c>
      <c r="H645" s="28" t="s">
        <v>448</v>
      </c>
      <c r="J645" s="28" t="s">
        <v>2232</v>
      </c>
      <c r="K645" s="28" t="s">
        <v>3200</v>
      </c>
    </row>
    <row r="646" spans="1:11" ht="75" x14ac:dyDescent="0.25">
      <c r="A646" s="28" t="s">
        <v>1985</v>
      </c>
      <c r="B646" s="28" t="s">
        <v>2624</v>
      </c>
      <c r="C646" s="28">
        <v>3</v>
      </c>
      <c r="D646" s="28" t="s">
        <v>1986</v>
      </c>
      <c r="E646" s="28" t="s">
        <v>131</v>
      </c>
      <c r="F646" s="30" t="s">
        <v>3673</v>
      </c>
      <c r="H646" s="28" t="s">
        <v>448</v>
      </c>
      <c r="J646" s="28" t="s">
        <v>2232</v>
      </c>
      <c r="K646" s="28" t="s">
        <v>3201</v>
      </c>
    </row>
    <row r="647" spans="1:11" ht="75" x14ac:dyDescent="0.25">
      <c r="A647" s="28" t="s">
        <v>1987</v>
      </c>
      <c r="B647" s="28" t="s">
        <v>2625</v>
      </c>
      <c r="C647" s="28">
        <v>3</v>
      </c>
      <c r="D647" s="28" t="s">
        <v>1988</v>
      </c>
      <c r="E647" s="28" t="s">
        <v>131</v>
      </c>
      <c r="F647" s="30" t="s">
        <v>3673</v>
      </c>
      <c r="H647" s="28" t="s">
        <v>448</v>
      </c>
      <c r="J647" s="28" t="s">
        <v>2232</v>
      </c>
      <c r="K647" s="28" t="s">
        <v>3202</v>
      </c>
    </row>
    <row r="648" spans="1:11" ht="75" x14ac:dyDescent="0.25">
      <c r="A648" s="28" t="s">
        <v>1989</v>
      </c>
      <c r="B648" s="28" t="s">
        <v>2626</v>
      </c>
      <c r="C648" s="28">
        <v>3</v>
      </c>
      <c r="D648" s="28" t="s">
        <v>1990</v>
      </c>
      <c r="E648" s="28" t="s">
        <v>131</v>
      </c>
      <c r="F648" s="30" t="s">
        <v>3673</v>
      </c>
      <c r="H648" s="28" t="s">
        <v>448</v>
      </c>
      <c r="J648" s="28" t="s">
        <v>2232</v>
      </c>
      <c r="K648" s="28" t="s">
        <v>3203</v>
      </c>
    </row>
    <row r="649" spans="1:11" ht="75" x14ac:dyDescent="0.25">
      <c r="A649" s="28" t="s">
        <v>1991</v>
      </c>
      <c r="B649" s="28" t="s">
        <v>2627</v>
      </c>
      <c r="C649" s="28">
        <v>3</v>
      </c>
      <c r="D649" s="28" t="s">
        <v>1992</v>
      </c>
      <c r="E649" s="28" t="s">
        <v>131</v>
      </c>
      <c r="F649" s="30" t="s">
        <v>3673</v>
      </c>
      <c r="H649" s="28" t="s">
        <v>448</v>
      </c>
      <c r="J649" s="28" t="s">
        <v>2232</v>
      </c>
      <c r="K649" s="28" t="s">
        <v>3204</v>
      </c>
    </row>
    <row r="650" spans="1:11" ht="75" x14ac:dyDescent="0.25">
      <c r="A650" s="28" t="s">
        <v>1993</v>
      </c>
      <c r="B650" s="28" t="s">
        <v>2628</v>
      </c>
      <c r="C650" s="28">
        <v>3</v>
      </c>
      <c r="D650" s="28" t="s">
        <v>1994</v>
      </c>
      <c r="E650" s="28" t="s">
        <v>131</v>
      </c>
      <c r="F650" s="30" t="s">
        <v>3673</v>
      </c>
      <c r="H650" s="28" t="s">
        <v>448</v>
      </c>
      <c r="J650" s="28" t="s">
        <v>2232</v>
      </c>
      <c r="K650" s="28" t="s">
        <v>3205</v>
      </c>
    </row>
    <row r="651" spans="1:11" ht="75" x14ac:dyDescent="0.25">
      <c r="A651" s="28" t="s">
        <v>1995</v>
      </c>
      <c r="B651" s="28" t="s">
        <v>2629</v>
      </c>
      <c r="C651" s="28">
        <v>3</v>
      </c>
      <c r="D651" s="28" t="s">
        <v>1996</v>
      </c>
      <c r="E651" s="28" t="s">
        <v>131</v>
      </c>
      <c r="F651" s="30" t="s">
        <v>3673</v>
      </c>
      <c r="H651" s="28" t="s">
        <v>448</v>
      </c>
      <c r="J651" s="28" t="s">
        <v>2232</v>
      </c>
      <c r="K651" s="28" t="s">
        <v>3206</v>
      </c>
    </row>
    <row r="652" spans="1:11" ht="75" x14ac:dyDescent="0.25">
      <c r="A652" s="28" t="s">
        <v>1997</v>
      </c>
      <c r="B652" s="28" t="s">
        <v>2630</v>
      </c>
      <c r="C652" s="28">
        <v>3</v>
      </c>
      <c r="D652" s="28" t="s">
        <v>1998</v>
      </c>
      <c r="E652" s="28" t="s">
        <v>131</v>
      </c>
      <c r="F652" s="30" t="s">
        <v>3673</v>
      </c>
      <c r="H652" s="28" t="s">
        <v>448</v>
      </c>
      <c r="J652" s="28" t="s">
        <v>2232</v>
      </c>
      <c r="K652" s="28" t="s">
        <v>3207</v>
      </c>
    </row>
    <row r="653" spans="1:11" ht="75" x14ac:dyDescent="0.25">
      <c r="A653" s="28" t="s">
        <v>1999</v>
      </c>
      <c r="B653" s="28" t="s">
        <v>2631</v>
      </c>
      <c r="C653" s="28">
        <v>3</v>
      </c>
      <c r="D653" s="28" t="s">
        <v>2000</v>
      </c>
      <c r="E653" s="28" t="s">
        <v>131</v>
      </c>
      <c r="F653" s="30" t="s">
        <v>3673</v>
      </c>
      <c r="H653" s="28" t="s">
        <v>448</v>
      </c>
      <c r="J653" s="28" t="s">
        <v>2232</v>
      </c>
      <c r="K653" s="28" t="s">
        <v>3208</v>
      </c>
    </row>
    <row r="654" spans="1:11" ht="75" x14ac:dyDescent="0.25">
      <c r="A654" s="28" t="s">
        <v>2001</v>
      </c>
      <c r="B654" s="28" t="s">
        <v>2632</v>
      </c>
      <c r="C654" s="28">
        <v>3</v>
      </c>
      <c r="D654" s="28" t="s">
        <v>2002</v>
      </c>
      <c r="E654" s="28" t="s">
        <v>131</v>
      </c>
      <c r="F654" s="30" t="s">
        <v>3673</v>
      </c>
      <c r="H654" s="28" t="s">
        <v>448</v>
      </c>
      <c r="J654" s="28" t="s">
        <v>2232</v>
      </c>
      <c r="K654" s="28" t="s">
        <v>3209</v>
      </c>
    </row>
    <row r="655" spans="1:11" ht="75" x14ac:dyDescent="0.25">
      <c r="A655" s="28" t="s">
        <v>2003</v>
      </c>
      <c r="B655" s="28" t="s">
        <v>2633</v>
      </c>
      <c r="C655" s="28">
        <v>3</v>
      </c>
      <c r="D655" s="28" t="s">
        <v>2004</v>
      </c>
      <c r="E655" s="28" t="s">
        <v>131</v>
      </c>
      <c r="F655" s="30" t="s">
        <v>3673</v>
      </c>
      <c r="H655" s="28" t="s">
        <v>448</v>
      </c>
      <c r="J655" s="28" t="s">
        <v>2232</v>
      </c>
      <c r="K655" s="28" t="s">
        <v>3210</v>
      </c>
    </row>
    <row r="656" spans="1:11" ht="75" x14ac:dyDescent="0.25">
      <c r="A656" s="28" t="s">
        <v>2005</v>
      </c>
      <c r="B656" s="28" t="s">
        <v>2634</v>
      </c>
      <c r="C656" s="28">
        <v>3</v>
      </c>
      <c r="D656" s="28" t="s">
        <v>2006</v>
      </c>
      <c r="E656" s="28" t="s">
        <v>131</v>
      </c>
      <c r="F656" s="30" t="s">
        <v>3673</v>
      </c>
      <c r="H656" s="28" t="s">
        <v>448</v>
      </c>
      <c r="J656" s="28" t="s">
        <v>2232</v>
      </c>
      <c r="K656" s="28" t="s">
        <v>3211</v>
      </c>
    </row>
    <row r="657" spans="1:11" ht="75" x14ac:dyDescent="0.25">
      <c r="A657" s="28" t="s">
        <v>2007</v>
      </c>
      <c r="B657" s="28" t="s">
        <v>2635</v>
      </c>
      <c r="C657" s="28">
        <v>3</v>
      </c>
      <c r="D657" s="28" t="s">
        <v>2008</v>
      </c>
      <c r="E657" s="28" t="s">
        <v>131</v>
      </c>
      <c r="F657" s="30" t="s">
        <v>3673</v>
      </c>
      <c r="H657" s="28" t="s">
        <v>448</v>
      </c>
      <c r="J657" s="28" t="s">
        <v>2232</v>
      </c>
      <c r="K657" s="28" t="s">
        <v>3212</v>
      </c>
    </row>
    <row r="658" spans="1:11" ht="75" x14ac:dyDescent="0.25">
      <c r="A658" s="28" t="s">
        <v>2009</v>
      </c>
      <c r="B658" s="28" t="s">
        <v>2636</v>
      </c>
      <c r="C658" s="28">
        <v>3</v>
      </c>
      <c r="D658" s="28" t="s">
        <v>2010</v>
      </c>
      <c r="E658" s="28" t="s">
        <v>131</v>
      </c>
      <c r="F658" s="30" t="s">
        <v>3673</v>
      </c>
      <c r="H658" s="28" t="s">
        <v>448</v>
      </c>
      <c r="J658" s="28" t="s">
        <v>2232</v>
      </c>
      <c r="K658" s="28" t="s">
        <v>3213</v>
      </c>
    </row>
    <row r="659" spans="1:11" ht="75" x14ac:dyDescent="0.25">
      <c r="A659" s="28" t="s">
        <v>2011</v>
      </c>
      <c r="B659" s="28" t="s">
        <v>2637</v>
      </c>
      <c r="C659" s="28">
        <v>3</v>
      </c>
      <c r="D659" s="28" t="s">
        <v>2012</v>
      </c>
      <c r="E659" s="28" t="s">
        <v>131</v>
      </c>
      <c r="F659" s="30" t="s">
        <v>3673</v>
      </c>
      <c r="H659" s="28" t="s">
        <v>448</v>
      </c>
      <c r="J659" s="28" t="s">
        <v>2232</v>
      </c>
      <c r="K659" s="28" t="s">
        <v>3214</v>
      </c>
    </row>
    <row r="660" spans="1:11" ht="75" x14ac:dyDescent="0.25">
      <c r="A660" s="28" t="s">
        <v>2013</v>
      </c>
      <c r="B660" s="28" t="s">
        <v>2638</v>
      </c>
      <c r="C660" s="28">
        <v>3</v>
      </c>
      <c r="D660" s="28" t="s">
        <v>2014</v>
      </c>
      <c r="E660" s="28" t="s">
        <v>131</v>
      </c>
      <c r="F660" s="30" t="s">
        <v>3673</v>
      </c>
      <c r="H660" s="28" t="s">
        <v>448</v>
      </c>
      <c r="J660" s="28" t="s">
        <v>2232</v>
      </c>
      <c r="K660" s="28" t="s">
        <v>3215</v>
      </c>
    </row>
    <row r="661" spans="1:11" ht="75" x14ac:dyDescent="0.25">
      <c r="A661" s="28" t="s">
        <v>2015</v>
      </c>
      <c r="B661" s="28" t="s">
        <v>2639</v>
      </c>
      <c r="C661" s="28">
        <v>3</v>
      </c>
      <c r="D661" s="28" t="s">
        <v>2016</v>
      </c>
      <c r="E661" s="28" t="s">
        <v>131</v>
      </c>
      <c r="F661" s="30" t="s">
        <v>3673</v>
      </c>
      <c r="H661" s="28" t="s">
        <v>448</v>
      </c>
      <c r="J661" s="28" t="s">
        <v>2232</v>
      </c>
      <c r="K661" s="28" t="s">
        <v>3216</v>
      </c>
    </row>
    <row r="662" spans="1:11" ht="75" x14ac:dyDescent="0.25">
      <c r="A662" s="28" t="s">
        <v>2017</v>
      </c>
      <c r="B662" s="28" t="s">
        <v>2640</v>
      </c>
      <c r="C662" s="28">
        <v>3</v>
      </c>
      <c r="D662" s="28" t="s">
        <v>2018</v>
      </c>
      <c r="E662" s="28" t="s">
        <v>131</v>
      </c>
      <c r="F662" s="30" t="s">
        <v>3673</v>
      </c>
      <c r="H662" s="28" t="s">
        <v>448</v>
      </c>
      <c r="J662" s="28" t="s">
        <v>2232</v>
      </c>
      <c r="K662" s="28" t="s">
        <v>3217</v>
      </c>
    </row>
    <row r="663" spans="1:11" ht="75" x14ac:dyDescent="0.25">
      <c r="A663" s="28" t="s">
        <v>2019</v>
      </c>
      <c r="B663" s="28" t="s">
        <v>2641</v>
      </c>
      <c r="C663" s="28">
        <v>3</v>
      </c>
      <c r="D663" s="28" t="s">
        <v>2020</v>
      </c>
      <c r="E663" s="28" t="s">
        <v>131</v>
      </c>
      <c r="F663" s="30" t="s">
        <v>3673</v>
      </c>
      <c r="H663" s="28" t="s">
        <v>448</v>
      </c>
      <c r="J663" s="28" t="s">
        <v>2232</v>
      </c>
      <c r="K663" s="28" t="s">
        <v>3218</v>
      </c>
    </row>
    <row r="664" spans="1:11" ht="75" x14ac:dyDescent="0.25">
      <c r="A664" s="28" t="s">
        <v>2021</v>
      </c>
      <c r="B664" s="28" t="s">
        <v>2642</v>
      </c>
      <c r="C664" s="28">
        <v>3</v>
      </c>
      <c r="D664" s="28" t="s">
        <v>2022</v>
      </c>
      <c r="E664" s="28" t="s">
        <v>131</v>
      </c>
      <c r="F664" s="30" t="s">
        <v>3673</v>
      </c>
      <c r="H664" s="28" t="s">
        <v>448</v>
      </c>
      <c r="J664" s="28" t="s">
        <v>2232</v>
      </c>
      <c r="K664" s="28" t="s">
        <v>3219</v>
      </c>
    </row>
    <row r="665" spans="1:11" ht="75" x14ac:dyDescent="0.25">
      <c r="A665" s="28" t="s">
        <v>2023</v>
      </c>
      <c r="B665" s="28" t="s">
        <v>2643</v>
      </c>
      <c r="C665" s="28">
        <v>3</v>
      </c>
      <c r="D665" s="28" t="s">
        <v>2024</v>
      </c>
      <c r="E665" s="28" t="s">
        <v>131</v>
      </c>
      <c r="F665" s="30" t="s">
        <v>3673</v>
      </c>
      <c r="H665" s="28" t="s">
        <v>448</v>
      </c>
      <c r="J665" s="28" t="s">
        <v>2232</v>
      </c>
      <c r="K665" s="28" t="s">
        <v>3220</v>
      </c>
    </row>
    <row r="666" spans="1:11" ht="75" x14ac:dyDescent="0.25">
      <c r="A666" s="28" t="s">
        <v>2025</v>
      </c>
      <c r="B666" s="28" t="s">
        <v>2644</v>
      </c>
      <c r="C666" s="28">
        <v>3</v>
      </c>
      <c r="D666" s="28" t="s">
        <v>2026</v>
      </c>
      <c r="E666" s="28" t="s">
        <v>131</v>
      </c>
      <c r="F666" s="30" t="s">
        <v>3673</v>
      </c>
      <c r="H666" s="28" t="s">
        <v>448</v>
      </c>
      <c r="J666" s="28" t="s">
        <v>2232</v>
      </c>
      <c r="K666" s="28" t="s">
        <v>3221</v>
      </c>
    </row>
    <row r="667" spans="1:11" ht="75" x14ac:dyDescent="0.25">
      <c r="A667" s="28" t="s">
        <v>2027</v>
      </c>
      <c r="B667" s="28" t="s">
        <v>2645</v>
      </c>
      <c r="C667" s="28">
        <v>3</v>
      </c>
      <c r="D667" s="28" t="s">
        <v>2028</v>
      </c>
      <c r="E667" s="28" t="s">
        <v>131</v>
      </c>
      <c r="F667" s="30" t="s">
        <v>3673</v>
      </c>
      <c r="H667" s="28" t="s">
        <v>448</v>
      </c>
      <c r="J667" s="28" t="s">
        <v>2232</v>
      </c>
      <c r="K667" s="28" t="s">
        <v>3222</v>
      </c>
    </row>
    <row r="668" spans="1:11" ht="75" x14ac:dyDescent="0.25">
      <c r="A668" s="28" t="s">
        <v>2029</v>
      </c>
      <c r="B668" s="28" t="s">
        <v>2646</v>
      </c>
      <c r="C668" s="28">
        <v>3</v>
      </c>
      <c r="D668" s="28" t="s">
        <v>2030</v>
      </c>
      <c r="E668" s="28" t="s">
        <v>131</v>
      </c>
      <c r="F668" s="30" t="s">
        <v>3673</v>
      </c>
      <c r="H668" s="28" t="s">
        <v>448</v>
      </c>
      <c r="J668" s="28" t="s">
        <v>2232</v>
      </c>
      <c r="K668" s="28" t="s">
        <v>3223</v>
      </c>
    </row>
    <row r="669" spans="1:11" ht="75" x14ac:dyDescent="0.25">
      <c r="A669" s="28" t="s">
        <v>2031</v>
      </c>
      <c r="B669" s="28" t="s">
        <v>2647</v>
      </c>
      <c r="C669" s="28">
        <v>3</v>
      </c>
      <c r="D669" s="28" t="s">
        <v>2032</v>
      </c>
      <c r="E669" s="28" t="s">
        <v>131</v>
      </c>
      <c r="F669" s="30" t="s">
        <v>3673</v>
      </c>
      <c r="H669" s="28" t="s">
        <v>448</v>
      </c>
      <c r="J669" s="28" t="s">
        <v>2232</v>
      </c>
      <c r="K669" s="28" t="s">
        <v>3224</v>
      </c>
    </row>
    <row r="670" spans="1:11" ht="75" x14ac:dyDescent="0.25">
      <c r="A670" s="28" t="s">
        <v>2033</v>
      </c>
      <c r="B670" s="28" t="s">
        <v>2648</v>
      </c>
      <c r="C670" s="28">
        <v>3</v>
      </c>
      <c r="D670" s="28" t="s">
        <v>2034</v>
      </c>
      <c r="E670" s="28" t="s">
        <v>131</v>
      </c>
      <c r="F670" s="30" t="s">
        <v>3673</v>
      </c>
      <c r="H670" s="28" t="s">
        <v>448</v>
      </c>
      <c r="J670" s="28" t="s">
        <v>2232</v>
      </c>
      <c r="K670" s="28" t="s">
        <v>3225</v>
      </c>
    </row>
    <row r="671" spans="1:11" ht="75" x14ac:dyDescent="0.25">
      <c r="A671" s="28" t="s">
        <v>2035</v>
      </c>
      <c r="B671" s="28" t="s">
        <v>2649</v>
      </c>
      <c r="C671" s="28">
        <v>3</v>
      </c>
      <c r="D671" s="28" t="s">
        <v>2036</v>
      </c>
      <c r="E671" s="28" t="s">
        <v>131</v>
      </c>
      <c r="F671" s="30" t="s">
        <v>3673</v>
      </c>
      <c r="H671" s="28" t="s">
        <v>448</v>
      </c>
      <c r="J671" s="28" t="s">
        <v>2232</v>
      </c>
      <c r="K671" s="28" t="s">
        <v>3226</v>
      </c>
    </row>
    <row r="672" spans="1:11" ht="75" x14ac:dyDescent="0.25">
      <c r="A672" s="28" t="s">
        <v>2037</v>
      </c>
      <c r="B672" s="28" t="s">
        <v>2650</v>
      </c>
      <c r="C672" s="28">
        <v>3</v>
      </c>
      <c r="D672" s="28" t="s">
        <v>2038</v>
      </c>
      <c r="E672" s="28" t="s">
        <v>131</v>
      </c>
      <c r="F672" s="30" t="s">
        <v>3673</v>
      </c>
      <c r="H672" s="28" t="s">
        <v>448</v>
      </c>
      <c r="J672" s="28" t="s">
        <v>2232</v>
      </c>
      <c r="K672" s="28" t="s">
        <v>3227</v>
      </c>
    </row>
    <row r="673" spans="1:11" ht="75" x14ac:dyDescent="0.25">
      <c r="A673" s="28" t="s">
        <v>2039</v>
      </c>
      <c r="B673" s="28" t="s">
        <v>2651</v>
      </c>
      <c r="C673" s="28">
        <v>3</v>
      </c>
      <c r="D673" s="28" t="s">
        <v>2040</v>
      </c>
      <c r="E673" s="28" t="s">
        <v>131</v>
      </c>
      <c r="F673" s="30" t="s">
        <v>3673</v>
      </c>
      <c r="H673" s="28" t="s">
        <v>448</v>
      </c>
      <c r="J673" s="28" t="s">
        <v>2232</v>
      </c>
      <c r="K673" s="28" t="s">
        <v>3228</v>
      </c>
    </row>
    <row r="674" spans="1:11" ht="75" x14ac:dyDescent="0.25">
      <c r="A674" s="28" t="s">
        <v>2041</v>
      </c>
      <c r="B674" s="28" t="s">
        <v>2652</v>
      </c>
      <c r="C674" s="28">
        <v>3</v>
      </c>
      <c r="D674" s="28" t="s">
        <v>2042</v>
      </c>
      <c r="E674" s="28" t="s">
        <v>131</v>
      </c>
      <c r="F674" s="30" t="s">
        <v>3673</v>
      </c>
      <c r="H674" s="28" t="s">
        <v>448</v>
      </c>
      <c r="J674" s="28" t="s">
        <v>2232</v>
      </c>
      <c r="K674" s="28" t="s">
        <v>3229</v>
      </c>
    </row>
    <row r="675" spans="1:11" ht="75" x14ac:dyDescent="0.25">
      <c r="A675" s="28" t="s">
        <v>2043</v>
      </c>
      <c r="B675" s="28" t="s">
        <v>2653</v>
      </c>
      <c r="C675" s="28">
        <v>3</v>
      </c>
      <c r="D675" s="28" t="s">
        <v>2044</v>
      </c>
      <c r="E675" s="28" t="s">
        <v>131</v>
      </c>
      <c r="F675" s="30" t="s">
        <v>3673</v>
      </c>
      <c r="H675" s="28" t="s">
        <v>448</v>
      </c>
      <c r="J675" s="28" t="s">
        <v>2232</v>
      </c>
      <c r="K675" s="28" t="s">
        <v>3230</v>
      </c>
    </row>
    <row r="676" spans="1:11" ht="75" x14ac:dyDescent="0.25">
      <c r="A676" s="28" t="s">
        <v>2045</v>
      </c>
      <c r="B676" s="28" t="s">
        <v>2654</v>
      </c>
      <c r="C676" s="28">
        <v>3</v>
      </c>
      <c r="D676" s="28" t="s">
        <v>2046</v>
      </c>
      <c r="E676" s="28" t="s">
        <v>131</v>
      </c>
      <c r="F676" s="30" t="s">
        <v>3673</v>
      </c>
      <c r="H676" s="28" t="s">
        <v>448</v>
      </c>
      <c r="J676" s="28" t="s">
        <v>2232</v>
      </c>
      <c r="K676" s="28" t="s">
        <v>3231</v>
      </c>
    </row>
    <row r="677" spans="1:11" ht="75" x14ac:dyDescent="0.25">
      <c r="A677" s="28" t="s">
        <v>2047</v>
      </c>
      <c r="B677" s="28" t="s">
        <v>2655</v>
      </c>
      <c r="C677" s="28">
        <v>3</v>
      </c>
      <c r="D677" s="28" t="s">
        <v>2048</v>
      </c>
      <c r="E677" s="28" t="s">
        <v>131</v>
      </c>
      <c r="F677" s="30" t="s">
        <v>3673</v>
      </c>
      <c r="H677" s="28" t="s">
        <v>448</v>
      </c>
      <c r="J677" s="28" t="s">
        <v>2232</v>
      </c>
      <c r="K677" s="28" t="s">
        <v>3232</v>
      </c>
    </row>
    <row r="678" spans="1:11" ht="75" x14ac:dyDescent="0.25">
      <c r="A678" s="28" t="s">
        <v>2049</v>
      </c>
      <c r="B678" s="28">
        <v>25.3</v>
      </c>
      <c r="C678" s="28">
        <v>2</v>
      </c>
      <c r="D678" s="9" t="s">
        <v>2050</v>
      </c>
      <c r="E678" s="28" t="s">
        <v>3443</v>
      </c>
      <c r="F678" s="30" t="s">
        <v>3673</v>
      </c>
      <c r="H678" s="28" t="s">
        <v>450</v>
      </c>
      <c r="J678" s="28" t="s">
        <v>2232</v>
      </c>
      <c r="K678" s="28" t="s">
        <v>3233</v>
      </c>
    </row>
    <row r="679" spans="1:11" ht="75" x14ac:dyDescent="0.25">
      <c r="A679" s="28" t="s">
        <v>2051</v>
      </c>
      <c r="B679" s="28" t="s">
        <v>2656</v>
      </c>
      <c r="C679" s="28">
        <v>3</v>
      </c>
      <c r="D679" s="28" t="s">
        <v>2052</v>
      </c>
      <c r="E679" s="28" t="s">
        <v>139</v>
      </c>
      <c r="F679" s="30" t="s">
        <v>3673</v>
      </c>
      <c r="H679" s="28" t="s">
        <v>450</v>
      </c>
      <c r="J679" s="28" t="s">
        <v>2232</v>
      </c>
    </row>
    <row r="680" spans="1:11" ht="75" x14ac:dyDescent="0.25">
      <c r="A680" s="28" t="s">
        <v>2053</v>
      </c>
      <c r="B680" s="28" t="s">
        <v>2657</v>
      </c>
      <c r="C680" s="28">
        <v>3</v>
      </c>
      <c r="D680" s="28" t="s">
        <v>2054</v>
      </c>
      <c r="E680" s="28" t="s">
        <v>131</v>
      </c>
      <c r="F680" s="30" t="s">
        <v>3673</v>
      </c>
      <c r="H680" s="28" t="s">
        <v>450</v>
      </c>
      <c r="J680" s="28" t="s">
        <v>2232</v>
      </c>
      <c r="K680" s="28" t="s">
        <v>3234</v>
      </c>
    </row>
    <row r="681" spans="1:11" ht="75" x14ac:dyDescent="0.25">
      <c r="A681" s="28" t="s">
        <v>2055</v>
      </c>
      <c r="B681" s="28" t="s">
        <v>2658</v>
      </c>
      <c r="C681" s="28">
        <v>3</v>
      </c>
      <c r="D681" s="28" t="s">
        <v>2056</v>
      </c>
      <c r="E681" s="28" t="s">
        <v>131</v>
      </c>
      <c r="F681" s="30" t="s">
        <v>3673</v>
      </c>
      <c r="H681" s="28" t="s">
        <v>450</v>
      </c>
      <c r="J681" s="28" t="s">
        <v>2232</v>
      </c>
      <c r="K681" s="28" t="s">
        <v>3235</v>
      </c>
    </row>
    <row r="682" spans="1:11" ht="75" x14ac:dyDescent="0.25">
      <c r="A682" s="28" t="s">
        <v>2057</v>
      </c>
      <c r="B682" s="28" t="s">
        <v>2659</v>
      </c>
      <c r="C682" s="28">
        <v>3</v>
      </c>
      <c r="D682" s="28" t="s">
        <v>2058</v>
      </c>
      <c r="E682" s="28" t="s">
        <v>139</v>
      </c>
      <c r="F682" s="30" t="s">
        <v>3673</v>
      </c>
      <c r="H682" s="28" t="s">
        <v>450</v>
      </c>
      <c r="J682" s="28" t="s">
        <v>2232</v>
      </c>
    </row>
    <row r="683" spans="1:11" ht="75" x14ac:dyDescent="0.25">
      <c r="A683" s="28" t="s">
        <v>2059</v>
      </c>
      <c r="B683" s="28" t="s">
        <v>2660</v>
      </c>
      <c r="C683" s="28">
        <v>3</v>
      </c>
      <c r="D683" s="28" t="s">
        <v>2060</v>
      </c>
      <c r="E683" s="28" t="s">
        <v>131</v>
      </c>
      <c r="F683" s="30" t="s">
        <v>3673</v>
      </c>
      <c r="H683" s="28" t="s">
        <v>450</v>
      </c>
      <c r="J683" s="28" t="s">
        <v>2232</v>
      </c>
      <c r="K683" s="28" t="s">
        <v>3236</v>
      </c>
    </row>
    <row r="684" spans="1:11" ht="75" x14ac:dyDescent="0.25">
      <c r="A684" s="28" t="s">
        <v>2061</v>
      </c>
      <c r="B684" s="28" t="s">
        <v>2661</v>
      </c>
      <c r="C684" s="28">
        <v>3</v>
      </c>
      <c r="D684" s="28" t="s">
        <v>2062</v>
      </c>
      <c r="E684" s="28" t="s">
        <v>131</v>
      </c>
      <c r="F684" s="30" t="s">
        <v>3673</v>
      </c>
      <c r="H684" s="28" t="s">
        <v>450</v>
      </c>
      <c r="J684" s="28" t="s">
        <v>2232</v>
      </c>
      <c r="K684" s="28" t="s">
        <v>3237</v>
      </c>
    </row>
    <row r="685" spans="1:11" ht="75" x14ac:dyDescent="0.25">
      <c r="A685" s="28" t="s">
        <v>2063</v>
      </c>
      <c r="B685" s="28">
        <v>26</v>
      </c>
      <c r="C685" s="28">
        <v>1</v>
      </c>
      <c r="D685" s="9" t="s">
        <v>54</v>
      </c>
      <c r="E685" s="28" t="s">
        <v>3443</v>
      </c>
      <c r="F685" s="30" t="s">
        <v>3673</v>
      </c>
      <c r="H685" s="28" t="s">
        <v>452</v>
      </c>
      <c r="J685" s="28" t="s">
        <v>2232</v>
      </c>
    </row>
    <row r="686" spans="1:11" ht="75" x14ac:dyDescent="0.25">
      <c r="A686" s="28" t="s">
        <v>2064</v>
      </c>
      <c r="B686" s="28">
        <v>26.1</v>
      </c>
      <c r="C686" s="28">
        <v>2</v>
      </c>
      <c r="D686" s="9" t="s">
        <v>53</v>
      </c>
      <c r="E686" s="28" t="s">
        <v>3443</v>
      </c>
      <c r="F686" s="30" t="s">
        <v>3673</v>
      </c>
      <c r="H686" s="28" t="s">
        <v>454</v>
      </c>
      <c r="J686" s="28" t="s">
        <v>2232</v>
      </c>
    </row>
    <row r="687" spans="1:11" ht="60" x14ac:dyDescent="0.25">
      <c r="A687" s="28" t="s">
        <v>3494</v>
      </c>
      <c r="B687" s="28" t="s">
        <v>2662</v>
      </c>
      <c r="C687" s="28">
        <v>3</v>
      </c>
      <c r="D687" s="9" t="s">
        <v>3495</v>
      </c>
      <c r="E687" s="28" t="s">
        <v>3443</v>
      </c>
      <c r="F687" s="30" t="s">
        <v>3675</v>
      </c>
      <c r="J687" s="28" t="s">
        <v>2232</v>
      </c>
    </row>
    <row r="688" spans="1:11" ht="60" x14ac:dyDescent="0.25">
      <c r="A688" s="28" t="s">
        <v>3496</v>
      </c>
      <c r="B688" s="28" t="s">
        <v>3497</v>
      </c>
      <c r="C688" s="28">
        <v>4</v>
      </c>
      <c r="D688" s="28" t="s">
        <v>3498</v>
      </c>
      <c r="E688" s="28" t="s">
        <v>131</v>
      </c>
      <c r="F688" s="30" t="s">
        <v>3675</v>
      </c>
      <c r="J688" s="28" t="s">
        <v>2232</v>
      </c>
    </row>
    <row r="689" spans="1:11" ht="60" x14ac:dyDescent="0.25">
      <c r="A689" s="28" t="s">
        <v>3499</v>
      </c>
      <c r="B689" s="28" t="s">
        <v>3500</v>
      </c>
      <c r="C689" s="28">
        <v>4</v>
      </c>
      <c r="D689" s="28" t="s">
        <v>3501</v>
      </c>
      <c r="E689" s="28" t="s">
        <v>131</v>
      </c>
      <c r="F689" s="30" t="s">
        <v>3675</v>
      </c>
      <c r="J689" s="28" t="s">
        <v>2232</v>
      </c>
    </row>
    <row r="690" spans="1:11" ht="60" x14ac:dyDescent="0.25">
      <c r="A690" s="28" t="s">
        <v>3502</v>
      </c>
      <c r="B690" s="28" t="s">
        <v>3503</v>
      </c>
      <c r="C690" s="28">
        <v>4</v>
      </c>
      <c r="D690" s="28" t="s">
        <v>3504</v>
      </c>
      <c r="E690" s="28" t="s">
        <v>131</v>
      </c>
      <c r="F690" s="30" t="s">
        <v>3675</v>
      </c>
      <c r="J690" s="28" t="s">
        <v>2232</v>
      </c>
    </row>
    <row r="691" spans="1:11" ht="60" x14ac:dyDescent="0.25">
      <c r="A691" s="28" t="s">
        <v>3505</v>
      </c>
      <c r="B691" s="28" t="s">
        <v>3506</v>
      </c>
      <c r="C691" s="28">
        <v>4</v>
      </c>
      <c r="D691" s="28" t="s">
        <v>3507</v>
      </c>
      <c r="E691" s="28" t="s">
        <v>131</v>
      </c>
      <c r="F691" s="30" t="s">
        <v>3675</v>
      </c>
      <c r="J691" s="28" t="s">
        <v>2232</v>
      </c>
    </row>
    <row r="692" spans="1:11" ht="60" x14ac:dyDescent="0.25">
      <c r="A692" s="28" t="s">
        <v>3508</v>
      </c>
      <c r="B692" s="28" t="s">
        <v>3509</v>
      </c>
      <c r="C692" s="28">
        <v>4</v>
      </c>
      <c r="D692" s="28" t="s">
        <v>3510</v>
      </c>
      <c r="E692" s="28" t="s">
        <v>131</v>
      </c>
      <c r="F692" s="30" t="s">
        <v>3675</v>
      </c>
      <c r="J692" s="28" t="s">
        <v>2232</v>
      </c>
    </row>
    <row r="693" spans="1:11" ht="75" x14ac:dyDescent="0.25">
      <c r="A693" s="28" t="s">
        <v>2065</v>
      </c>
      <c r="B693" s="28" t="s">
        <v>2663</v>
      </c>
      <c r="C693" s="28">
        <v>3</v>
      </c>
      <c r="D693" s="9" t="s">
        <v>2066</v>
      </c>
      <c r="E693" s="28" t="s">
        <v>3443</v>
      </c>
      <c r="F693" s="30" t="s">
        <v>3673</v>
      </c>
      <c r="H693" s="28" t="s">
        <v>456</v>
      </c>
      <c r="J693" s="28" t="s">
        <v>2232</v>
      </c>
      <c r="K693" s="28" t="s">
        <v>3238</v>
      </c>
    </row>
    <row r="694" spans="1:11" ht="75" x14ac:dyDescent="0.25">
      <c r="A694" s="28" t="s">
        <v>2067</v>
      </c>
      <c r="B694" s="28" t="s">
        <v>2664</v>
      </c>
      <c r="C694" s="28">
        <v>3</v>
      </c>
      <c r="D694" s="28" t="s">
        <v>2068</v>
      </c>
      <c r="E694" s="28" t="s">
        <v>131</v>
      </c>
      <c r="F694" s="30" t="s">
        <v>3673</v>
      </c>
      <c r="H694" s="28" t="s">
        <v>456</v>
      </c>
      <c r="J694" s="28" t="s">
        <v>2232</v>
      </c>
      <c r="K694" s="28" t="s">
        <v>3239</v>
      </c>
    </row>
    <row r="695" spans="1:11" ht="75" x14ac:dyDescent="0.25">
      <c r="A695" s="28" t="s">
        <v>2069</v>
      </c>
      <c r="B695" s="28" t="s">
        <v>2665</v>
      </c>
      <c r="C695" s="28">
        <v>3</v>
      </c>
      <c r="D695" s="28" t="s">
        <v>2070</v>
      </c>
      <c r="E695" s="28" t="s">
        <v>131</v>
      </c>
      <c r="F695" s="30" t="s">
        <v>3673</v>
      </c>
      <c r="H695" s="28" t="s">
        <v>456</v>
      </c>
      <c r="J695" s="28" t="s">
        <v>2232</v>
      </c>
      <c r="K695" s="28" t="s">
        <v>3240</v>
      </c>
    </row>
    <row r="696" spans="1:11" ht="75" x14ac:dyDescent="0.25">
      <c r="A696" s="28" t="s">
        <v>2071</v>
      </c>
      <c r="B696" s="28" t="s">
        <v>2666</v>
      </c>
      <c r="C696" s="28">
        <v>3</v>
      </c>
      <c r="D696" s="28" t="s">
        <v>2072</v>
      </c>
      <c r="E696" s="28" t="s">
        <v>131</v>
      </c>
      <c r="F696" s="30" t="s">
        <v>3673</v>
      </c>
      <c r="H696" s="28" t="s">
        <v>456</v>
      </c>
      <c r="J696" s="28" t="s">
        <v>2232</v>
      </c>
      <c r="K696" s="28" t="s">
        <v>3241</v>
      </c>
    </row>
    <row r="697" spans="1:11" ht="75" x14ac:dyDescent="0.25">
      <c r="A697" s="28" t="s">
        <v>2073</v>
      </c>
      <c r="B697" s="28" t="s">
        <v>3511</v>
      </c>
      <c r="C697" s="28">
        <v>3</v>
      </c>
      <c r="D697" s="9" t="s">
        <v>2074</v>
      </c>
      <c r="E697" s="28" t="s">
        <v>3443</v>
      </c>
      <c r="F697" s="30" t="s">
        <v>3673</v>
      </c>
      <c r="H697" s="28" t="s">
        <v>458</v>
      </c>
      <c r="J697" s="28" t="s">
        <v>2232</v>
      </c>
      <c r="K697" s="28" t="s">
        <v>3242</v>
      </c>
    </row>
    <row r="698" spans="1:11" ht="75" x14ac:dyDescent="0.25">
      <c r="A698" s="28" t="s">
        <v>2075</v>
      </c>
      <c r="B698" s="28" t="s">
        <v>3512</v>
      </c>
      <c r="C698" s="28">
        <v>3</v>
      </c>
      <c r="D698" s="28" t="s">
        <v>2076</v>
      </c>
      <c r="E698" s="28" t="s">
        <v>131</v>
      </c>
      <c r="F698" s="30" t="s">
        <v>3673</v>
      </c>
      <c r="H698" s="28" t="s">
        <v>458</v>
      </c>
      <c r="J698" s="28" t="s">
        <v>2232</v>
      </c>
      <c r="K698" s="28" t="s">
        <v>3243</v>
      </c>
    </row>
    <row r="699" spans="1:11" ht="75" x14ac:dyDescent="0.25">
      <c r="A699" s="28" t="s">
        <v>2077</v>
      </c>
      <c r="B699" s="28" t="s">
        <v>3513</v>
      </c>
      <c r="C699" s="28">
        <v>3</v>
      </c>
      <c r="D699" s="28" t="s">
        <v>51</v>
      </c>
      <c r="E699" s="28" t="s">
        <v>131</v>
      </c>
      <c r="F699" s="30" t="s">
        <v>3673</v>
      </c>
      <c r="H699" s="28" t="s">
        <v>458</v>
      </c>
      <c r="J699" s="28" t="s">
        <v>2232</v>
      </c>
      <c r="K699" s="28" t="s">
        <v>3244</v>
      </c>
    </row>
    <row r="700" spans="1:11" ht="75" x14ac:dyDescent="0.25">
      <c r="A700" s="28" t="s">
        <v>2078</v>
      </c>
      <c r="B700" s="28" t="s">
        <v>3514</v>
      </c>
      <c r="C700" s="28">
        <v>3</v>
      </c>
      <c r="D700" s="28" t="s">
        <v>50</v>
      </c>
      <c r="E700" s="28" t="s">
        <v>131</v>
      </c>
      <c r="F700" s="30" t="s">
        <v>3673</v>
      </c>
      <c r="H700" s="28" t="s">
        <v>458</v>
      </c>
      <c r="J700" s="28" t="s">
        <v>2232</v>
      </c>
      <c r="K700" s="28" t="s">
        <v>3245</v>
      </c>
    </row>
    <row r="701" spans="1:11" ht="75" x14ac:dyDescent="0.25">
      <c r="A701" s="28" t="s">
        <v>2079</v>
      </c>
      <c r="B701" s="28" t="s">
        <v>3515</v>
      </c>
      <c r="C701" s="28">
        <v>3</v>
      </c>
      <c r="D701" s="28" t="s">
        <v>49</v>
      </c>
      <c r="E701" s="28" t="s">
        <v>131</v>
      </c>
      <c r="F701" s="30" t="s">
        <v>3673</v>
      </c>
      <c r="H701" s="28" t="s">
        <v>458</v>
      </c>
      <c r="J701" s="28" t="s">
        <v>2232</v>
      </c>
      <c r="K701" s="28" t="s">
        <v>3246</v>
      </c>
    </row>
    <row r="702" spans="1:11" ht="75" x14ac:dyDescent="0.25">
      <c r="A702" s="28" t="s">
        <v>2080</v>
      </c>
      <c r="B702" s="28" t="s">
        <v>3516</v>
      </c>
      <c r="C702" s="28">
        <v>3</v>
      </c>
      <c r="D702" s="28" t="s">
        <v>48</v>
      </c>
      <c r="E702" s="28" t="s">
        <v>131</v>
      </c>
      <c r="F702" s="30" t="s">
        <v>3673</v>
      </c>
      <c r="H702" s="28" t="s">
        <v>458</v>
      </c>
      <c r="J702" s="28" t="s">
        <v>2232</v>
      </c>
      <c r="K702" s="28" t="s">
        <v>3247</v>
      </c>
    </row>
    <row r="703" spans="1:11" ht="75" x14ac:dyDescent="0.25">
      <c r="A703" s="28" t="s">
        <v>2081</v>
      </c>
      <c r="B703" s="28" t="s">
        <v>3517</v>
      </c>
      <c r="C703" s="28">
        <v>3</v>
      </c>
      <c r="D703" s="28" t="s">
        <v>47</v>
      </c>
      <c r="E703" s="28" t="s">
        <v>131</v>
      </c>
      <c r="F703" s="30" t="s">
        <v>3673</v>
      </c>
      <c r="H703" s="28" t="s">
        <v>458</v>
      </c>
      <c r="J703" s="28" t="s">
        <v>2232</v>
      </c>
      <c r="K703" s="28" t="s">
        <v>3248</v>
      </c>
    </row>
    <row r="704" spans="1:11" ht="75" x14ac:dyDescent="0.25">
      <c r="A704" s="28" t="s">
        <v>2082</v>
      </c>
      <c r="B704" s="28" t="s">
        <v>3518</v>
      </c>
      <c r="C704" s="28">
        <v>3</v>
      </c>
      <c r="D704" s="28" t="s">
        <v>46</v>
      </c>
      <c r="E704" s="28" t="s">
        <v>131</v>
      </c>
      <c r="F704" s="30" t="s">
        <v>3673</v>
      </c>
      <c r="H704" s="28" t="s">
        <v>458</v>
      </c>
      <c r="J704" s="28" t="s">
        <v>2232</v>
      </c>
      <c r="K704" s="28" t="s">
        <v>3249</v>
      </c>
    </row>
    <row r="705" spans="1:11" ht="75" x14ac:dyDescent="0.25">
      <c r="A705" s="28" t="s">
        <v>2083</v>
      </c>
      <c r="B705" s="28">
        <v>26.2</v>
      </c>
      <c r="C705" s="28">
        <v>2</v>
      </c>
      <c r="D705" s="9" t="s">
        <v>45</v>
      </c>
      <c r="E705" s="28" t="s">
        <v>3443</v>
      </c>
      <c r="F705" s="30" t="s">
        <v>3673</v>
      </c>
      <c r="H705" s="28" t="s">
        <v>460</v>
      </c>
      <c r="J705" s="28" t="s">
        <v>2232</v>
      </c>
    </row>
    <row r="706" spans="1:11" ht="105" x14ac:dyDescent="0.25">
      <c r="A706" s="28" t="s">
        <v>2084</v>
      </c>
      <c r="B706" s="28" t="s">
        <v>618</v>
      </c>
      <c r="C706" s="28">
        <v>3</v>
      </c>
      <c r="D706" s="30" t="s">
        <v>2086</v>
      </c>
      <c r="E706" s="28" t="s">
        <v>139</v>
      </c>
      <c r="F706" s="30" t="s">
        <v>3673</v>
      </c>
      <c r="H706" s="28" t="s">
        <v>460</v>
      </c>
      <c r="J706" s="28" t="s">
        <v>2232</v>
      </c>
    </row>
    <row r="707" spans="1:11" ht="75" x14ac:dyDescent="0.25">
      <c r="A707" s="28" t="s">
        <v>2087</v>
      </c>
      <c r="B707" s="28" t="s">
        <v>2667</v>
      </c>
      <c r="C707" s="28">
        <v>3</v>
      </c>
      <c r="D707" s="9" t="s">
        <v>3519</v>
      </c>
      <c r="E707" s="28" t="s">
        <v>3443</v>
      </c>
      <c r="F707" s="30" t="s">
        <v>3673</v>
      </c>
      <c r="H707" s="28" t="s">
        <v>460</v>
      </c>
      <c r="J707" s="28" t="s">
        <v>2232</v>
      </c>
    </row>
    <row r="708" spans="1:11" ht="75" x14ac:dyDescent="0.25">
      <c r="A708" s="28" t="s">
        <v>3521</v>
      </c>
      <c r="B708" s="28" t="s">
        <v>2668</v>
      </c>
      <c r="C708" s="28">
        <v>4</v>
      </c>
      <c r="D708" s="28" t="s">
        <v>3520</v>
      </c>
      <c r="E708" s="28" t="s">
        <v>139</v>
      </c>
      <c r="F708" s="30" t="s">
        <v>3673</v>
      </c>
      <c r="J708" s="28" t="s">
        <v>2232</v>
      </c>
    </row>
    <row r="709" spans="1:11" ht="75" x14ac:dyDescent="0.25">
      <c r="A709" s="28" t="s">
        <v>2088</v>
      </c>
      <c r="B709" s="28" t="s">
        <v>3522</v>
      </c>
      <c r="C709" s="28">
        <v>4</v>
      </c>
      <c r="D709" s="28" t="s">
        <v>2089</v>
      </c>
      <c r="E709" s="28" t="s">
        <v>131</v>
      </c>
      <c r="F709" s="30" t="s">
        <v>3673</v>
      </c>
      <c r="H709" s="28" t="s">
        <v>460</v>
      </c>
      <c r="J709" s="28" t="s">
        <v>2232</v>
      </c>
      <c r="K709" s="28" t="s">
        <v>3250</v>
      </c>
    </row>
    <row r="710" spans="1:11" ht="75" x14ac:dyDescent="0.25">
      <c r="A710" s="28" t="s">
        <v>2090</v>
      </c>
      <c r="B710" s="28" t="s">
        <v>2669</v>
      </c>
      <c r="C710" s="28">
        <v>3</v>
      </c>
      <c r="D710" s="9" t="s">
        <v>2091</v>
      </c>
      <c r="E710" s="28" t="s">
        <v>3443</v>
      </c>
      <c r="F710" s="30" t="s">
        <v>3673</v>
      </c>
      <c r="H710" s="28" t="s">
        <v>460</v>
      </c>
      <c r="J710" s="28" t="s">
        <v>2232</v>
      </c>
    </row>
    <row r="711" spans="1:11" ht="75" x14ac:dyDescent="0.25">
      <c r="A711" s="28" t="s">
        <v>2092</v>
      </c>
      <c r="B711" s="28" t="s">
        <v>2670</v>
      </c>
      <c r="C711" s="28">
        <v>4</v>
      </c>
      <c r="D711" s="28" t="s">
        <v>2093</v>
      </c>
      <c r="E711" s="28" t="s">
        <v>131</v>
      </c>
      <c r="F711" s="30" t="s">
        <v>3673</v>
      </c>
      <c r="H711" s="28" t="s">
        <v>460</v>
      </c>
      <c r="J711" s="28" t="s">
        <v>2232</v>
      </c>
      <c r="K711" s="28" t="s">
        <v>3251</v>
      </c>
    </row>
    <row r="712" spans="1:11" ht="75" x14ac:dyDescent="0.25">
      <c r="A712" s="28" t="s">
        <v>2094</v>
      </c>
      <c r="B712" s="28" t="s">
        <v>2671</v>
      </c>
      <c r="C712" s="28">
        <v>3</v>
      </c>
      <c r="D712" s="9" t="s">
        <v>3523</v>
      </c>
      <c r="E712" s="28" t="s">
        <v>3443</v>
      </c>
      <c r="F712" s="30" t="s">
        <v>3673</v>
      </c>
      <c r="H712" s="28" t="s">
        <v>460</v>
      </c>
      <c r="J712" s="28" t="s">
        <v>2232</v>
      </c>
    </row>
    <row r="713" spans="1:11" ht="75" x14ac:dyDescent="0.25">
      <c r="A713" s="28" t="s">
        <v>3525</v>
      </c>
      <c r="B713" s="28" t="s">
        <v>2672</v>
      </c>
      <c r="C713" s="28">
        <v>4</v>
      </c>
      <c r="D713" s="28" t="s">
        <v>3524</v>
      </c>
      <c r="E713" s="28" t="s">
        <v>139</v>
      </c>
      <c r="F713" s="30" t="s">
        <v>3673</v>
      </c>
      <c r="J713" s="28" t="s">
        <v>2232</v>
      </c>
    </row>
    <row r="714" spans="1:11" ht="75" x14ac:dyDescent="0.25">
      <c r="A714" s="28" t="s">
        <v>2095</v>
      </c>
      <c r="B714" s="28" t="s">
        <v>2673</v>
      </c>
      <c r="C714" s="28">
        <v>4</v>
      </c>
      <c r="D714" s="28" t="s">
        <v>2096</v>
      </c>
      <c r="E714" s="28" t="s">
        <v>131</v>
      </c>
      <c r="F714" s="30" t="s">
        <v>3673</v>
      </c>
      <c r="H714" s="28" t="s">
        <v>460</v>
      </c>
      <c r="J714" s="28" t="s">
        <v>2232</v>
      </c>
      <c r="K714" s="28" t="s">
        <v>3252</v>
      </c>
    </row>
    <row r="715" spans="1:11" ht="75" x14ac:dyDescent="0.25">
      <c r="A715" s="28" t="s">
        <v>2097</v>
      </c>
      <c r="B715" s="28" t="s">
        <v>2674</v>
      </c>
      <c r="C715" s="28">
        <v>4</v>
      </c>
      <c r="D715" s="28" t="s">
        <v>2098</v>
      </c>
      <c r="E715" s="28" t="s">
        <v>139</v>
      </c>
      <c r="F715" s="30" t="s">
        <v>3673</v>
      </c>
      <c r="H715" s="28" t="s">
        <v>460</v>
      </c>
      <c r="J715" s="28" t="s">
        <v>2232</v>
      </c>
    </row>
    <row r="716" spans="1:11" ht="75" x14ac:dyDescent="0.25">
      <c r="A716" s="28" t="s">
        <v>2099</v>
      </c>
      <c r="B716" s="28" t="s">
        <v>2675</v>
      </c>
      <c r="C716" s="28">
        <v>4</v>
      </c>
      <c r="D716" s="28" t="s">
        <v>2313</v>
      </c>
      <c r="E716" s="28" t="s">
        <v>131</v>
      </c>
      <c r="F716" s="30" t="s">
        <v>3673</v>
      </c>
      <c r="H716" s="28" t="s">
        <v>460</v>
      </c>
      <c r="J716" s="28" t="s">
        <v>2232</v>
      </c>
      <c r="K716" s="28" t="s">
        <v>3253</v>
      </c>
    </row>
    <row r="717" spans="1:11" ht="75" x14ac:dyDescent="0.25">
      <c r="A717" s="28" t="s">
        <v>2100</v>
      </c>
      <c r="B717" s="28" t="s">
        <v>2676</v>
      </c>
      <c r="C717" s="28">
        <v>4</v>
      </c>
      <c r="D717" s="28" t="s">
        <v>2314</v>
      </c>
      <c r="E717" s="28" t="s">
        <v>131</v>
      </c>
      <c r="F717" s="30" t="s">
        <v>3673</v>
      </c>
      <c r="H717" s="28" t="s">
        <v>460</v>
      </c>
      <c r="J717" s="28" t="s">
        <v>2232</v>
      </c>
      <c r="K717" s="28" t="s">
        <v>3254</v>
      </c>
    </row>
    <row r="718" spans="1:11" ht="120" x14ac:dyDescent="0.25">
      <c r="A718" s="28" t="s">
        <v>2101</v>
      </c>
      <c r="B718" s="28" t="s">
        <v>2677</v>
      </c>
      <c r="C718" s="28">
        <v>4</v>
      </c>
      <c r="D718" s="30" t="s">
        <v>3396</v>
      </c>
      <c r="E718" s="28" t="s">
        <v>131</v>
      </c>
      <c r="F718" s="30" t="s">
        <v>3673</v>
      </c>
      <c r="H718" s="28" t="s">
        <v>460</v>
      </c>
      <c r="J718" s="28" t="s">
        <v>2232</v>
      </c>
      <c r="K718" s="28" t="s">
        <v>3255</v>
      </c>
    </row>
    <row r="719" spans="1:11" ht="75" x14ac:dyDescent="0.25">
      <c r="A719" s="28" t="s">
        <v>2102</v>
      </c>
      <c r="B719" s="28" t="s">
        <v>3526</v>
      </c>
      <c r="C719" s="28">
        <v>4</v>
      </c>
      <c r="D719" s="28" t="s">
        <v>2103</v>
      </c>
      <c r="E719" s="28" t="s">
        <v>131</v>
      </c>
      <c r="F719" s="30" t="s">
        <v>3673</v>
      </c>
      <c r="H719" s="28" t="s">
        <v>460</v>
      </c>
      <c r="J719" s="28" t="s">
        <v>2232</v>
      </c>
      <c r="K719" s="28" t="s">
        <v>3256</v>
      </c>
    </row>
    <row r="720" spans="1:11" ht="75" x14ac:dyDescent="0.25">
      <c r="A720" s="28" t="s">
        <v>2104</v>
      </c>
      <c r="B720" s="28" t="s">
        <v>2678</v>
      </c>
      <c r="C720" s="28">
        <v>3</v>
      </c>
      <c r="D720" s="9" t="s">
        <v>2105</v>
      </c>
      <c r="E720" s="28" t="s">
        <v>3443</v>
      </c>
      <c r="F720" s="30" t="s">
        <v>3673</v>
      </c>
      <c r="H720" s="28" t="s">
        <v>460</v>
      </c>
      <c r="J720" s="28" t="s">
        <v>2232</v>
      </c>
    </row>
    <row r="721" spans="1:11" ht="75" x14ac:dyDescent="0.25">
      <c r="A721" s="28" t="s">
        <v>2106</v>
      </c>
      <c r="B721" s="28" t="s">
        <v>2679</v>
      </c>
      <c r="C721" s="28">
        <v>4</v>
      </c>
      <c r="D721" s="28" t="s">
        <v>2315</v>
      </c>
      <c r="E721" s="28" t="s">
        <v>131</v>
      </c>
      <c r="F721" s="30" t="s">
        <v>3673</v>
      </c>
      <c r="H721" s="28" t="s">
        <v>460</v>
      </c>
      <c r="J721" s="28" t="s">
        <v>2232</v>
      </c>
      <c r="K721" s="28" t="s">
        <v>3257</v>
      </c>
    </row>
    <row r="722" spans="1:11" ht="75" x14ac:dyDescent="0.25">
      <c r="A722" s="28" t="s">
        <v>2107</v>
      </c>
      <c r="B722" s="28" t="s">
        <v>2680</v>
      </c>
      <c r="C722" s="28">
        <v>3</v>
      </c>
      <c r="D722" s="9" t="s">
        <v>3527</v>
      </c>
      <c r="E722" s="28" t="s">
        <v>3443</v>
      </c>
      <c r="F722" s="30" t="s">
        <v>3673</v>
      </c>
      <c r="H722" s="28" t="s">
        <v>460</v>
      </c>
      <c r="J722" s="28" t="s">
        <v>2232</v>
      </c>
    </row>
    <row r="723" spans="1:11" ht="75" x14ac:dyDescent="0.25">
      <c r="A723" s="28" t="s">
        <v>3529</v>
      </c>
      <c r="B723" s="28" t="s">
        <v>2681</v>
      </c>
      <c r="C723" s="28">
        <v>4</v>
      </c>
      <c r="D723" s="28" t="s">
        <v>3528</v>
      </c>
      <c r="E723" s="28" t="s">
        <v>139</v>
      </c>
      <c r="F723" s="30" t="s">
        <v>3673</v>
      </c>
      <c r="J723" s="28" t="s">
        <v>2232</v>
      </c>
    </row>
    <row r="724" spans="1:11" ht="75" x14ac:dyDescent="0.25">
      <c r="A724" s="28" t="s">
        <v>2108</v>
      </c>
      <c r="B724" s="28" t="s">
        <v>2682</v>
      </c>
      <c r="C724" s="28">
        <v>4</v>
      </c>
      <c r="D724" s="28" t="s">
        <v>2109</v>
      </c>
      <c r="E724" s="28" t="s">
        <v>131</v>
      </c>
      <c r="F724" s="30" t="s">
        <v>3673</v>
      </c>
      <c r="H724" s="28" t="s">
        <v>460</v>
      </c>
      <c r="J724" s="28" t="s">
        <v>2232</v>
      </c>
      <c r="K724" s="28" t="s">
        <v>3258</v>
      </c>
    </row>
    <row r="725" spans="1:11" ht="75" x14ac:dyDescent="0.25">
      <c r="A725" s="28" t="s">
        <v>2110</v>
      </c>
      <c r="B725" s="28" t="s">
        <v>2683</v>
      </c>
      <c r="C725" s="28">
        <v>4</v>
      </c>
      <c r="D725" s="28" t="s">
        <v>2111</v>
      </c>
      <c r="E725" s="28" t="s">
        <v>139</v>
      </c>
      <c r="F725" s="30" t="s">
        <v>3673</v>
      </c>
      <c r="H725" s="28" t="s">
        <v>460</v>
      </c>
      <c r="J725" s="28" t="s">
        <v>2232</v>
      </c>
    </row>
    <row r="726" spans="1:11" ht="75" x14ac:dyDescent="0.25">
      <c r="A726" s="28" t="s">
        <v>2112</v>
      </c>
      <c r="B726" s="28" t="s">
        <v>2684</v>
      </c>
      <c r="C726" s="28">
        <v>4</v>
      </c>
      <c r="D726" s="28" t="s">
        <v>2316</v>
      </c>
      <c r="E726" s="28" t="s">
        <v>131</v>
      </c>
      <c r="F726" s="30" t="s">
        <v>3673</v>
      </c>
      <c r="H726" s="28" t="s">
        <v>460</v>
      </c>
      <c r="J726" s="28" t="s">
        <v>2232</v>
      </c>
      <c r="K726" s="28" t="s">
        <v>3259</v>
      </c>
    </row>
    <row r="727" spans="1:11" ht="75" x14ac:dyDescent="0.25">
      <c r="A727" s="28" t="s">
        <v>2113</v>
      </c>
      <c r="B727" s="28" t="s">
        <v>2685</v>
      </c>
      <c r="C727" s="28">
        <v>4</v>
      </c>
      <c r="D727" s="28" t="s">
        <v>2317</v>
      </c>
      <c r="E727" s="28" t="s">
        <v>131</v>
      </c>
      <c r="F727" s="30" t="s">
        <v>3673</v>
      </c>
      <c r="H727" s="28" t="s">
        <v>460</v>
      </c>
      <c r="J727" s="28" t="s">
        <v>2232</v>
      </c>
      <c r="K727" s="28" t="s">
        <v>3260</v>
      </c>
    </row>
    <row r="728" spans="1:11" ht="105" x14ac:dyDescent="0.25">
      <c r="A728" s="28" t="s">
        <v>2114</v>
      </c>
      <c r="B728" s="28" t="s">
        <v>3530</v>
      </c>
      <c r="C728" s="28">
        <v>4</v>
      </c>
      <c r="D728" s="30" t="s">
        <v>3397</v>
      </c>
      <c r="E728" s="28" t="s">
        <v>131</v>
      </c>
      <c r="F728" s="30" t="s">
        <v>3673</v>
      </c>
      <c r="H728" s="28" t="s">
        <v>460</v>
      </c>
      <c r="J728" s="28" t="s">
        <v>2232</v>
      </c>
      <c r="K728" s="28" t="s">
        <v>3261</v>
      </c>
    </row>
    <row r="729" spans="1:11" ht="75" x14ac:dyDescent="0.25">
      <c r="A729" s="28" t="s">
        <v>2115</v>
      </c>
      <c r="B729" s="28">
        <v>27</v>
      </c>
      <c r="C729" s="28">
        <v>1</v>
      </c>
      <c r="D729" s="9" t="s">
        <v>463</v>
      </c>
      <c r="E729" s="28" t="s">
        <v>3443</v>
      </c>
      <c r="F729" s="30" t="s">
        <v>3673</v>
      </c>
      <c r="H729" s="28" t="s">
        <v>464</v>
      </c>
      <c r="J729" s="28" t="s">
        <v>2232</v>
      </c>
    </row>
    <row r="730" spans="1:11" ht="60" x14ac:dyDescent="0.25">
      <c r="A730" s="28" t="s">
        <v>2116</v>
      </c>
      <c r="B730" s="28" t="s">
        <v>2686</v>
      </c>
      <c r="C730" s="28">
        <v>2</v>
      </c>
      <c r="D730" s="28" t="s">
        <v>44</v>
      </c>
      <c r="E730" s="28" t="s">
        <v>131</v>
      </c>
      <c r="F730" s="30" t="s">
        <v>3675</v>
      </c>
      <c r="H730" s="28" t="s">
        <v>464</v>
      </c>
      <c r="J730" s="28" t="s">
        <v>2232</v>
      </c>
      <c r="K730" s="28" t="s">
        <v>3262</v>
      </c>
    </row>
    <row r="731" spans="1:11" ht="75" x14ac:dyDescent="0.25">
      <c r="A731" s="28" t="s">
        <v>2117</v>
      </c>
      <c r="B731" s="28" t="s">
        <v>619</v>
      </c>
      <c r="C731" s="28">
        <v>2</v>
      </c>
      <c r="D731" s="28" t="s">
        <v>2118</v>
      </c>
      <c r="E731" s="28" t="s">
        <v>131</v>
      </c>
      <c r="F731" s="30" t="s">
        <v>3673</v>
      </c>
      <c r="H731" s="28" t="s">
        <v>464</v>
      </c>
      <c r="J731" s="28" t="s">
        <v>2232</v>
      </c>
      <c r="K731" s="28" t="s">
        <v>3263</v>
      </c>
    </row>
    <row r="732" spans="1:11" ht="60" x14ac:dyDescent="0.25">
      <c r="A732" s="28" t="s">
        <v>2119</v>
      </c>
      <c r="B732" s="28" t="s">
        <v>620</v>
      </c>
      <c r="C732" s="28">
        <v>2</v>
      </c>
      <c r="D732" s="28" t="s">
        <v>2120</v>
      </c>
      <c r="E732" s="28" t="s">
        <v>131</v>
      </c>
      <c r="F732" s="30" t="s">
        <v>3675</v>
      </c>
      <c r="G732" s="28" t="s">
        <v>3659</v>
      </c>
      <c r="H732" s="28" t="s">
        <v>127</v>
      </c>
      <c r="J732" s="28" t="s">
        <v>2232</v>
      </c>
    </row>
    <row r="733" spans="1:11" ht="60" x14ac:dyDescent="0.25">
      <c r="A733" s="28" t="s">
        <v>2121</v>
      </c>
      <c r="B733" s="28" t="s">
        <v>2687</v>
      </c>
      <c r="C733" s="28">
        <v>2</v>
      </c>
      <c r="D733" s="28" t="s">
        <v>2122</v>
      </c>
      <c r="E733" s="28" t="s">
        <v>131</v>
      </c>
      <c r="F733" s="30" t="s">
        <v>3675</v>
      </c>
      <c r="G733" s="28" t="s">
        <v>3659</v>
      </c>
      <c r="H733" s="28" t="s">
        <v>128</v>
      </c>
      <c r="J733" s="28" t="s">
        <v>2232</v>
      </c>
    </row>
    <row r="734" spans="1:11" ht="60" x14ac:dyDescent="0.25">
      <c r="A734" s="28" t="s">
        <v>2123</v>
      </c>
      <c r="B734" s="28" t="s">
        <v>2688</v>
      </c>
      <c r="C734" s="28">
        <v>2</v>
      </c>
      <c r="D734" s="28" t="s">
        <v>2124</v>
      </c>
      <c r="E734" s="28" t="s">
        <v>131</v>
      </c>
      <c r="F734" s="30" t="s">
        <v>3675</v>
      </c>
      <c r="G734" s="28" t="s">
        <v>3659</v>
      </c>
      <c r="H734" s="28" t="s">
        <v>128</v>
      </c>
      <c r="J734" s="28" t="s">
        <v>2232</v>
      </c>
    </row>
    <row r="735" spans="1:11" ht="75" x14ac:dyDescent="0.25">
      <c r="A735" s="28" t="s">
        <v>2125</v>
      </c>
      <c r="B735" s="28">
        <v>28</v>
      </c>
      <c r="C735" s="28">
        <v>1</v>
      </c>
      <c r="D735" s="9" t="s">
        <v>469</v>
      </c>
      <c r="E735" s="28" t="s">
        <v>3443</v>
      </c>
      <c r="F735" s="30" t="s">
        <v>3673</v>
      </c>
      <c r="H735" s="28" t="s">
        <v>468</v>
      </c>
      <c r="J735" s="28" t="s">
        <v>2232</v>
      </c>
    </row>
    <row r="736" spans="1:11" ht="75" x14ac:dyDescent="0.25">
      <c r="A736" s="28" t="s">
        <v>2126</v>
      </c>
      <c r="B736" s="28">
        <v>28.1</v>
      </c>
      <c r="C736" s="28">
        <v>2</v>
      </c>
      <c r="D736" s="9" t="s">
        <v>84</v>
      </c>
      <c r="E736" s="28" t="s">
        <v>3443</v>
      </c>
      <c r="F736" s="30" t="s">
        <v>3673</v>
      </c>
      <c r="H736" s="28" t="s">
        <v>472</v>
      </c>
      <c r="J736" s="28" t="s">
        <v>2232</v>
      </c>
    </row>
    <row r="737" spans="1:11" ht="75" x14ac:dyDescent="0.25">
      <c r="A737" s="28" t="s">
        <v>2127</v>
      </c>
      <c r="B737" s="28" t="s">
        <v>621</v>
      </c>
      <c r="C737" s="28">
        <v>3</v>
      </c>
      <c r="D737" s="28" t="s">
        <v>83</v>
      </c>
      <c r="E737" s="28" t="s">
        <v>131</v>
      </c>
      <c r="F737" s="30" t="s">
        <v>3673</v>
      </c>
      <c r="H737" s="28" t="s">
        <v>472</v>
      </c>
      <c r="J737" s="28" t="s">
        <v>2232</v>
      </c>
      <c r="K737" s="28" t="s">
        <v>3264</v>
      </c>
    </row>
    <row r="738" spans="1:11" ht="75" x14ac:dyDescent="0.25">
      <c r="A738" s="28" t="s">
        <v>2128</v>
      </c>
      <c r="B738" s="28" t="s">
        <v>2171</v>
      </c>
      <c r="C738" s="28">
        <v>3</v>
      </c>
      <c r="D738" s="28" t="s">
        <v>82</v>
      </c>
      <c r="E738" s="28" t="s">
        <v>131</v>
      </c>
      <c r="F738" s="30" t="s">
        <v>3673</v>
      </c>
      <c r="H738" s="28" t="s">
        <v>472</v>
      </c>
      <c r="J738" s="28" t="s">
        <v>2232</v>
      </c>
      <c r="K738" s="28" t="s">
        <v>3265</v>
      </c>
    </row>
    <row r="739" spans="1:11" ht="75" x14ac:dyDescent="0.25">
      <c r="A739" s="28" t="s">
        <v>2129</v>
      </c>
      <c r="B739" s="28" t="s">
        <v>2689</v>
      </c>
      <c r="C739" s="28">
        <v>3</v>
      </c>
      <c r="D739" s="28" t="s">
        <v>81</v>
      </c>
      <c r="E739" s="28" t="s">
        <v>131</v>
      </c>
      <c r="F739" s="30" t="s">
        <v>3673</v>
      </c>
      <c r="H739" s="28" t="s">
        <v>472</v>
      </c>
      <c r="J739" s="28" t="s">
        <v>2232</v>
      </c>
      <c r="K739" s="28" t="s">
        <v>3266</v>
      </c>
    </row>
    <row r="740" spans="1:11" ht="75" x14ac:dyDescent="0.25">
      <c r="A740" s="28" t="s">
        <v>2130</v>
      </c>
      <c r="B740" s="28" t="s">
        <v>2690</v>
      </c>
      <c r="C740" s="28">
        <v>3</v>
      </c>
      <c r="D740" s="28" t="s">
        <v>80</v>
      </c>
      <c r="E740" s="28" t="s">
        <v>131</v>
      </c>
      <c r="F740" s="30" t="s">
        <v>3673</v>
      </c>
      <c r="H740" s="28" t="s">
        <v>472</v>
      </c>
      <c r="J740" s="28" t="s">
        <v>2232</v>
      </c>
      <c r="K740" s="28" t="s">
        <v>3267</v>
      </c>
    </row>
    <row r="741" spans="1:11" ht="75" x14ac:dyDescent="0.25">
      <c r="A741" s="28" t="s">
        <v>2131</v>
      </c>
      <c r="B741" s="28">
        <v>28.2</v>
      </c>
      <c r="C741" s="28">
        <v>2</v>
      </c>
      <c r="D741" s="9" t="s">
        <v>79</v>
      </c>
      <c r="E741" s="28" t="s">
        <v>3443</v>
      </c>
      <c r="F741" s="30" t="s">
        <v>3673</v>
      </c>
      <c r="H741" s="28" t="s">
        <v>474</v>
      </c>
      <c r="J741" s="28" t="s">
        <v>2232</v>
      </c>
    </row>
    <row r="742" spans="1:11" ht="75" x14ac:dyDescent="0.25">
      <c r="A742" s="28" t="s">
        <v>2132</v>
      </c>
      <c r="B742" s="28" t="s">
        <v>622</v>
      </c>
      <c r="C742" s="28">
        <v>3</v>
      </c>
      <c r="D742" s="28" t="s">
        <v>78</v>
      </c>
      <c r="E742" s="28" t="s">
        <v>131</v>
      </c>
      <c r="F742" s="30" t="s">
        <v>3673</v>
      </c>
      <c r="H742" s="28" t="s">
        <v>474</v>
      </c>
      <c r="J742" s="28" t="s">
        <v>2232</v>
      </c>
      <c r="K742" s="28" t="s">
        <v>3268</v>
      </c>
    </row>
    <row r="743" spans="1:11" ht="75" x14ac:dyDescent="0.25">
      <c r="A743" s="28" t="s">
        <v>2133</v>
      </c>
      <c r="B743" s="28" t="s">
        <v>2178</v>
      </c>
      <c r="C743" s="28">
        <v>3</v>
      </c>
      <c r="D743" s="28" t="s">
        <v>77</v>
      </c>
      <c r="E743" s="28" t="s">
        <v>131</v>
      </c>
      <c r="F743" s="30" t="s">
        <v>3673</v>
      </c>
      <c r="H743" s="28" t="s">
        <v>474</v>
      </c>
      <c r="J743" s="28" t="s">
        <v>2232</v>
      </c>
      <c r="K743" s="28" t="s">
        <v>3269</v>
      </c>
    </row>
    <row r="744" spans="1:11" ht="75" x14ac:dyDescent="0.25">
      <c r="A744" s="28" t="s">
        <v>2134</v>
      </c>
      <c r="B744" s="28" t="s">
        <v>2181</v>
      </c>
      <c r="C744" s="28">
        <v>3</v>
      </c>
      <c r="D744" s="28" t="s">
        <v>76</v>
      </c>
      <c r="E744" s="28" t="s">
        <v>131</v>
      </c>
      <c r="F744" s="30" t="s">
        <v>3673</v>
      </c>
      <c r="H744" s="28" t="s">
        <v>474</v>
      </c>
      <c r="J744" s="28" t="s">
        <v>2232</v>
      </c>
      <c r="K744" s="28" t="s">
        <v>3270</v>
      </c>
    </row>
    <row r="745" spans="1:11" ht="75" x14ac:dyDescent="0.25">
      <c r="A745" s="28" t="s">
        <v>2135</v>
      </c>
      <c r="B745" s="28">
        <v>28.3</v>
      </c>
      <c r="C745" s="28">
        <v>2</v>
      </c>
      <c r="D745" s="9" t="s">
        <v>75</v>
      </c>
      <c r="E745" s="28" t="s">
        <v>3443</v>
      </c>
      <c r="F745" s="30" t="s">
        <v>3673</v>
      </c>
      <c r="H745" s="28" t="s">
        <v>476</v>
      </c>
      <c r="J745" s="28" t="s">
        <v>2232</v>
      </c>
    </row>
    <row r="746" spans="1:11" ht="75" x14ac:dyDescent="0.25">
      <c r="A746" s="28" t="s">
        <v>2136</v>
      </c>
      <c r="B746" s="28" t="s">
        <v>623</v>
      </c>
      <c r="C746" s="28">
        <v>3</v>
      </c>
      <c r="D746" s="28" t="s">
        <v>74</v>
      </c>
      <c r="E746" s="28" t="s">
        <v>131</v>
      </c>
      <c r="F746" s="30" t="s">
        <v>3673</v>
      </c>
      <c r="H746" s="28" t="s">
        <v>476</v>
      </c>
      <c r="J746" s="28" t="s">
        <v>2232</v>
      </c>
      <c r="K746" s="28" t="s">
        <v>3271</v>
      </c>
    </row>
    <row r="747" spans="1:11" ht="75" x14ac:dyDescent="0.25">
      <c r="A747" s="28" t="s">
        <v>2137</v>
      </c>
      <c r="B747" s="28" t="s">
        <v>2691</v>
      </c>
      <c r="C747" s="28">
        <v>3</v>
      </c>
      <c r="D747" s="28" t="s">
        <v>73</v>
      </c>
      <c r="E747" s="28" t="s">
        <v>131</v>
      </c>
      <c r="F747" s="30" t="s">
        <v>3673</v>
      </c>
      <c r="H747" s="28" t="s">
        <v>476</v>
      </c>
      <c r="J747" s="28" t="s">
        <v>2232</v>
      </c>
      <c r="K747" s="28" t="s">
        <v>3272</v>
      </c>
    </row>
    <row r="748" spans="1:11" ht="75" x14ac:dyDescent="0.25">
      <c r="A748" s="28" t="s">
        <v>2138</v>
      </c>
      <c r="B748" s="28" t="s">
        <v>2692</v>
      </c>
      <c r="C748" s="28">
        <v>3</v>
      </c>
      <c r="D748" s="28" t="s">
        <v>72</v>
      </c>
      <c r="E748" s="28" t="s">
        <v>131</v>
      </c>
      <c r="F748" s="30" t="s">
        <v>3673</v>
      </c>
      <c r="H748" s="28" t="s">
        <v>476</v>
      </c>
      <c r="J748" s="28" t="s">
        <v>2232</v>
      </c>
      <c r="K748" s="28" t="s">
        <v>3273</v>
      </c>
    </row>
    <row r="749" spans="1:11" ht="75" x14ac:dyDescent="0.25">
      <c r="A749" s="28" t="s">
        <v>2139</v>
      </c>
      <c r="B749" s="28">
        <v>28.4</v>
      </c>
      <c r="C749" s="28">
        <v>2</v>
      </c>
      <c r="D749" s="9" t="s">
        <v>71</v>
      </c>
      <c r="E749" s="28" t="s">
        <v>3443</v>
      </c>
      <c r="F749" s="30" t="s">
        <v>3673</v>
      </c>
      <c r="H749" s="28" t="s">
        <v>478</v>
      </c>
      <c r="J749" s="28" t="s">
        <v>2232</v>
      </c>
    </row>
    <row r="750" spans="1:11" ht="75" x14ac:dyDescent="0.25">
      <c r="A750" s="28" t="s">
        <v>2140</v>
      </c>
      <c r="B750" s="28" t="s">
        <v>624</v>
      </c>
      <c r="C750" s="28">
        <v>3</v>
      </c>
      <c r="D750" s="28" t="s">
        <v>2141</v>
      </c>
      <c r="E750" s="28" t="s">
        <v>139</v>
      </c>
      <c r="F750" s="30" t="s">
        <v>3673</v>
      </c>
      <c r="H750" s="28" t="s">
        <v>478</v>
      </c>
      <c r="J750" s="28" t="s">
        <v>2232</v>
      </c>
    </row>
    <row r="751" spans="1:11" ht="75" x14ac:dyDescent="0.25">
      <c r="A751" s="28" t="s">
        <v>2142</v>
      </c>
      <c r="B751" s="28" t="s">
        <v>625</v>
      </c>
      <c r="C751" s="28">
        <v>3</v>
      </c>
      <c r="D751" s="28" t="s">
        <v>69</v>
      </c>
      <c r="E751" s="28" t="s">
        <v>131</v>
      </c>
      <c r="F751" s="30" t="s">
        <v>3673</v>
      </c>
      <c r="H751" s="28" t="s">
        <v>478</v>
      </c>
      <c r="J751" s="28" t="s">
        <v>2232</v>
      </c>
      <c r="K751" s="28" t="s">
        <v>3274</v>
      </c>
    </row>
    <row r="752" spans="1:11" ht="75" x14ac:dyDescent="0.25">
      <c r="A752" s="28" t="s">
        <v>2143</v>
      </c>
      <c r="B752" s="28" t="s">
        <v>626</v>
      </c>
      <c r="C752" s="28">
        <v>3</v>
      </c>
      <c r="D752" s="28" t="s">
        <v>68</v>
      </c>
      <c r="E752" s="28" t="s">
        <v>131</v>
      </c>
      <c r="F752" s="30" t="s">
        <v>3673</v>
      </c>
      <c r="H752" s="28" t="s">
        <v>478</v>
      </c>
      <c r="J752" s="28" t="s">
        <v>2232</v>
      </c>
      <c r="K752" s="28" t="s">
        <v>3275</v>
      </c>
    </row>
    <row r="753" spans="1:11" ht="75" x14ac:dyDescent="0.25">
      <c r="A753" s="28" t="s">
        <v>2144</v>
      </c>
      <c r="B753" s="28" t="s">
        <v>2693</v>
      </c>
      <c r="C753" s="28">
        <v>3</v>
      </c>
      <c r="D753" s="28" t="s">
        <v>67</v>
      </c>
      <c r="E753" s="28" t="s">
        <v>131</v>
      </c>
      <c r="F753" s="30" t="s">
        <v>3673</v>
      </c>
      <c r="H753" s="28" t="s">
        <v>478</v>
      </c>
      <c r="J753" s="28" t="s">
        <v>2232</v>
      </c>
      <c r="K753" s="28" t="s">
        <v>3276</v>
      </c>
    </row>
    <row r="754" spans="1:11" ht="75" x14ac:dyDescent="0.25">
      <c r="A754" s="28" t="s">
        <v>2145</v>
      </c>
      <c r="B754" s="28" t="s">
        <v>2694</v>
      </c>
      <c r="C754" s="28">
        <v>3</v>
      </c>
      <c r="D754" s="28" t="s">
        <v>2318</v>
      </c>
      <c r="E754" s="28" t="s">
        <v>131</v>
      </c>
      <c r="F754" s="30" t="s">
        <v>3673</v>
      </c>
      <c r="H754" s="28" t="s">
        <v>478</v>
      </c>
      <c r="J754" s="28" t="s">
        <v>2232</v>
      </c>
      <c r="K754" s="28" t="s">
        <v>3277</v>
      </c>
    </row>
    <row r="755" spans="1:11" ht="75" x14ac:dyDescent="0.25">
      <c r="A755" s="28" t="s">
        <v>2146</v>
      </c>
      <c r="B755" s="28" t="s">
        <v>2695</v>
      </c>
      <c r="C755" s="28">
        <v>3</v>
      </c>
      <c r="D755" s="28" t="s">
        <v>2147</v>
      </c>
      <c r="E755" s="28" t="s">
        <v>131</v>
      </c>
      <c r="F755" s="30" t="s">
        <v>3673</v>
      </c>
      <c r="H755" s="28" t="s">
        <v>478</v>
      </c>
      <c r="J755" s="28" t="s">
        <v>2232</v>
      </c>
      <c r="K755" s="28" t="s">
        <v>3278</v>
      </c>
    </row>
    <row r="756" spans="1:11" ht="75" x14ac:dyDescent="0.25">
      <c r="A756" s="28" t="s">
        <v>2148</v>
      </c>
      <c r="B756" s="28" t="s">
        <v>2696</v>
      </c>
      <c r="C756" s="28">
        <v>3</v>
      </c>
      <c r="D756" s="28" t="s">
        <v>66</v>
      </c>
      <c r="E756" s="28" t="s">
        <v>131</v>
      </c>
      <c r="F756" s="30" t="s">
        <v>3673</v>
      </c>
      <c r="H756" s="28" t="s">
        <v>478</v>
      </c>
      <c r="J756" s="28" t="s">
        <v>2232</v>
      </c>
      <c r="K756" s="28" t="s">
        <v>3279</v>
      </c>
    </row>
    <row r="757" spans="1:11" ht="75" x14ac:dyDescent="0.25">
      <c r="A757" s="28" t="s">
        <v>2149</v>
      </c>
      <c r="B757" s="28">
        <v>28.5</v>
      </c>
      <c r="C757" s="28">
        <v>2</v>
      </c>
      <c r="D757" s="9" t="s">
        <v>2150</v>
      </c>
      <c r="E757" s="28" t="s">
        <v>3443</v>
      </c>
      <c r="F757" s="30" t="s">
        <v>3673</v>
      </c>
      <c r="H757" s="28" t="s">
        <v>479</v>
      </c>
      <c r="J757" s="28" t="s">
        <v>2232</v>
      </c>
    </row>
    <row r="758" spans="1:11" ht="75" x14ac:dyDescent="0.25">
      <c r="A758" s="28" t="s">
        <v>2151</v>
      </c>
      <c r="B758" s="28" t="s">
        <v>2697</v>
      </c>
      <c r="C758" s="28">
        <v>3</v>
      </c>
      <c r="D758" s="28" t="s">
        <v>2141</v>
      </c>
      <c r="E758" s="28" t="s">
        <v>139</v>
      </c>
      <c r="F758" s="30" t="s">
        <v>3673</v>
      </c>
      <c r="H758" s="28" t="s">
        <v>479</v>
      </c>
      <c r="J758" s="28" t="s">
        <v>2232</v>
      </c>
    </row>
    <row r="759" spans="1:11" ht="75" x14ac:dyDescent="0.25">
      <c r="A759" s="28" t="s">
        <v>2152</v>
      </c>
      <c r="B759" s="28" t="s">
        <v>2698</v>
      </c>
      <c r="C759" s="28">
        <v>3</v>
      </c>
      <c r="D759" s="28" t="s">
        <v>64</v>
      </c>
      <c r="E759" s="28" t="s">
        <v>131</v>
      </c>
      <c r="F759" s="30" t="s">
        <v>3673</v>
      </c>
      <c r="H759" s="28" t="s">
        <v>479</v>
      </c>
      <c r="J759" s="28" t="s">
        <v>2232</v>
      </c>
      <c r="K759" s="28" t="s">
        <v>3280</v>
      </c>
    </row>
    <row r="760" spans="1:11" ht="75" x14ac:dyDescent="0.25">
      <c r="A760" s="28" t="s">
        <v>2153</v>
      </c>
      <c r="B760" s="28" t="s">
        <v>2699</v>
      </c>
      <c r="C760" s="28">
        <v>3</v>
      </c>
      <c r="D760" s="28" t="s">
        <v>2319</v>
      </c>
      <c r="E760" s="28" t="s">
        <v>131</v>
      </c>
      <c r="F760" s="30" t="s">
        <v>3673</v>
      </c>
      <c r="H760" s="28" t="s">
        <v>479</v>
      </c>
      <c r="J760" s="28" t="s">
        <v>2232</v>
      </c>
      <c r="K760" s="28" t="s">
        <v>3281</v>
      </c>
    </row>
    <row r="761" spans="1:11" ht="75" x14ac:dyDescent="0.25">
      <c r="A761" s="28" t="s">
        <v>2154</v>
      </c>
      <c r="B761" s="28" t="s">
        <v>2700</v>
      </c>
      <c r="C761" s="28">
        <v>3</v>
      </c>
      <c r="D761" s="28" t="s">
        <v>63</v>
      </c>
      <c r="E761" s="28" t="s">
        <v>131</v>
      </c>
      <c r="F761" s="30" t="s">
        <v>3673</v>
      </c>
      <c r="H761" s="28" t="s">
        <v>479</v>
      </c>
      <c r="J761" s="28" t="s">
        <v>2232</v>
      </c>
      <c r="K761" s="28" t="s">
        <v>3282</v>
      </c>
    </row>
    <row r="762" spans="1:11" ht="75" x14ac:dyDescent="0.25">
      <c r="A762" s="28" t="s">
        <v>2155</v>
      </c>
      <c r="B762" s="28" t="s">
        <v>2701</v>
      </c>
      <c r="C762" s="28">
        <v>3</v>
      </c>
      <c r="D762" s="28" t="s">
        <v>2320</v>
      </c>
      <c r="E762" s="28" t="s">
        <v>131</v>
      </c>
      <c r="F762" s="30" t="s">
        <v>3673</v>
      </c>
      <c r="H762" s="28" t="s">
        <v>479</v>
      </c>
      <c r="J762" s="28" t="s">
        <v>2232</v>
      </c>
      <c r="K762" s="28" t="s">
        <v>3283</v>
      </c>
    </row>
    <row r="763" spans="1:11" ht="75" x14ac:dyDescent="0.25">
      <c r="A763" s="28" t="s">
        <v>2156</v>
      </c>
      <c r="B763" s="28" t="s">
        <v>2702</v>
      </c>
      <c r="C763" s="28">
        <v>3</v>
      </c>
      <c r="D763" s="28" t="s">
        <v>2157</v>
      </c>
      <c r="E763" s="28" t="s">
        <v>131</v>
      </c>
      <c r="F763" s="30" t="s">
        <v>3673</v>
      </c>
      <c r="H763" s="28" t="s">
        <v>479</v>
      </c>
      <c r="J763" s="28" t="s">
        <v>2232</v>
      </c>
      <c r="K763" s="28" t="s">
        <v>3284</v>
      </c>
    </row>
    <row r="764" spans="1:11" ht="75" x14ac:dyDescent="0.25">
      <c r="A764" s="28" t="s">
        <v>2158</v>
      </c>
      <c r="B764" s="28">
        <v>28.6</v>
      </c>
      <c r="C764" s="28">
        <v>2</v>
      </c>
      <c r="D764" s="9" t="s">
        <v>3531</v>
      </c>
      <c r="E764" s="28" t="s">
        <v>3443</v>
      </c>
      <c r="F764" s="30" t="s">
        <v>3673</v>
      </c>
      <c r="H764" s="28" t="s">
        <v>480</v>
      </c>
      <c r="J764" s="28" t="s">
        <v>2232</v>
      </c>
      <c r="K764" s="28" t="s">
        <v>3285</v>
      </c>
    </row>
    <row r="765" spans="1:11" ht="75" x14ac:dyDescent="0.25">
      <c r="A765" s="28" t="s">
        <v>3532</v>
      </c>
      <c r="B765" s="28" t="s">
        <v>2703</v>
      </c>
      <c r="C765" s="28">
        <v>3</v>
      </c>
      <c r="D765" s="28" t="s">
        <v>481</v>
      </c>
      <c r="E765" s="28" t="s">
        <v>139</v>
      </c>
      <c r="F765" s="30" t="s">
        <v>3673</v>
      </c>
      <c r="J765" s="28" t="s">
        <v>2232</v>
      </c>
      <c r="K765" s="28" t="s">
        <v>3285</v>
      </c>
    </row>
    <row r="766" spans="1:11" ht="75" x14ac:dyDescent="0.25">
      <c r="A766" s="28" t="s">
        <v>2159</v>
      </c>
      <c r="B766" s="28" t="s">
        <v>2704</v>
      </c>
      <c r="C766" s="28">
        <v>3</v>
      </c>
      <c r="D766" s="28" t="s">
        <v>2160</v>
      </c>
      <c r="E766" s="28" t="s">
        <v>131</v>
      </c>
      <c r="F766" s="30" t="s">
        <v>3673</v>
      </c>
      <c r="H766" s="28" t="s">
        <v>480</v>
      </c>
      <c r="J766" s="28" t="s">
        <v>2232</v>
      </c>
      <c r="K766" s="28" t="s">
        <v>3286</v>
      </c>
    </row>
    <row r="767" spans="1:11" ht="75" x14ac:dyDescent="0.25">
      <c r="A767" s="28" t="s">
        <v>2161</v>
      </c>
      <c r="B767" s="28" t="s">
        <v>2705</v>
      </c>
      <c r="C767" s="28">
        <v>3</v>
      </c>
      <c r="D767" s="28" t="s">
        <v>2321</v>
      </c>
      <c r="E767" s="28" t="s">
        <v>131</v>
      </c>
      <c r="F767" s="30" t="s">
        <v>3673</v>
      </c>
      <c r="H767" s="28" t="s">
        <v>480</v>
      </c>
      <c r="J767" s="28" t="s">
        <v>2232</v>
      </c>
      <c r="K767" s="28" t="s">
        <v>3287</v>
      </c>
    </row>
    <row r="768" spans="1:11" ht="75" x14ac:dyDescent="0.25">
      <c r="A768" s="28" t="s">
        <v>2162</v>
      </c>
      <c r="B768" s="28" t="s">
        <v>2706</v>
      </c>
      <c r="C768" s="28">
        <v>3</v>
      </c>
      <c r="D768" s="28" t="s">
        <v>2322</v>
      </c>
      <c r="E768" s="28" t="s">
        <v>131</v>
      </c>
      <c r="F768" s="30" t="s">
        <v>3673</v>
      </c>
      <c r="H768" s="28" t="s">
        <v>480</v>
      </c>
      <c r="J768" s="28" t="s">
        <v>2232</v>
      </c>
      <c r="K768" s="28" t="s">
        <v>3288</v>
      </c>
    </row>
    <row r="769" spans="1:11" ht="75" x14ac:dyDescent="0.25">
      <c r="A769" s="28" t="s">
        <v>2163</v>
      </c>
      <c r="B769" s="28" t="s">
        <v>2707</v>
      </c>
      <c r="C769" s="28">
        <v>3</v>
      </c>
      <c r="D769" s="28" t="s">
        <v>2164</v>
      </c>
      <c r="E769" s="28" t="s">
        <v>131</v>
      </c>
      <c r="F769" s="30" t="s">
        <v>3673</v>
      </c>
      <c r="H769" s="28" t="s">
        <v>480</v>
      </c>
      <c r="J769" s="28" t="s">
        <v>2232</v>
      </c>
      <c r="K769" s="28" t="s">
        <v>3289</v>
      </c>
    </row>
    <row r="770" spans="1:11" ht="75" x14ac:dyDescent="0.25">
      <c r="A770" s="28" t="s">
        <v>2165</v>
      </c>
      <c r="B770" s="28" t="s">
        <v>3533</v>
      </c>
      <c r="C770" s="28">
        <v>3</v>
      </c>
      <c r="D770" s="28" t="s">
        <v>2166</v>
      </c>
      <c r="E770" s="28" t="s">
        <v>131</v>
      </c>
      <c r="F770" s="30" t="s">
        <v>3673</v>
      </c>
      <c r="H770" s="28" t="s">
        <v>480</v>
      </c>
      <c r="J770" s="28" t="s">
        <v>2232</v>
      </c>
      <c r="K770" s="28" t="s">
        <v>3290</v>
      </c>
    </row>
    <row r="771" spans="1:11" ht="75" x14ac:dyDescent="0.25">
      <c r="A771" s="28" t="s">
        <v>2167</v>
      </c>
      <c r="B771" s="28">
        <v>29</v>
      </c>
      <c r="C771" s="28">
        <v>1</v>
      </c>
      <c r="D771" s="9" t="s">
        <v>483</v>
      </c>
      <c r="E771" s="28" t="s">
        <v>3443</v>
      </c>
      <c r="F771" s="30" t="s">
        <v>3673</v>
      </c>
      <c r="H771" s="28" t="s">
        <v>484</v>
      </c>
      <c r="J771" s="28" t="s">
        <v>2232</v>
      </c>
    </row>
    <row r="772" spans="1:11" ht="60" x14ac:dyDescent="0.25">
      <c r="A772" s="28" t="s">
        <v>2323</v>
      </c>
      <c r="B772" s="28">
        <v>29.1</v>
      </c>
      <c r="C772" s="28">
        <v>2</v>
      </c>
      <c r="D772" s="9" t="s">
        <v>2324</v>
      </c>
      <c r="E772" s="28" t="s">
        <v>3443</v>
      </c>
      <c r="F772" s="30" t="s">
        <v>3675</v>
      </c>
      <c r="J772" s="28" t="s">
        <v>2232</v>
      </c>
    </row>
    <row r="773" spans="1:11" ht="75" x14ac:dyDescent="0.25">
      <c r="A773" s="28" t="s">
        <v>2168</v>
      </c>
      <c r="B773" s="28" t="s">
        <v>2193</v>
      </c>
      <c r="C773" s="28">
        <v>3</v>
      </c>
      <c r="D773" s="28" t="s">
        <v>2169</v>
      </c>
      <c r="E773" s="28" t="s">
        <v>131</v>
      </c>
      <c r="F773" s="30" t="s">
        <v>3673</v>
      </c>
      <c r="H773" s="28" t="s">
        <v>484</v>
      </c>
      <c r="J773" s="28" t="s">
        <v>2232</v>
      </c>
      <c r="K773" s="28" t="s">
        <v>3291</v>
      </c>
    </row>
    <row r="774" spans="1:11" ht="75" x14ac:dyDescent="0.25">
      <c r="A774" s="28" t="s">
        <v>2170</v>
      </c>
      <c r="B774" s="28" t="s">
        <v>2195</v>
      </c>
      <c r="C774" s="28">
        <v>3</v>
      </c>
      <c r="D774" s="28" t="s">
        <v>2172</v>
      </c>
      <c r="E774" s="28" t="s">
        <v>131</v>
      </c>
      <c r="F774" s="30" t="s">
        <v>3673</v>
      </c>
      <c r="H774" s="28" t="s">
        <v>484</v>
      </c>
      <c r="J774" s="28" t="s">
        <v>2232</v>
      </c>
      <c r="K774" s="28" t="s">
        <v>3292</v>
      </c>
    </row>
    <row r="775" spans="1:11" x14ac:dyDescent="0.25">
      <c r="A775" s="28" t="s">
        <v>2173</v>
      </c>
      <c r="B775" s="28">
        <v>29.2</v>
      </c>
      <c r="C775" s="28">
        <v>2</v>
      </c>
      <c r="D775" s="9" t="s">
        <v>2174</v>
      </c>
      <c r="E775" s="28" t="s">
        <v>3443</v>
      </c>
      <c r="F775" s="28" t="s">
        <v>3591</v>
      </c>
      <c r="H775" s="28" t="s">
        <v>486</v>
      </c>
      <c r="J775" s="28" t="s">
        <v>2265</v>
      </c>
    </row>
    <row r="776" spans="1:11" x14ac:dyDescent="0.25">
      <c r="A776" s="28" t="s">
        <v>2175</v>
      </c>
      <c r="B776" s="28" t="s">
        <v>2204</v>
      </c>
      <c r="C776" s="28">
        <v>3</v>
      </c>
      <c r="D776" s="28" t="s">
        <v>2176</v>
      </c>
      <c r="E776" s="28" t="s">
        <v>131</v>
      </c>
      <c r="F776" s="28" t="s">
        <v>3591</v>
      </c>
      <c r="H776" s="28" t="s">
        <v>486</v>
      </c>
      <c r="J776" s="28" t="s">
        <v>2265</v>
      </c>
    </row>
    <row r="777" spans="1:11" x14ac:dyDescent="0.25">
      <c r="A777" s="28" t="s">
        <v>2177</v>
      </c>
      <c r="B777" s="28" t="s">
        <v>2207</v>
      </c>
      <c r="C777" s="28">
        <v>3</v>
      </c>
      <c r="D777" s="28" t="s">
        <v>2179</v>
      </c>
      <c r="E777" s="28" t="s">
        <v>131</v>
      </c>
      <c r="F777" s="28" t="s">
        <v>3591</v>
      </c>
      <c r="H777" s="28" t="s">
        <v>486</v>
      </c>
      <c r="J777" s="28" t="s">
        <v>2265</v>
      </c>
    </row>
    <row r="778" spans="1:11" x14ac:dyDescent="0.25">
      <c r="A778" s="28" t="s">
        <v>2180</v>
      </c>
      <c r="B778" s="28" t="s">
        <v>2209</v>
      </c>
      <c r="C778" s="28">
        <v>3</v>
      </c>
      <c r="D778" s="28" t="s">
        <v>2182</v>
      </c>
      <c r="E778" s="28" t="s">
        <v>131</v>
      </c>
      <c r="F778" s="28" t="s">
        <v>3591</v>
      </c>
      <c r="H778" s="28" t="s">
        <v>486</v>
      </c>
      <c r="J778" s="28" t="s">
        <v>2265</v>
      </c>
    </row>
    <row r="779" spans="1:11" x14ac:dyDescent="0.25">
      <c r="A779" s="28" t="s">
        <v>2183</v>
      </c>
      <c r="B779" s="28" t="s">
        <v>2708</v>
      </c>
      <c r="C779" s="28">
        <v>3</v>
      </c>
      <c r="D779" s="28" t="s">
        <v>2184</v>
      </c>
      <c r="E779" s="28" t="s">
        <v>131</v>
      </c>
      <c r="F779" s="28" t="s">
        <v>3591</v>
      </c>
      <c r="H779" s="28" t="s">
        <v>486</v>
      </c>
      <c r="J779" s="28" t="s">
        <v>2265</v>
      </c>
    </row>
    <row r="780" spans="1:11" x14ac:dyDescent="0.25">
      <c r="A780" s="28" t="s">
        <v>2185</v>
      </c>
      <c r="B780" s="28" t="s">
        <v>2709</v>
      </c>
      <c r="C780" s="28">
        <v>3</v>
      </c>
      <c r="D780" s="28" t="s">
        <v>2186</v>
      </c>
      <c r="E780" s="28" t="s">
        <v>131</v>
      </c>
      <c r="F780" s="28" t="s">
        <v>3591</v>
      </c>
      <c r="H780" s="28" t="s">
        <v>486</v>
      </c>
      <c r="J780" s="28" t="s">
        <v>2265</v>
      </c>
    </row>
    <row r="781" spans="1:11" x14ac:dyDescent="0.25">
      <c r="A781" s="28" t="s">
        <v>2187</v>
      </c>
      <c r="B781" s="28" t="s">
        <v>2710</v>
      </c>
      <c r="C781" s="28">
        <v>3</v>
      </c>
      <c r="D781" s="28" t="s">
        <v>2188</v>
      </c>
      <c r="E781" s="28" t="s">
        <v>131</v>
      </c>
      <c r="F781" s="28" t="s">
        <v>3591</v>
      </c>
      <c r="H781" s="28" t="s">
        <v>486</v>
      </c>
      <c r="J781" s="28" t="s">
        <v>2265</v>
      </c>
    </row>
    <row r="782" spans="1:11" x14ac:dyDescent="0.25">
      <c r="A782" s="28" t="s">
        <v>2189</v>
      </c>
      <c r="B782" s="28" t="s">
        <v>2711</v>
      </c>
      <c r="C782" s="28">
        <v>3</v>
      </c>
      <c r="D782" s="28" t="s">
        <v>2325</v>
      </c>
      <c r="E782" s="28" t="s">
        <v>131</v>
      </c>
      <c r="F782" s="28" t="s">
        <v>3591</v>
      </c>
      <c r="H782" s="28" t="s">
        <v>486</v>
      </c>
      <c r="J782" s="28" t="s">
        <v>2265</v>
      </c>
    </row>
    <row r="783" spans="1:11" ht="75" x14ac:dyDescent="0.25">
      <c r="A783" s="28" t="s">
        <v>2190</v>
      </c>
      <c r="B783" s="28">
        <v>30</v>
      </c>
      <c r="C783" s="28">
        <v>1</v>
      </c>
      <c r="D783" s="9" t="s">
        <v>489</v>
      </c>
      <c r="E783" s="28" t="s">
        <v>3443</v>
      </c>
      <c r="F783" s="30" t="s">
        <v>3673</v>
      </c>
      <c r="H783" s="28" t="s">
        <v>488</v>
      </c>
      <c r="J783" s="28" t="s">
        <v>2232</v>
      </c>
    </row>
    <row r="784" spans="1:11" ht="75" x14ac:dyDescent="0.25">
      <c r="A784" s="28" t="s">
        <v>2191</v>
      </c>
      <c r="B784" s="28">
        <v>30.1</v>
      </c>
      <c r="C784" s="28">
        <v>2</v>
      </c>
      <c r="D784" s="9" t="s">
        <v>3534</v>
      </c>
      <c r="E784" s="28" t="s">
        <v>3443</v>
      </c>
      <c r="F784" s="30" t="s">
        <v>3673</v>
      </c>
      <c r="H784" s="28" t="s">
        <v>491</v>
      </c>
      <c r="J784" s="28" t="s">
        <v>2232</v>
      </c>
      <c r="K784" s="28" t="s">
        <v>3293</v>
      </c>
    </row>
    <row r="785" spans="1:11" ht="75" x14ac:dyDescent="0.25">
      <c r="A785" s="28" t="s">
        <v>3536</v>
      </c>
      <c r="B785" s="28" t="s">
        <v>2223</v>
      </c>
      <c r="C785" s="28">
        <v>3</v>
      </c>
      <c r="D785" s="28" t="s">
        <v>3535</v>
      </c>
      <c r="E785" s="28" t="s">
        <v>139</v>
      </c>
      <c r="F785" s="30" t="s">
        <v>3673</v>
      </c>
      <c r="J785" s="28" t="s">
        <v>2232</v>
      </c>
      <c r="K785" s="28" t="s">
        <v>3293</v>
      </c>
    </row>
    <row r="786" spans="1:11" ht="75" x14ac:dyDescent="0.25">
      <c r="A786" s="28" t="s">
        <v>2192</v>
      </c>
      <c r="B786" s="28" t="s">
        <v>2712</v>
      </c>
      <c r="C786" s="28">
        <v>3</v>
      </c>
      <c r="D786" s="28" t="s">
        <v>40</v>
      </c>
      <c r="E786" s="28" t="s">
        <v>131</v>
      </c>
      <c r="F786" s="30" t="s">
        <v>3673</v>
      </c>
      <c r="H786" s="28" t="s">
        <v>491</v>
      </c>
      <c r="J786" s="28" t="s">
        <v>2232</v>
      </c>
      <c r="K786" s="28" t="s">
        <v>3294</v>
      </c>
    </row>
    <row r="787" spans="1:11" ht="75" x14ac:dyDescent="0.25">
      <c r="A787" s="28" t="s">
        <v>2194</v>
      </c>
      <c r="B787" s="28" t="s">
        <v>2713</v>
      </c>
      <c r="C787" s="28">
        <v>3</v>
      </c>
      <c r="D787" s="28" t="s">
        <v>39</v>
      </c>
      <c r="E787" s="28" t="s">
        <v>131</v>
      </c>
      <c r="F787" s="30" t="s">
        <v>3673</v>
      </c>
      <c r="H787" s="28" t="s">
        <v>491</v>
      </c>
      <c r="J787" s="28" t="s">
        <v>2232</v>
      </c>
      <c r="K787" s="28" t="s">
        <v>3295</v>
      </c>
    </row>
    <row r="788" spans="1:11" ht="75" x14ac:dyDescent="0.25">
      <c r="A788" s="28" t="s">
        <v>2196</v>
      </c>
      <c r="B788" s="28" t="s">
        <v>2714</v>
      </c>
      <c r="C788" s="28">
        <v>3</v>
      </c>
      <c r="D788" s="28" t="s">
        <v>38</v>
      </c>
      <c r="E788" s="28" t="s">
        <v>131</v>
      </c>
      <c r="F788" s="30" t="s">
        <v>3673</v>
      </c>
      <c r="H788" s="28" t="s">
        <v>491</v>
      </c>
      <c r="J788" s="28" t="s">
        <v>2232</v>
      </c>
      <c r="K788" s="28" t="s">
        <v>3296</v>
      </c>
    </row>
    <row r="789" spans="1:11" ht="75" x14ac:dyDescent="0.25">
      <c r="A789" s="28" t="s">
        <v>2197</v>
      </c>
      <c r="B789" s="28" t="s">
        <v>2715</v>
      </c>
      <c r="C789" s="28">
        <v>3</v>
      </c>
      <c r="D789" s="28" t="s">
        <v>37</v>
      </c>
      <c r="E789" s="28" t="s">
        <v>131</v>
      </c>
      <c r="F789" s="30" t="s">
        <v>3673</v>
      </c>
      <c r="H789" s="28" t="s">
        <v>491</v>
      </c>
      <c r="J789" s="28" t="s">
        <v>2232</v>
      </c>
      <c r="K789" s="28" t="s">
        <v>3297</v>
      </c>
    </row>
    <row r="790" spans="1:11" ht="75" x14ac:dyDescent="0.25">
      <c r="A790" s="28" t="s">
        <v>2198</v>
      </c>
      <c r="B790" s="28" t="s">
        <v>2716</v>
      </c>
      <c r="C790" s="28">
        <v>3</v>
      </c>
      <c r="D790" s="28" t="s">
        <v>2199</v>
      </c>
      <c r="E790" s="28" t="s">
        <v>131</v>
      </c>
      <c r="F790" s="30" t="s">
        <v>3673</v>
      </c>
      <c r="H790" s="28" t="s">
        <v>491</v>
      </c>
      <c r="J790" s="28" t="s">
        <v>2232</v>
      </c>
      <c r="K790" s="28" t="s">
        <v>3298</v>
      </c>
    </row>
    <row r="791" spans="1:11" ht="75" x14ac:dyDescent="0.25">
      <c r="A791" s="28" t="s">
        <v>2200</v>
      </c>
      <c r="B791" s="28" t="s">
        <v>3537</v>
      </c>
      <c r="C791" s="28">
        <v>3</v>
      </c>
      <c r="D791" s="28" t="s">
        <v>36</v>
      </c>
      <c r="E791" s="28" t="s">
        <v>131</v>
      </c>
      <c r="F791" s="30" t="s">
        <v>3673</v>
      </c>
      <c r="H791" s="28" t="s">
        <v>491</v>
      </c>
      <c r="J791" s="28" t="s">
        <v>2232</v>
      </c>
      <c r="K791" s="28" t="s">
        <v>3299</v>
      </c>
    </row>
    <row r="792" spans="1:11" ht="75" x14ac:dyDescent="0.25">
      <c r="A792" s="28" t="s">
        <v>2201</v>
      </c>
      <c r="B792" s="28">
        <v>30.2</v>
      </c>
      <c r="C792" s="28">
        <v>2</v>
      </c>
      <c r="D792" s="9" t="s">
        <v>2202</v>
      </c>
      <c r="E792" s="28" t="s">
        <v>3443</v>
      </c>
      <c r="F792" s="30" t="s">
        <v>3673</v>
      </c>
      <c r="H792" s="28" t="s">
        <v>493</v>
      </c>
      <c r="J792" s="28" t="s">
        <v>2232</v>
      </c>
      <c r="K792" s="28" t="s">
        <v>3300</v>
      </c>
    </row>
    <row r="793" spans="1:11" ht="75" x14ac:dyDescent="0.25">
      <c r="A793" s="28" t="s">
        <v>2203</v>
      </c>
      <c r="B793" s="28" t="s">
        <v>2717</v>
      </c>
      <c r="C793" s="28">
        <v>3</v>
      </c>
      <c r="D793" s="28" t="s">
        <v>2205</v>
      </c>
      <c r="E793" s="28" t="s">
        <v>131</v>
      </c>
      <c r="F793" s="30" t="s">
        <v>3673</v>
      </c>
      <c r="H793" s="28" t="s">
        <v>493</v>
      </c>
      <c r="J793" s="28" t="s">
        <v>2232</v>
      </c>
      <c r="K793" s="28" t="s">
        <v>3301</v>
      </c>
    </row>
    <row r="794" spans="1:11" ht="75" x14ac:dyDescent="0.25">
      <c r="A794" s="28" t="s">
        <v>2206</v>
      </c>
      <c r="B794" s="28" t="s">
        <v>2718</v>
      </c>
      <c r="C794" s="28">
        <v>3</v>
      </c>
      <c r="D794" s="28" t="s">
        <v>2326</v>
      </c>
      <c r="E794" s="28" t="s">
        <v>131</v>
      </c>
      <c r="F794" s="30" t="s">
        <v>3673</v>
      </c>
      <c r="H794" s="28" t="s">
        <v>493</v>
      </c>
      <c r="J794" s="28" t="s">
        <v>2232</v>
      </c>
      <c r="K794" s="28" t="s">
        <v>3302</v>
      </c>
    </row>
    <row r="795" spans="1:11" ht="75" x14ac:dyDescent="0.25">
      <c r="A795" s="28" t="s">
        <v>2208</v>
      </c>
      <c r="B795" s="28" t="s">
        <v>2719</v>
      </c>
      <c r="C795" s="28">
        <v>3</v>
      </c>
      <c r="D795" s="28" t="s">
        <v>2210</v>
      </c>
      <c r="E795" s="28" t="s">
        <v>131</v>
      </c>
      <c r="F795" s="30" t="s">
        <v>3673</v>
      </c>
      <c r="H795" s="28" t="s">
        <v>493</v>
      </c>
      <c r="J795" s="28" t="s">
        <v>2232</v>
      </c>
      <c r="K795" s="28" t="s">
        <v>3303</v>
      </c>
    </row>
    <row r="796" spans="1:11" ht="75" x14ac:dyDescent="0.25">
      <c r="A796" s="28" t="s">
        <v>2211</v>
      </c>
      <c r="B796" s="28">
        <v>30.3</v>
      </c>
      <c r="C796" s="28">
        <v>2</v>
      </c>
      <c r="D796" s="9" t="s">
        <v>2212</v>
      </c>
      <c r="E796" s="28" t="s">
        <v>3443</v>
      </c>
      <c r="F796" s="30" t="s">
        <v>3673</v>
      </c>
      <c r="H796" s="28" t="s">
        <v>495</v>
      </c>
      <c r="J796" s="28" t="s">
        <v>2232</v>
      </c>
      <c r="K796" s="28" t="s">
        <v>3304</v>
      </c>
    </row>
    <row r="797" spans="1:11" ht="75" x14ac:dyDescent="0.25">
      <c r="A797" s="28" t="s">
        <v>2213</v>
      </c>
      <c r="B797" s="28" t="s">
        <v>2720</v>
      </c>
      <c r="C797" s="28">
        <v>3</v>
      </c>
      <c r="D797" s="28" t="s">
        <v>2214</v>
      </c>
      <c r="E797" s="28" t="s">
        <v>131</v>
      </c>
      <c r="F797" s="30" t="s">
        <v>3673</v>
      </c>
      <c r="H797" s="28" t="s">
        <v>495</v>
      </c>
      <c r="J797" s="28" t="s">
        <v>2232</v>
      </c>
      <c r="K797" s="28" t="s">
        <v>3305</v>
      </c>
    </row>
    <row r="798" spans="1:11" ht="75" x14ac:dyDescent="0.25">
      <c r="A798" s="28" t="s">
        <v>2215</v>
      </c>
      <c r="B798" s="28" t="s">
        <v>2721</v>
      </c>
      <c r="C798" s="28">
        <v>3</v>
      </c>
      <c r="D798" s="28" t="s">
        <v>2216</v>
      </c>
      <c r="E798" s="28" t="s">
        <v>131</v>
      </c>
      <c r="F798" s="30" t="s">
        <v>3673</v>
      </c>
      <c r="H798" s="28" t="s">
        <v>495</v>
      </c>
      <c r="J798" s="28" t="s">
        <v>2232</v>
      </c>
      <c r="K798" s="28" t="s">
        <v>3306</v>
      </c>
    </row>
    <row r="799" spans="1:11" ht="75" x14ac:dyDescent="0.25">
      <c r="A799" s="28" t="s">
        <v>2217</v>
      </c>
      <c r="B799" s="28" t="s">
        <v>2722</v>
      </c>
      <c r="C799" s="28">
        <v>3</v>
      </c>
      <c r="D799" s="28" t="s">
        <v>2218</v>
      </c>
      <c r="E799" s="28" t="s">
        <v>131</v>
      </c>
      <c r="F799" s="30" t="s">
        <v>3673</v>
      </c>
      <c r="H799" s="28" t="s">
        <v>495</v>
      </c>
      <c r="J799" s="28" t="s">
        <v>2232</v>
      </c>
      <c r="K799" s="28" t="s">
        <v>3307</v>
      </c>
    </row>
    <row r="800" spans="1:11" ht="60" x14ac:dyDescent="0.25">
      <c r="A800" s="28" t="s">
        <v>2219</v>
      </c>
      <c r="B800" s="28">
        <v>31</v>
      </c>
      <c r="C800" s="28">
        <v>1</v>
      </c>
      <c r="D800" s="9" t="s">
        <v>498</v>
      </c>
      <c r="E800" s="28" t="s">
        <v>3443</v>
      </c>
      <c r="F800" s="30" t="s">
        <v>3675</v>
      </c>
      <c r="H800" s="28" t="s">
        <v>497</v>
      </c>
      <c r="J800" s="28" t="s">
        <v>2232</v>
      </c>
    </row>
    <row r="801" spans="1:10" ht="60" x14ac:dyDescent="0.25">
      <c r="A801" s="28" t="s">
        <v>2220</v>
      </c>
      <c r="B801" s="28">
        <v>31.1</v>
      </c>
      <c r="C801" s="28">
        <v>2</v>
      </c>
      <c r="D801" s="9" t="s">
        <v>2221</v>
      </c>
      <c r="E801" s="28" t="s">
        <v>3443</v>
      </c>
      <c r="F801" s="30" t="s">
        <v>3675</v>
      </c>
      <c r="H801" s="28" t="s">
        <v>500</v>
      </c>
      <c r="J801" s="28" t="s">
        <v>2232</v>
      </c>
    </row>
    <row r="802" spans="1:10" ht="60" x14ac:dyDescent="0.25">
      <c r="A802" s="28" t="s">
        <v>2222</v>
      </c>
      <c r="B802" s="28" t="s">
        <v>2723</v>
      </c>
      <c r="C802" s="28">
        <v>3</v>
      </c>
      <c r="D802" s="28" t="s">
        <v>2224</v>
      </c>
      <c r="E802" s="28" t="s">
        <v>131</v>
      </c>
      <c r="F802" s="30" t="s">
        <v>3675</v>
      </c>
      <c r="H802" s="28" t="s">
        <v>500</v>
      </c>
      <c r="J802" s="28" t="s">
        <v>2232</v>
      </c>
    </row>
    <row r="803" spans="1:10" x14ac:dyDescent="0.25">
      <c r="A803" s="28" t="s">
        <v>3716</v>
      </c>
      <c r="B803" s="28">
        <v>31.2</v>
      </c>
      <c r="C803" s="28">
        <v>2</v>
      </c>
      <c r="D803" s="9" t="s">
        <v>3717</v>
      </c>
      <c r="E803" s="28" t="s">
        <v>3443</v>
      </c>
      <c r="F803" s="28" t="s">
        <v>3692</v>
      </c>
      <c r="H803" s="28" t="s">
        <v>3718</v>
      </c>
      <c r="J803" s="28" t="s">
        <v>3419</v>
      </c>
    </row>
    <row r="804" spans="1:10" x14ac:dyDescent="0.25">
      <c r="A804" s="28" t="s">
        <v>3719</v>
      </c>
      <c r="B804" s="28">
        <v>31.3</v>
      </c>
      <c r="C804" s="28">
        <v>2</v>
      </c>
      <c r="D804" s="9" t="s">
        <v>3720</v>
      </c>
      <c r="E804" s="28" t="s">
        <v>3443</v>
      </c>
      <c r="F804" s="28" t="s">
        <v>3692</v>
      </c>
      <c r="I804" s="28" t="s">
        <v>3680</v>
      </c>
      <c r="J804" s="28" t="s">
        <v>3419</v>
      </c>
    </row>
    <row r="805" spans="1:10" x14ac:dyDescent="0.25">
      <c r="A805" s="28" t="s">
        <v>3721</v>
      </c>
      <c r="B805" s="28" t="s">
        <v>3722</v>
      </c>
      <c r="C805" s="28">
        <v>3</v>
      </c>
      <c r="D805" s="9" t="s">
        <v>3723</v>
      </c>
      <c r="E805" s="28" t="s">
        <v>3443</v>
      </c>
      <c r="F805" s="28" t="s">
        <v>3692</v>
      </c>
      <c r="H805" s="28" t="s">
        <v>3724</v>
      </c>
      <c r="I805" s="28" t="s">
        <v>3680</v>
      </c>
      <c r="J805" s="28" t="s">
        <v>3419</v>
      </c>
    </row>
    <row r="806" spans="1:10" x14ac:dyDescent="0.25">
      <c r="A806" s="28" t="s">
        <v>3725</v>
      </c>
      <c r="B806" s="28" t="s">
        <v>3726</v>
      </c>
      <c r="C806" s="28">
        <v>4</v>
      </c>
      <c r="D806" s="28" t="s">
        <v>3727</v>
      </c>
      <c r="E806" s="28" t="s">
        <v>131</v>
      </c>
      <c r="F806" s="28" t="s">
        <v>3692</v>
      </c>
      <c r="H806" s="28" t="s">
        <v>3724</v>
      </c>
      <c r="I806" s="28" t="s">
        <v>3680</v>
      </c>
      <c r="J806" s="28" t="s">
        <v>3419</v>
      </c>
    </row>
    <row r="807" spans="1:10" x14ac:dyDescent="0.25">
      <c r="A807" s="28" t="s">
        <v>3728</v>
      </c>
      <c r="B807" s="28" t="s">
        <v>3729</v>
      </c>
      <c r="C807" s="28">
        <v>4</v>
      </c>
      <c r="D807" s="28" t="s">
        <v>3730</v>
      </c>
      <c r="E807" s="28" t="s">
        <v>131</v>
      </c>
      <c r="F807" s="28" t="s">
        <v>3692</v>
      </c>
      <c r="H807" s="28" t="s">
        <v>3724</v>
      </c>
      <c r="I807" s="28" t="s">
        <v>3680</v>
      </c>
      <c r="J807" s="28" t="s">
        <v>3419</v>
      </c>
    </row>
    <row r="808" spans="1:10" x14ac:dyDescent="0.25">
      <c r="A808" s="28" t="s">
        <v>3731</v>
      </c>
      <c r="B808" s="28" t="s">
        <v>3732</v>
      </c>
      <c r="C808" s="28">
        <v>4</v>
      </c>
      <c r="D808" s="28" t="s">
        <v>3733</v>
      </c>
      <c r="E808" s="28" t="s">
        <v>131</v>
      </c>
      <c r="F808" s="28" t="s">
        <v>3692</v>
      </c>
      <c r="H808" s="28" t="s">
        <v>3724</v>
      </c>
      <c r="I808" s="28" t="s">
        <v>3680</v>
      </c>
      <c r="J808" s="28" t="s">
        <v>3419</v>
      </c>
    </row>
    <row r="809" spans="1:10" x14ac:dyDescent="0.25">
      <c r="A809" s="28" t="s">
        <v>3734</v>
      </c>
      <c r="B809" s="28" t="s">
        <v>3735</v>
      </c>
      <c r="C809" s="28">
        <v>4</v>
      </c>
      <c r="D809" s="28" t="s">
        <v>3736</v>
      </c>
      <c r="E809" s="28" t="s">
        <v>131</v>
      </c>
      <c r="F809" s="28" t="s">
        <v>3692</v>
      </c>
      <c r="H809" s="28" t="s">
        <v>3724</v>
      </c>
      <c r="I809" s="28" t="s">
        <v>3680</v>
      </c>
      <c r="J809" s="28" t="s">
        <v>3419</v>
      </c>
    </row>
    <row r="810" spans="1:10" x14ac:dyDescent="0.25">
      <c r="A810" s="28" t="s">
        <v>3737</v>
      </c>
      <c r="B810" s="28" t="s">
        <v>3738</v>
      </c>
      <c r="C810" s="28">
        <v>3</v>
      </c>
      <c r="D810" s="9" t="s">
        <v>130</v>
      </c>
      <c r="E810" s="28" t="s">
        <v>3443</v>
      </c>
      <c r="F810" s="28" t="s">
        <v>3692</v>
      </c>
      <c r="I810" s="28" t="s">
        <v>3680</v>
      </c>
      <c r="J810" s="28" t="s">
        <v>3419</v>
      </c>
    </row>
    <row r="811" spans="1:10" x14ac:dyDescent="0.25">
      <c r="A811" s="28" t="s">
        <v>3739</v>
      </c>
      <c r="B811" s="28" t="s">
        <v>3740</v>
      </c>
      <c r="C811" s="28">
        <v>4</v>
      </c>
      <c r="D811" s="28" t="s">
        <v>3741</v>
      </c>
      <c r="E811" s="28" t="s">
        <v>131</v>
      </c>
      <c r="F811" s="28" t="s">
        <v>3692</v>
      </c>
      <c r="H811" s="28" t="s">
        <v>3742</v>
      </c>
      <c r="I811" s="28" t="s">
        <v>3680</v>
      </c>
      <c r="J811" s="28" t="s">
        <v>3419</v>
      </c>
    </row>
    <row r="812" spans="1:10" x14ac:dyDescent="0.25">
      <c r="A812" s="28" t="s">
        <v>3743</v>
      </c>
      <c r="B812" s="28" t="s">
        <v>3744</v>
      </c>
      <c r="C812" s="28">
        <v>4</v>
      </c>
      <c r="D812" s="28" t="s">
        <v>3745</v>
      </c>
      <c r="E812" s="28" t="s">
        <v>131</v>
      </c>
      <c r="F812" s="28" t="s">
        <v>3692</v>
      </c>
      <c r="H812" s="28" t="s">
        <v>3742</v>
      </c>
      <c r="I812" s="28" t="s">
        <v>3680</v>
      </c>
      <c r="J812" s="28" t="s">
        <v>3419</v>
      </c>
    </row>
    <row r="813" spans="1:10" x14ac:dyDescent="0.25">
      <c r="A813" s="28" t="s">
        <v>3746</v>
      </c>
      <c r="B813" s="28" t="s">
        <v>3747</v>
      </c>
      <c r="C813" s="28">
        <v>4</v>
      </c>
      <c r="D813" s="28" t="s">
        <v>3748</v>
      </c>
      <c r="E813" s="28" t="s">
        <v>131</v>
      </c>
      <c r="F813" s="28" t="s">
        <v>3692</v>
      </c>
      <c r="H813" s="28" t="s">
        <v>3749</v>
      </c>
      <c r="I813" s="28" t="s">
        <v>3680</v>
      </c>
      <c r="J813" s="28" t="s">
        <v>3419</v>
      </c>
    </row>
    <row r="814" spans="1:10" x14ac:dyDescent="0.25">
      <c r="A814" s="28" t="s">
        <v>3750</v>
      </c>
      <c r="B814" s="28" t="s">
        <v>3751</v>
      </c>
      <c r="C814" s="28">
        <v>4</v>
      </c>
      <c r="D814" s="28" t="s">
        <v>3752</v>
      </c>
      <c r="E814" s="28" t="s">
        <v>131</v>
      </c>
      <c r="F814" s="28" t="s">
        <v>3692</v>
      </c>
      <c r="H814" s="28" t="s">
        <v>3749</v>
      </c>
      <c r="I814" s="28" t="s">
        <v>3680</v>
      </c>
      <c r="J814" s="28" t="s">
        <v>3419</v>
      </c>
    </row>
    <row r="815" spans="1:10" x14ac:dyDescent="0.25">
      <c r="A815" s="28" t="s">
        <v>3753</v>
      </c>
      <c r="B815" s="28" t="s">
        <v>3754</v>
      </c>
      <c r="C815" s="28">
        <v>4</v>
      </c>
      <c r="D815" s="28" t="s">
        <v>3755</v>
      </c>
      <c r="E815" s="28" t="s">
        <v>131</v>
      </c>
      <c r="F815" s="28" t="s">
        <v>3692</v>
      </c>
      <c r="H815" s="28" t="s">
        <v>3749</v>
      </c>
      <c r="I815" s="28" t="s">
        <v>3680</v>
      </c>
      <c r="J815" s="28" t="s">
        <v>3419</v>
      </c>
    </row>
    <row r="816" spans="1:10" x14ac:dyDescent="0.25">
      <c r="A816" s="28" t="s">
        <v>3756</v>
      </c>
      <c r="B816" s="28" t="s">
        <v>3757</v>
      </c>
      <c r="C816" s="28">
        <v>3</v>
      </c>
      <c r="D816" s="9" t="s">
        <v>3758</v>
      </c>
      <c r="E816" s="28" t="s">
        <v>3443</v>
      </c>
      <c r="F816" s="28" t="s">
        <v>3692</v>
      </c>
      <c r="H816" s="28" t="s">
        <v>3759</v>
      </c>
      <c r="I816" s="28" t="s">
        <v>3680</v>
      </c>
      <c r="J816" s="28" t="s">
        <v>3419</v>
      </c>
    </row>
    <row r="817" spans="1:10" x14ac:dyDescent="0.25">
      <c r="A817" s="28" t="s">
        <v>3760</v>
      </c>
      <c r="B817" s="28" t="s">
        <v>3761</v>
      </c>
      <c r="C817" s="28">
        <v>4</v>
      </c>
      <c r="D817" s="28" t="s">
        <v>3762</v>
      </c>
      <c r="E817" s="28" t="s">
        <v>131</v>
      </c>
      <c r="F817" s="28" t="s">
        <v>3692</v>
      </c>
      <c r="H817" s="28" t="s">
        <v>3759</v>
      </c>
      <c r="I817" s="28" t="s">
        <v>3680</v>
      </c>
      <c r="J817" s="28" t="s">
        <v>3419</v>
      </c>
    </row>
    <row r="818" spans="1:10" x14ac:dyDescent="0.25">
      <c r="A818" s="28" t="s">
        <v>3763</v>
      </c>
      <c r="B818" s="28" t="s">
        <v>3764</v>
      </c>
      <c r="C818" s="28">
        <v>3</v>
      </c>
      <c r="D818" s="9" t="s">
        <v>3765</v>
      </c>
      <c r="E818" s="28" t="s">
        <v>3443</v>
      </c>
      <c r="F818" s="28" t="s">
        <v>3692</v>
      </c>
      <c r="I818" s="28" t="s">
        <v>3680</v>
      </c>
      <c r="J818" s="28" t="s">
        <v>3419</v>
      </c>
    </row>
    <row r="819" spans="1:10" x14ac:dyDescent="0.25">
      <c r="A819" s="28" t="s">
        <v>3766</v>
      </c>
      <c r="B819" s="28" t="s">
        <v>3767</v>
      </c>
      <c r="C819" s="28">
        <v>4</v>
      </c>
      <c r="D819" s="28" t="s">
        <v>3768</v>
      </c>
      <c r="E819" s="28" t="s">
        <v>131</v>
      </c>
      <c r="F819" s="28" t="s">
        <v>3692</v>
      </c>
      <c r="H819" s="28" t="s">
        <v>3769</v>
      </c>
      <c r="I819" s="28" t="s">
        <v>3680</v>
      </c>
      <c r="J819" s="28" t="s">
        <v>3419</v>
      </c>
    </row>
    <row r="820" spans="1:10" x14ac:dyDescent="0.25">
      <c r="A820" s="28" t="s">
        <v>3770</v>
      </c>
      <c r="B820" s="28" t="s">
        <v>3771</v>
      </c>
      <c r="C820" s="28">
        <v>4</v>
      </c>
      <c r="D820" s="28" t="s">
        <v>3772</v>
      </c>
      <c r="E820" s="28" t="s">
        <v>131</v>
      </c>
      <c r="F820" s="28" t="s">
        <v>3692</v>
      </c>
      <c r="H820" s="28" t="s">
        <v>3773</v>
      </c>
      <c r="I820" s="28" t="s">
        <v>3680</v>
      </c>
      <c r="J820" s="28" t="s">
        <v>3419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Q837"/>
  <sheetViews>
    <sheetView zoomScale="70" zoomScaleNormal="70" workbookViewId="0">
      <pane ySplit="1" topLeftCell="A2" activePane="bottomLeft" state="frozen"/>
      <selection activeCell="A6" sqref="A6"/>
      <selection pane="bottomLeft" activeCell="N4" sqref="N4"/>
    </sheetView>
  </sheetViews>
  <sheetFormatPr defaultColWidth="8.85546875" defaultRowHeight="15" x14ac:dyDescent="0.25"/>
  <cols>
    <col min="1" max="1" width="17.7109375" style="31" customWidth="1"/>
    <col min="2" max="2" width="15.7109375" style="10" customWidth="1"/>
    <col min="3" max="4" width="8.85546875" style="7" hidden="1" customWidth="1"/>
    <col min="5" max="5" width="90.28515625" style="7" customWidth="1"/>
    <col min="6" max="6" width="6.28515625" style="7" customWidth="1"/>
    <col min="7" max="8" width="13.85546875" style="7" hidden="1" customWidth="1"/>
    <col min="9" max="9" width="13.85546875" style="31" hidden="1" customWidth="1"/>
    <col min="10" max="10" width="11.85546875" style="19" customWidth="1"/>
    <col min="11" max="11" width="16.28515625" style="7" hidden="1" customWidth="1"/>
    <col min="12" max="12" width="17.28515625" style="31" customWidth="1"/>
    <col min="13" max="13" width="11.42578125" style="7" customWidth="1"/>
    <col min="14" max="14" width="68.85546875" style="7" customWidth="1"/>
    <col min="15" max="16" width="8.85546875" style="6"/>
    <col min="17" max="17" width="29.85546875" style="40" customWidth="1"/>
    <col min="18" max="18" width="8.85546875" style="6" customWidth="1"/>
    <col min="19" max="16384" width="8.85546875" style="6"/>
  </cols>
  <sheetData>
    <row r="1" spans="1:17" s="17" customFormat="1" x14ac:dyDescent="0.25">
      <c r="A1" s="15" t="s">
        <v>3398</v>
      </c>
      <c r="B1" s="15" t="s">
        <v>502</v>
      </c>
      <c r="C1" s="15" t="s">
        <v>635</v>
      </c>
      <c r="D1" s="15" t="e">
        <f>SetIndent(E1,(FR!C1-1)*2)</f>
        <v>#VALUE!</v>
      </c>
      <c r="E1" s="16" t="s">
        <v>2226</v>
      </c>
      <c r="F1" s="15" t="str">
        <f>FR!E1</f>
        <v>Type</v>
      </c>
      <c r="G1" s="15"/>
      <c r="H1" s="15"/>
      <c r="I1" s="15"/>
      <c r="J1" s="15" t="s">
        <v>633</v>
      </c>
      <c r="K1" s="15" t="s">
        <v>122</v>
      </c>
      <c r="L1" s="15" t="s">
        <v>2227</v>
      </c>
      <c r="M1" s="25" t="str">
        <f>TR!J1</f>
        <v>Status</v>
      </c>
      <c r="N1" s="15" t="s">
        <v>3859</v>
      </c>
      <c r="Q1" s="39"/>
    </row>
    <row r="2" spans="1:17" ht="45" x14ac:dyDescent="0.25">
      <c r="A2" s="31" t="str">
        <f>IF(ISNONTEXT(TR!K2),"",TR!K2)</f>
        <v/>
      </c>
      <c r="B2" s="10" t="str">
        <f>TR!A2</f>
        <v>TR-DSRSW-1282</v>
      </c>
      <c r="C2" s="7" t="b">
        <f>ISERROR(FIND("-",TR!B2))</f>
        <v>1</v>
      </c>
      <c r="D2" s="7">
        <f>SetIndent(E2,(TR!C2-1)*2)</f>
        <v>0</v>
      </c>
      <c r="E2" s="11" t="str">
        <f>IF(ISERROR(FIND("-",TR!B2)),TR!B2&amp;" "&amp;TR!D2,TR!D2)</f>
        <v xml:space="preserve">1 Acronyms </v>
      </c>
      <c r="F2" s="7" t="str">
        <f>TR!E2</f>
        <v>Hdr</v>
      </c>
      <c r="G2" s="7" t="str">
        <f>IF(ISERROR(FIND("Adara",TR!F2)),"","Adara ")</f>
        <v xml:space="preserve">Adara </v>
      </c>
      <c r="H2" s="7" t="str">
        <f>IF(ISERROR(FIND("Copernicus",TR!F2)),"","Copernicus ")</f>
        <v xml:space="preserve">Copernicus </v>
      </c>
      <c r="I2" s="31" t="str">
        <f>IF(ISERROR(FIND("Deneb",TR!F2)),"","Deneb ")</f>
        <v xml:space="preserve">Deneb </v>
      </c>
      <c r="J2" s="19" t="str">
        <f>G2&amp;H2&amp;I2</f>
        <v xml:space="preserve">Adara Copernicus Deneb </v>
      </c>
      <c r="K2" s="7" t="str">
        <f>IF(ISBLANK(TR!G2),"",TR!G2)</f>
        <v/>
      </c>
      <c r="L2" s="31" t="str">
        <f>IF(ISBLANK(TR!H2),"",TR!H2)</f>
        <v/>
      </c>
      <c r="M2" s="6" t="str">
        <f>TR!J2</f>
        <v>Approved</v>
      </c>
      <c r="N2" s="31" t="str">
        <f>IF(OR(M2="Modified",M2="Cosmetic"),VLOOKUP(B2,PrevPFS!B$1:E$833,4,FALSE),"")</f>
        <v/>
      </c>
    </row>
    <row r="3" spans="1:17" ht="45" x14ac:dyDescent="0.25">
      <c r="A3" s="31" t="str">
        <f>IF(ISNONTEXT(TR!K3),"",TR!K3)</f>
        <v/>
      </c>
      <c r="B3" s="32" t="str">
        <f>TR!A3</f>
        <v>TR-DSRSW-2554</v>
      </c>
      <c r="C3" s="31" t="b">
        <f>ISERROR(FIND("-",TR!B3))</f>
        <v>0</v>
      </c>
      <c r="D3" s="31">
        <f>SetIndent(E3,(TR!C3-1)*2)</f>
        <v>2</v>
      </c>
      <c r="E3" s="34" t="str">
        <f>IF(ISERROR(FIND("-",TR!B3)),TR!B3&amp;" "&amp;TR!D3,TR!D3)</f>
        <v>See Acronyms tab.</v>
      </c>
      <c r="F3" s="31" t="str">
        <f>TR!E3</f>
        <v>Com</v>
      </c>
      <c r="G3" s="31" t="str">
        <f>IF(ISERROR(FIND("Adara",TR!F3)),"","Adara ")</f>
        <v xml:space="preserve">Adara </v>
      </c>
      <c r="H3" s="31" t="str">
        <f>IF(ISERROR(FIND("Copernicus",TR!F3)),"","Copernicus ")</f>
        <v xml:space="preserve">Copernicus </v>
      </c>
      <c r="I3" s="31" t="str">
        <f>IF(ISERROR(FIND("Deneb",TR!F3)),"","Deneb ")</f>
        <v xml:space="preserve">Deneb </v>
      </c>
      <c r="J3" s="37" t="str">
        <f t="shared" ref="J3:J66" si="0">G3&amp;H3&amp;I3</f>
        <v xml:space="preserve">Adara Copernicus Deneb </v>
      </c>
      <c r="K3" s="31" t="str">
        <f>IF(ISBLANK(TR!G3),"",TR!G3)</f>
        <v/>
      </c>
      <c r="L3" s="31" t="str">
        <f>IF(ISBLANK(TR!H3),"",TR!H3)</f>
        <v/>
      </c>
      <c r="M3" s="30" t="str">
        <f>TR!J3</f>
        <v>Approved</v>
      </c>
      <c r="N3" s="31" t="str">
        <f>IF(OR(M3="Modified",M3="Cosmetic"),VLOOKUP(B3,PrevPFS!B$1:E$833,4,FALSE),"")</f>
        <v/>
      </c>
    </row>
    <row r="4" spans="1:17" ht="45" x14ac:dyDescent="0.25">
      <c r="A4" s="31" t="str">
        <f>IF(ISNONTEXT(TR!K4),"",TR!K4)</f>
        <v/>
      </c>
      <c r="B4" s="32" t="str">
        <f>TR!A4</f>
        <v>TR-DSRSW-1310</v>
      </c>
      <c r="C4" s="31" t="b">
        <f>ISERROR(FIND("-",TR!B4))</f>
        <v>1</v>
      </c>
      <c r="D4" s="31">
        <f>SetIndent(E4,(TR!C4-1)*2)</f>
        <v>0</v>
      </c>
      <c r="E4" s="33" t="str">
        <f>IF(ISERROR(FIND("-",TR!B4)),TR!B4&amp;" "&amp;TR!D4,TR!D4)</f>
        <v xml:space="preserve">2 Industry Standards and Specifications </v>
      </c>
      <c r="F4" s="31" t="str">
        <f>TR!E4</f>
        <v>Hdr</v>
      </c>
      <c r="G4" s="31" t="str">
        <f>IF(ISERROR(FIND("Adara",TR!F4)),"","Adara ")</f>
        <v xml:space="preserve">Adara </v>
      </c>
      <c r="H4" s="31" t="str">
        <f>IF(ISERROR(FIND("Copernicus",TR!F4)),"","Copernicus ")</f>
        <v xml:space="preserve">Copernicus </v>
      </c>
      <c r="I4" s="31" t="str">
        <f>IF(ISERROR(FIND("Deneb",TR!F4)),"","Deneb ")</f>
        <v xml:space="preserve">Deneb </v>
      </c>
      <c r="J4" s="37" t="str">
        <f t="shared" si="0"/>
        <v xml:space="preserve">Adara Copernicus Deneb </v>
      </c>
      <c r="K4" s="31" t="str">
        <f>IF(ISBLANK(TR!G4),"",TR!G4)</f>
        <v/>
      </c>
      <c r="L4" s="31" t="str">
        <f>IF(ISBLANK(TR!H4),"",TR!H4)</f>
        <v/>
      </c>
      <c r="M4" s="30" t="str">
        <f>TR!J4</f>
        <v>Approved</v>
      </c>
      <c r="N4" s="31" t="str">
        <f>IF(OR(M4="Modified",M4="Cosmetic"),VLOOKUP(B4,PrevPFS!B$1:E$833,4,FALSE),"")</f>
        <v/>
      </c>
    </row>
    <row r="5" spans="1:17" ht="45" x14ac:dyDescent="0.25">
      <c r="A5" s="31" t="str">
        <f>IF(ISNONTEXT(TR!K5),"",TR!K5)</f>
        <v/>
      </c>
      <c r="B5" s="32" t="str">
        <f>TR!A5</f>
        <v>TR-DSRSW-2555</v>
      </c>
      <c r="C5" s="31" t="b">
        <f>ISERROR(FIND("-",TR!B5))</f>
        <v>0</v>
      </c>
      <c r="D5" s="31">
        <f>SetIndent(E5,(TR!C5-1)*2)</f>
        <v>2</v>
      </c>
      <c r="E5" s="34" t="str">
        <f>IF(ISERROR(FIND("-",TR!B5)),TR!B5&amp;" "&amp;TR!D5,TR!D5)</f>
        <v>See Docs tab.</v>
      </c>
      <c r="F5" s="31" t="str">
        <f>TR!E5</f>
        <v>Com</v>
      </c>
      <c r="G5" s="31" t="str">
        <f>IF(ISERROR(FIND("Adara",TR!F5)),"","Adara ")</f>
        <v xml:space="preserve">Adara </v>
      </c>
      <c r="H5" s="31" t="str">
        <f>IF(ISERROR(FIND("Copernicus",TR!F5)),"","Copernicus ")</f>
        <v xml:space="preserve">Copernicus </v>
      </c>
      <c r="I5" s="31" t="str">
        <f>IF(ISERROR(FIND("Deneb",TR!F5)),"","Deneb ")</f>
        <v xml:space="preserve">Deneb </v>
      </c>
      <c r="J5" s="37" t="str">
        <f t="shared" si="0"/>
        <v xml:space="preserve">Adara Copernicus Deneb </v>
      </c>
      <c r="K5" s="31" t="str">
        <f>IF(ISBLANK(TR!G5),"",TR!G5)</f>
        <v/>
      </c>
      <c r="L5" s="31" t="str">
        <f>IF(ISBLANK(TR!H5),"",TR!H5)</f>
        <v/>
      </c>
      <c r="M5" s="30" t="str">
        <f>TR!J5</f>
        <v>Approved</v>
      </c>
      <c r="N5" s="31" t="str">
        <f>IF(OR(M5="Modified",M5="Cosmetic"),VLOOKUP(B5,PrevPFS!B$1:E$833,4,FALSE),"")</f>
        <v/>
      </c>
    </row>
    <row r="6" spans="1:17" ht="45" x14ac:dyDescent="0.25">
      <c r="A6" s="31" t="str">
        <f>IF(ISNONTEXT(TR!K6),"",TR!K6)</f>
        <v/>
      </c>
      <c r="B6" s="32" t="str">
        <f>TR!A6</f>
        <v>TR-DSRSW-1322</v>
      </c>
      <c r="C6" s="31" t="b">
        <f>ISERROR(FIND("-",TR!B6))</f>
        <v>1</v>
      </c>
      <c r="D6" s="31">
        <f>SetIndent(E6,(TR!C6-1)*2)</f>
        <v>0</v>
      </c>
      <c r="E6" s="33" t="str">
        <f>IF(ISERROR(FIND("-",TR!B6)),TR!B6&amp;" "&amp;TR!D6,TR!D6)</f>
        <v xml:space="preserve">3 Internal Document References </v>
      </c>
      <c r="F6" s="31" t="str">
        <f>TR!E6</f>
        <v>Hdr</v>
      </c>
      <c r="G6" s="31" t="str">
        <f>IF(ISERROR(FIND("Adara",TR!F6)),"","Adara ")</f>
        <v xml:space="preserve">Adara </v>
      </c>
      <c r="H6" s="31" t="str">
        <f>IF(ISERROR(FIND("Copernicus",TR!F6)),"","Copernicus ")</f>
        <v xml:space="preserve">Copernicus </v>
      </c>
      <c r="I6" s="31" t="str">
        <f>IF(ISERROR(FIND("Deneb",TR!F6)),"","Deneb ")</f>
        <v xml:space="preserve">Deneb </v>
      </c>
      <c r="J6" s="37" t="str">
        <f t="shared" si="0"/>
        <v xml:space="preserve">Adara Copernicus Deneb </v>
      </c>
      <c r="K6" s="31" t="str">
        <f>IF(ISBLANK(TR!G6),"",TR!G6)</f>
        <v/>
      </c>
      <c r="L6" s="31" t="str">
        <f>IF(ISBLANK(TR!H6),"",TR!H6)</f>
        <v/>
      </c>
      <c r="M6" s="30" t="str">
        <f>TR!J6</f>
        <v>Approved</v>
      </c>
      <c r="N6" s="31" t="str">
        <f>IF(OR(M6="Modified",M6="Cosmetic"),VLOOKUP(B6,PrevPFS!B$1:E$833,4,FALSE),"")</f>
        <v/>
      </c>
    </row>
    <row r="7" spans="1:17" ht="45" x14ac:dyDescent="0.25">
      <c r="A7" s="31" t="str">
        <f>IF(ISNONTEXT(TR!K7),"",TR!K7)</f>
        <v/>
      </c>
      <c r="B7" s="32" t="str">
        <f>TR!A7</f>
        <v>TR-DSRSW-2556</v>
      </c>
      <c r="C7" s="31" t="b">
        <f>ISERROR(FIND("-",TR!B7))</f>
        <v>0</v>
      </c>
      <c r="D7" s="31">
        <f>SetIndent(E7,(TR!C7-1)*2)</f>
        <v>2</v>
      </c>
      <c r="E7" s="34" t="str">
        <f>IF(ISERROR(FIND("-",TR!B7)),TR!B7&amp;" "&amp;TR!D7,TR!D7)</f>
        <v>See Docs tab.</v>
      </c>
      <c r="F7" s="31" t="str">
        <f>TR!E7</f>
        <v>Com</v>
      </c>
      <c r="G7" s="31" t="str">
        <f>IF(ISERROR(FIND("Adara",TR!F7)),"","Adara ")</f>
        <v xml:space="preserve">Adara </v>
      </c>
      <c r="H7" s="31" t="str">
        <f>IF(ISERROR(FIND("Copernicus",TR!F7)),"","Copernicus ")</f>
        <v xml:space="preserve">Copernicus </v>
      </c>
      <c r="I7" s="31" t="str">
        <f>IF(ISERROR(FIND("Deneb",TR!F7)),"","Deneb ")</f>
        <v xml:space="preserve">Deneb </v>
      </c>
      <c r="J7" s="37" t="str">
        <f t="shared" si="0"/>
        <v xml:space="preserve">Adara Copernicus Deneb </v>
      </c>
      <c r="K7" s="31" t="str">
        <f>IF(ISBLANK(TR!G7),"",TR!G7)</f>
        <v/>
      </c>
      <c r="L7" s="31" t="str">
        <f>IF(ISBLANK(TR!H7),"",TR!H7)</f>
        <v/>
      </c>
      <c r="M7" s="30" t="str">
        <f>TR!J7</f>
        <v>Approved</v>
      </c>
      <c r="N7" s="31" t="str">
        <f>IF(OR(M7="Modified",M7="Cosmetic"),VLOOKUP(B7,PrevPFS!B$1:E$833,4,FALSE),"")</f>
        <v/>
      </c>
    </row>
    <row r="8" spans="1:17" ht="45" x14ac:dyDescent="0.25">
      <c r="A8" s="31" t="str">
        <f>IF(ISNONTEXT(TR!K8),"",TR!K8)</f>
        <v/>
      </c>
      <c r="B8" s="32" t="str">
        <f>TR!A8</f>
        <v>TR-DSRSW-2154</v>
      </c>
      <c r="C8" s="31" t="b">
        <f>ISERROR(FIND("-",TR!B8))</f>
        <v>1</v>
      </c>
      <c r="D8" s="31">
        <f>SetIndent(E8,(TR!C8-1)*2)</f>
        <v>0</v>
      </c>
      <c r="E8" s="33" t="str">
        <f>IF(ISERROR(FIND("-",TR!B8)),TR!B8&amp;" "&amp;TR!D8,TR!D8)</f>
        <v>4 Hardware Platform Support</v>
      </c>
      <c r="F8" s="31" t="str">
        <f>TR!E8</f>
        <v>Hdr</v>
      </c>
      <c r="G8" s="31" t="str">
        <f>IF(ISERROR(FIND("Adara",TR!F8)),"","Adara ")</f>
        <v xml:space="preserve">Adara </v>
      </c>
      <c r="H8" s="31" t="str">
        <f>IF(ISERROR(FIND("Copernicus",TR!F8)),"","Copernicus ")</f>
        <v xml:space="preserve">Copernicus </v>
      </c>
      <c r="I8" s="31" t="str">
        <f>IF(ISERROR(FIND("Deneb",TR!F8)),"","Deneb ")</f>
        <v xml:space="preserve">Deneb </v>
      </c>
      <c r="J8" s="37" t="str">
        <f t="shared" si="0"/>
        <v xml:space="preserve">Adara Copernicus Deneb </v>
      </c>
      <c r="K8" s="31" t="str">
        <f>IF(ISBLANK(TR!G8),"",TR!G8)</f>
        <v/>
      </c>
      <c r="L8" s="31" t="str">
        <f>IF(ISBLANK(TR!H8),"",TR!H8)</f>
        <v>FR-DSRSW-1493</v>
      </c>
      <c r="M8" s="30" t="str">
        <f>TR!J8</f>
        <v>Approved</v>
      </c>
      <c r="N8" s="31" t="str">
        <f>IF(OR(M8="Modified",M8="Cosmetic"),VLOOKUP(B8,PrevPFS!B$1:E$833,4,FALSE),"")</f>
        <v/>
      </c>
    </row>
    <row r="9" spans="1:17" ht="45" x14ac:dyDescent="0.25">
      <c r="A9" s="31" t="str">
        <f>IF(ISNONTEXT(TR!K9),"",TR!K9)</f>
        <v/>
      </c>
      <c r="B9" s="32" t="str">
        <f>TR!A9</f>
        <v>TR-DSRSW-2149</v>
      </c>
      <c r="C9" s="31" t="b">
        <f>ISERROR(FIND("-",TR!B9))</f>
        <v>0</v>
      </c>
      <c r="D9" s="31">
        <f>SetIndent(E9,(TR!C9-1)*2)</f>
        <v>2</v>
      </c>
      <c r="E9" s="34" t="str">
        <f>IF(ISERROR(FIND("-",TR!B9)),TR!B9&amp;" "&amp;TR!D9,TR!D9)</f>
        <v>The product SHALL run on the DSR800 hardware platform</v>
      </c>
      <c r="F9" s="31" t="str">
        <f>TR!E9</f>
        <v>Req</v>
      </c>
      <c r="G9" s="31" t="str">
        <f>IF(ISERROR(FIND("Adara",TR!F9)),"","Adara ")</f>
        <v xml:space="preserve">Adara </v>
      </c>
      <c r="H9" s="31" t="str">
        <f>IF(ISERROR(FIND("Copernicus",TR!F9)),"","Copernicus ")</f>
        <v xml:space="preserve">Copernicus </v>
      </c>
      <c r="I9" s="31" t="str">
        <f>IF(ISERROR(FIND("Deneb",TR!F9)),"","Deneb ")</f>
        <v xml:space="preserve">Deneb </v>
      </c>
      <c r="J9" s="37" t="str">
        <f t="shared" si="0"/>
        <v xml:space="preserve">Adara Copernicus Deneb </v>
      </c>
      <c r="K9" s="31" t="str">
        <f>IF(ISBLANK(TR!G9),"",TR!G9)</f>
        <v/>
      </c>
      <c r="L9" s="31" t="str">
        <f>IF(ISBLANK(TR!H9),"",TR!H9)</f>
        <v>FR-DSRSW-1457</v>
      </c>
      <c r="M9" s="30" t="str">
        <f>TR!J9</f>
        <v>Approved</v>
      </c>
      <c r="N9" s="31" t="str">
        <f>IF(OR(M9="Modified",M9="Cosmetic"),VLOOKUP(B9,PrevPFS!B$1:E$833,4,FALSE),"")</f>
        <v/>
      </c>
    </row>
    <row r="10" spans="1:17" ht="45" x14ac:dyDescent="0.25">
      <c r="A10" s="31" t="str">
        <f>IF(ISNONTEXT(TR!K10),"",TR!K10)</f>
        <v/>
      </c>
      <c r="B10" s="32" t="str">
        <f>TR!A10</f>
        <v>TR-DSRSW-2150</v>
      </c>
      <c r="C10" s="31" t="b">
        <f>ISERROR(FIND("-",TR!B10))</f>
        <v>0</v>
      </c>
      <c r="D10" s="31">
        <f>SetIndent(E10,(TR!C10-1)*2)</f>
        <v>2</v>
      </c>
      <c r="E10" s="34" t="str">
        <f>IF(ISERROR(FIND("-",TR!B10)),TR!B10&amp;" "&amp;TR!D10,TR!D10)</f>
        <v>The product SHALL run on the DSR830 hardware platform</v>
      </c>
      <c r="F10" s="31" t="str">
        <f>TR!E10</f>
        <v>Req</v>
      </c>
      <c r="G10" s="31" t="str">
        <f>IF(ISERROR(FIND("Adara",TR!F10)),"","Adara ")</f>
        <v xml:space="preserve">Adara </v>
      </c>
      <c r="H10" s="31" t="str">
        <f>IF(ISERROR(FIND("Copernicus",TR!F10)),"","Copernicus ")</f>
        <v xml:space="preserve">Copernicus </v>
      </c>
      <c r="I10" s="31" t="str">
        <f>IF(ISERROR(FIND("Deneb",TR!F10)),"","Deneb ")</f>
        <v xml:space="preserve">Deneb </v>
      </c>
      <c r="J10" s="37" t="str">
        <f t="shared" si="0"/>
        <v xml:space="preserve">Adara Copernicus Deneb </v>
      </c>
      <c r="K10" s="31" t="str">
        <f>IF(ISBLANK(TR!G10),"",TR!G10)</f>
        <v/>
      </c>
      <c r="L10" s="31" t="str">
        <f>IF(ISBLANK(TR!H10),"",TR!H10)</f>
        <v>FR-DSRSW-1458</v>
      </c>
      <c r="M10" s="30" t="str">
        <f>TR!J10</f>
        <v>Approved</v>
      </c>
      <c r="N10" s="31" t="str">
        <f>IF(OR(M10="Modified",M10="Cosmetic"),VLOOKUP(B10,PrevPFS!B$1:E$833,4,FALSE),"")</f>
        <v/>
      </c>
    </row>
    <row r="11" spans="1:17" ht="30" x14ac:dyDescent="0.25">
      <c r="A11" s="31" t="str">
        <f>IF(ISNONTEXT(TR!K11),"",TR!K11)</f>
        <v/>
      </c>
      <c r="B11" s="32" t="str">
        <f>TR!A11</f>
        <v>TR-DSRSW-2536</v>
      </c>
      <c r="C11" s="31" t="b">
        <f>ISERROR(FIND("-",TR!B11))</f>
        <v>0</v>
      </c>
      <c r="D11" s="31">
        <f>SetIndent(E11,(TR!C11-1)*2)</f>
        <v>2</v>
      </c>
      <c r="E11" s="34" t="str">
        <f>IF(ISERROR(FIND("-",TR!B11)),TR!B11&amp;" "&amp;TR!D11,TR!D11)</f>
        <v>The product SHALL run on the DSR830p2 hardware platform</v>
      </c>
      <c r="F11" s="31" t="str">
        <f>TR!E11</f>
        <v>Req</v>
      </c>
      <c r="G11" s="31" t="str">
        <f>IF(ISERROR(FIND("Adara",TR!F11)),"","Adara ")</f>
        <v/>
      </c>
      <c r="H11" s="31" t="str">
        <f>IF(ISERROR(FIND("Copernicus",TR!F11)),"","Copernicus ")</f>
        <v xml:space="preserve">Copernicus </v>
      </c>
      <c r="I11" s="31" t="str">
        <f>IF(ISERROR(FIND("Deneb",TR!F11)),"","Deneb ")</f>
        <v xml:space="preserve">Deneb </v>
      </c>
      <c r="J11" s="37" t="str">
        <f t="shared" si="0"/>
        <v xml:space="preserve">Copernicus Deneb </v>
      </c>
      <c r="K11" s="31" t="str">
        <f>IF(ISBLANK(TR!G11),"",TR!G11)</f>
        <v/>
      </c>
      <c r="L11" s="31" t="str">
        <f>IF(ISBLANK(TR!H11),"",TR!H11)</f>
        <v>FR-DSRSW-1458</v>
      </c>
      <c r="M11" s="30" t="str">
        <f>TR!J11</f>
        <v>Added</v>
      </c>
      <c r="N11" s="31" t="str">
        <f>IF(OR(M11="Modified",M11="Cosmetic"),VLOOKUP(B11,PrevPFS!B$1:E$833,4,FALSE),"")</f>
        <v/>
      </c>
    </row>
    <row r="12" spans="1:17" ht="45" x14ac:dyDescent="0.25">
      <c r="A12" s="31" t="str">
        <f>IF(ISNONTEXT(TR!K12),"",TR!K12)</f>
        <v>TR-0-DSRHW-FPR-1015</v>
      </c>
      <c r="B12" s="32" t="str">
        <f>TR!A12</f>
        <v>TR-DSRSW-2565</v>
      </c>
      <c r="C12" s="31" t="b">
        <f>ISERROR(FIND("-",TR!B12))</f>
        <v>0</v>
      </c>
      <c r="D12" s="31">
        <f>SetIndent(E12,(TR!C12-1)*2)</f>
        <v>2</v>
      </c>
      <c r="E12" s="34" t="str">
        <f>IF(ISERROR(FIND("-",TR!B12)),TR!B12&amp;" "&amp;TR!D12,TR!D12)</f>
        <v>The DSR800 SHALL have a model ID value of 0x0097 hexadecimal.</v>
      </c>
      <c r="F12" s="31" t="str">
        <f>TR!E12</f>
        <v>Req</v>
      </c>
      <c r="G12" s="31" t="str">
        <f>IF(ISERROR(FIND("Adara",TR!F12)),"","Adara ")</f>
        <v xml:space="preserve">Adara </v>
      </c>
      <c r="H12" s="31" t="str">
        <f>IF(ISERROR(FIND("Copernicus",TR!F12)),"","Copernicus ")</f>
        <v xml:space="preserve">Copernicus </v>
      </c>
      <c r="I12" s="31" t="str">
        <f>IF(ISERROR(FIND("Deneb",TR!F12)),"","Deneb ")</f>
        <v xml:space="preserve">Deneb </v>
      </c>
      <c r="J12" s="37" t="str">
        <f t="shared" si="0"/>
        <v xml:space="preserve">Adara Copernicus Deneb </v>
      </c>
      <c r="K12" s="31" t="str">
        <f>IF(ISBLANK(TR!G12),"",TR!G12)</f>
        <v/>
      </c>
      <c r="L12" s="31" t="str">
        <f>IF(ISBLANK(TR!H12),"",TR!H12)</f>
        <v>FR-DSRSW-1543</v>
      </c>
      <c r="M12" s="30" t="str">
        <f>TR!J12</f>
        <v>Added</v>
      </c>
      <c r="N12" s="31" t="str">
        <f>IF(OR(M12="Modified",M12="Cosmetic"),VLOOKUP(B12,PrevPFS!B$1:E$833,4,FALSE),"")</f>
        <v/>
      </c>
    </row>
    <row r="13" spans="1:17" ht="45" x14ac:dyDescent="0.25">
      <c r="A13" s="31" t="str">
        <f>IF(ISNONTEXT(TR!K13),"",TR!K13)</f>
        <v>TR-0-DSRHW-FPR-1015</v>
      </c>
      <c r="B13" s="32" t="str">
        <f>TR!A13</f>
        <v>TR-DSRSW-2566</v>
      </c>
      <c r="C13" s="31" t="b">
        <f>ISERROR(FIND("-",TR!B13))</f>
        <v>0</v>
      </c>
      <c r="D13" s="31">
        <f>SetIndent(E13,(TR!C13-1)*2)</f>
        <v>2</v>
      </c>
      <c r="E13" s="34" t="str">
        <f>IF(ISERROR(FIND("-",TR!B13)),TR!B13&amp;" "&amp;TR!D13,TR!D13)</f>
        <v>The DSR830 SHALL have a model ID value of 0x0096 hexadecimal.</v>
      </c>
      <c r="F13" s="31" t="str">
        <f>TR!E13</f>
        <v>Req</v>
      </c>
      <c r="G13" s="31" t="str">
        <f>IF(ISERROR(FIND("Adara",TR!F13)),"","Adara ")</f>
        <v xml:space="preserve">Adara </v>
      </c>
      <c r="H13" s="31" t="str">
        <f>IF(ISERROR(FIND("Copernicus",TR!F13)),"","Copernicus ")</f>
        <v xml:space="preserve">Copernicus </v>
      </c>
      <c r="I13" s="31" t="str">
        <f>IF(ISERROR(FIND("Deneb",TR!F13)),"","Deneb ")</f>
        <v xml:space="preserve">Deneb </v>
      </c>
      <c r="J13" s="37" t="str">
        <f t="shared" si="0"/>
        <v xml:space="preserve">Adara Copernicus Deneb </v>
      </c>
      <c r="K13" s="31" t="str">
        <f>IF(ISBLANK(TR!G13),"",TR!G13)</f>
        <v/>
      </c>
      <c r="L13" s="31" t="str">
        <f>IF(ISBLANK(TR!H13),"",TR!H13)</f>
        <v>FR-DSRSW-1543</v>
      </c>
      <c r="M13" s="30" t="str">
        <f>TR!J13</f>
        <v>Added</v>
      </c>
      <c r="N13" s="31" t="str">
        <f>IF(OR(M13="Modified",M13="Cosmetic"),VLOOKUP(B13,PrevPFS!B$1:E$833,4,FALSE),"")</f>
        <v/>
      </c>
    </row>
    <row r="14" spans="1:17" ht="30" x14ac:dyDescent="0.25">
      <c r="A14" s="31" t="str">
        <f>IF(ISNONTEXT(TR!K14),"",TR!K14)</f>
        <v>TR-0-DSRHW-FPR-1015</v>
      </c>
      <c r="B14" s="32" t="str">
        <f>TR!A14</f>
        <v>TR-DSRSW-2567</v>
      </c>
      <c r="C14" s="31" t="b">
        <f>ISERROR(FIND("-",TR!B14))</f>
        <v>0</v>
      </c>
      <c r="D14" s="31">
        <f>SetIndent(E14,(TR!C14-1)*2)</f>
        <v>2</v>
      </c>
      <c r="E14" s="34" t="str">
        <f>IF(ISERROR(FIND("-",TR!B14)),TR!B14&amp;" "&amp;TR!D14,TR!D14)</f>
        <v>The DSR830p2 SHALL have a model ID value of 0x0098 hexadecimal.</v>
      </c>
      <c r="F14" s="31" t="str">
        <f>TR!E14</f>
        <v>Req</v>
      </c>
      <c r="G14" s="31" t="str">
        <f>IF(ISERROR(FIND("Adara",TR!F14)),"","Adara ")</f>
        <v/>
      </c>
      <c r="H14" s="31" t="str">
        <f>IF(ISERROR(FIND("Copernicus",TR!F14)),"","Copernicus ")</f>
        <v xml:space="preserve">Copernicus </v>
      </c>
      <c r="I14" s="31" t="str">
        <f>IF(ISERROR(FIND("Deneb",TR!F14)),"","Deneb ")</f>
        <v xml:space="preserve">Deneb </v>
      </c>
      <c r="J14" s="37" t="str">
        <f t="shared" si="0"/>
        <v xml:space="preserve">Copernicus Deneb </v>
      </c>
      <c r="K14" s="31" t="str">
        <f>IF(ISBLANK(TR!G14),"",TR!G14)</f>
        <v/>
      </c>
      <c r="L14" s="31" t="str">
        <f>IF(ISBLANK(TR!H14),"",TR!H14)</f>
        <v>FR-DSRSW-1543</v>
      </c>
      <c r="M14" s="30" t="str">
        <f>TR!J14</f>
        <v>Added</v>
      </c>
      <c r="N14" s="31" t="str">
        <f>IF(OR(M14="Modified",M14="Cosmetic"),VLOOKUP(B14,PrevPFS!B$1:E$833,4,FALSE),"")</f>
        <v/>
      </c>
    </row>
    <row r="15" spans="1:17" ht="45" x14ac:dyDescent="0.25">
      <c r="A15" s="31" t="str">
        <f>IF(ISNONTEXT(TR!K15),"",TR!K15)</f>
        <v/>
      </c>
      <c r="B15" s="32" t="str">
        <f>TR!A15</f>
        <v>TR-DSRSW-2151</v>
      </c>
      <c r="C15" s="31" t="b">
        <f>ISERROR(FIND("-",TR!B15))</f>
        <v>1</v>
      </c>
      <c r="D15" s="31">
        <f>SetIndent(E15,(TR!C15-1)*2)</f>
        <v>0</v>
      </c>
      <c r="E15" s="33" t="str">
        <f>IF(ISERROR(FIND("-",TR!B15)),TR!B15&amp;" "&amp;TR!D15,TR!D15)</f>
        <v>5 Flash Storage of Platform Software</v>
      </c>
      <c r="F15" s="31" t="str">
        <f>TR!E15</f>
        <v>Hdr</v>
      </c>
      <c r="G15" s="31" t="str">
        <f>IF(ISERROR(FIND("Adara",TR!F15)),"","Adara ")</f>
        <v xml:space="preserve">Adara </v>
      </c>
      <c r="H15" s="31" t="str">
        <f>IF(ISERROR(FIND("Copernicus",TR!F15)),"","Copernicus ")</f>
        <v xml:space="preserve">Copernicus </v>
      </c>
      <c r="I15" s="31" t="str">
        <f>IF(ISERROR(FIND("Deneb",TR!F15)),"","Deneb ")</f>
        <v xml:space="preserve">Deneb </v>
      </c>
      <c r="J15" s="37" t="str">
        <f t="shared" si="0"/>
        <v xml:space="preserve">Adara Copernicus Deneb </v>
      </c>
      <c r="K15" s="31" t="str">
        <f>IF(ISBLANK(TR!G15),"",TR!G15)</f>
        <v/>
      </c>
      <c r="L15" s="31" t="str">
        <f>IF(ISBLANK(TR!H15),"",TR!H15)</f>
        <v>FR-DSRSW-1468</v>
      </c>
      <c r="M15" s="30" t="str">
        <f>TR!J15</f>
        <v>Approved</v>
      </c>
      <c r="N15" s="31" t="str">
        <f>IF(OR(M15="Modified",M15="Cosmetic"),VLOOKUP(B15,PrevPFS!B$1:E$833,4,FALSE),"")</f>
        <v/>
      </c>
    </row>
    <row r="16" spans="1:17" ht="45" x14ac:dyDescent="0.25">
      <c r="A16" s="31" t="str">
        <f>IF(ISNONTEXT(TR!K16),"",TR!K16)</f>
        <v>TR-PLATOS-1041</v>
      </c>
      <c r="B16" s="32" t="str">
        <f>TR!A16</f>
        <v>TR-DSRSW-1335</v>
      </c>
      <c r="C16" s="31" t="b">
        <f>ISERROR(FIND("-",TR!B16))</f>
        <v>0</v>
      </c>
      <c r="D16" s="31">
        <f>SetIndent(E16,(TR!C16-1)*2)</f>
        <v>2</v>
      </c>
      <c r="E16" s="34" t="str">
        <f>IF(ISERROR(FIND("-",TR!B16)),TR!B16&amp;" "&amp;TR!D16,TR!D16)</f>
        <v>The product SHALL retain the platform object stored in FLASH memory through an A/C power cycle or dropout or through a reset.</v>
      </c>
      <c r="F16" s="31" t="str">
        <f>TR!E16</f>
        <v>Req</v>
      </c>
      <c r="G16" s="31" t="str">
        <f>IF(ISERROR(FIND("Adara",TR!F16)),"","Adara ")</f>
        <v xml:space="preserve">Adara </v>
      </c>
      <c r="H16" s="31" t="str">
        <f>IF(ISERROR(FIND("Copernicus",TR!F16)),"","Copernicus ")</f>
        <v xml:space="preserve">Copernicus </v>
      </c>
      <c r="I16" s="31" t="str">
        <f>IF(ISERROR(FIND("Deneb",TR!F16)),"","Deneb ")</f>
        <v xml:space="preserve">Deneb </v>
      </c>
      <c r="J16" s="37" t="str">
        <f t="shared" si="0"/>
        <v xml:space="preserve">Adara Copernicus Deneb </v>
      </c>
      <c r="K16" s="31" t="str">
        <f>IF(ISBLANK(TR!G16),"",TR!G16)</f>
        <v/>
      </c>
      <c r="L16" s="31" t="str">
        <f>IF(ISBLANK(TR!H16),"",TR!H16)</f>
        <v>FR-DSRSW-1331</v>
      </c>
      <c r="M16" s="30" t="str">
        <f>TR!J16</f>
        <v>Approved</v>
      </c>
      <c r="N16" s="31" t="str">
        <f>IF(OR(M16="Modified",M16="Cosmetic"),VLOOKUP(B16,PrevPFS!B$1:E$833,4,FALSE),"")</f>
        <v/>
      </c>
    </row>
    <row r="17" spans="1:14" ht="45" x14ac:dyDescent="0.25">
      <c r="A17" s="31" t="str">
        <f>IF(ISNONTEXT(TR!K17),"",TR!K17)</f>
        <v>TR-PLATOS-1043</v>
      </c>
      <c r="B17" s="32" t="str">
        <f>TR!A17</f>
        <v>TR-DSRSW-1336</v>
      </c>
      <c r="C17" s="31" t="b">
        <f>ISERROR(FIND("-",TR!B17))</f>
        <v>0</v>
      </c>
      <c r="D17" s="31">
        <f>SetIndent(E17,(TR!C17-1)*2)</f>
        <v>2</v>
      </c>
      <c r="E17" s="34" t="str">
        <f>IF(ISERROR(FIND("-",TR!B17)),TR!B17&amp;" "&amp;TR!D17,TR!D17)</f>
        <v>The product SHALL delete the old platform object from FLASH memory only after a new platform object has been authenticated and stored to FLASH memory.</v>
      </c>
      <c r="F17" s="31" t="str">
        <f>TR!E17</f>
        <v>Req</v>
      </c>
      <c r="G17" s="31" t="str">
        <f>IF(ISERROR(FIND("Adara",TR!F17)),"","Adara ")</f>
        <v xml:space="preserve">Adara </v>
      </c>
      <c r="H17" s="31" t="str">
        <f>IF(ISERROR(FIND("Copernicus",TR!F17)),"","Copernicus ")</f>
        <v xml:space="preserve">Copernicus </v>
      </c>
      <c r="I17" s="31" t="str">
        <f>IF(ISERROR(FIND("Deneb",TR!F17)),"","Deneb ")</f>
        <v xml:space="preserve">Deneb </v>
      </c>
      <c r="J17" s="37" t="str">
        <f t="shared" si="0"/>
        <v xml:space="preserve">Adara Copernicus Deneb </v>
      </c>
      <c r="K17" s="31" t="str">
        <f>IF(ISBLANK(TR!G17),"",TR!G17)</f>
        <v/>
      </c>
      <c r="L17" s="31" t="str">
        <f>IF(ISBLANK(TR!H17),"",TR!H17)</f>
        <v>FR-DSRSW-1331</v>
      </c>
      <c r="M17" s="30" t="str">
        <f>TR!J17</f>
        <v>Approved</v>
      </c>
      <c r="N17" s="31" t="str">
        <f>IF(OR(M17="Modified",M17="Cosmetic"),VLOOKUP(B17,PrevPFS!B$1:E$833,4,FALSE),"")</f>
        <v/>
      </c>
    </row>
    <row r="18" spans="1:14" ht="45" x14ac:dyDescent="0.25">
      <c r="A18" s="31" t="str">
        <f>IF(ISNONTEXT(TR!K18),"",TR!K18)</f>
        <v>TR-PLATOS-1046</v>
      </c>
      <c r="B18" s="32" t="str">
        <f>TR!A18</f>
        <v>TR-DSRSW-1337</v>
      </c>
      <c r="C18" s="31" t="b">
        <f>ISERROR(FIND("-",TR!B18))</f>
        <v>0</v>
      </c>
      <c r="D18" s="31">
        <f>SetIndent(E18,(TR!C18-1)*2)</f>
        <v>2</v>
      </c>
      <c r="E18" s="34" t="str">
        <f>IF(ISERROR(FIND("-",TR!B18)),TR!B18&amp;" "&amp;TR!D18,TR!D18)</f>
        <v>When storing its platform object in FLASH memory, the product SHALL delete the old platform object from FLASH memory once the new platform object has been authenticated and stored to FLASH memory.</v>
      </c>
      <c r="F18" s="31" t="str">
        <f>TR!E18</f>
        <v>Req</v>
      </c>
      <c r="G18" s="31" t="str">
        <f>IF(ISERROR(FIND("Adara",TR!F18)),"","Adara ")</f>
        <v xml:space="preserve">Adara </v>
      </c>
      <c r="H18" s="31" t="str">
        <f>IF(ISERROR(FIND("Copernicus",TR!F18)),"","Copernicus ")</f>
        <v xml:space="preserve">Copernicus </v>
      </c>
      <c r="I18" s="31" t="str">
        <f>IF(ISERROR(FIND("Deneb",TR!F18)),"","Deneb ")</f>
        <v xml:space="preserve">Deneb </v>
      </c>
      <c r="J18" s="37" t="str">
        <f t="shared" si="0"/>
        <v xml:space="preserve">Adara Copernicus Deneb </v>
      </c>
      <c r="K18" s="31" t="str">
        <f>IF(ISBLANK(TR!G18),"",TR!G18)</f>
        <v/>
      </c>
      <c r="L18" s="31" t="str">
        <f>IF(ISBLANK(TR!H18),"",TR!H18)</f>
        <v>FR-DSRSW-1331</v>
      </c>
      <c r="M18" s="30" t="str">
        <f>TR!J18</f>
        <v>Approved</v>
      </c>
      <c r="N18" s="31" t="str">
        <f>IF(OR(M18="Modified",M18="Cosmetic"),VLOOKUP(B18,PrevPFS!B$1:E$833,4,FALSE),"")</f>
        <v/>
      </c>
    </row>
    <row r="19" spans="1:14" ht="45" x14ac:dyDescent="0.25">
      <c r="A19" s="31" t="str">
        <f>IF(ISNONTEXT(TR!K19),"",TR!K19)</f>
        <v/>
      </c>
      <c r="B19" s="32" t="str">
        <f>TR!A19</f>
        <v>TR-DSRSW-2207</v>
      </c>
      <c r="C19" s="31" t="b">
        <f>ISERROR(FIND("-",TR!B19))</f>
        <v>1</v>
      </c>
      <c r="D19" s="31">
        <f>SetIndent(E19,(TR!C19-1)*2)</f>
        <v>0</v>
      </c>
      <c r="E19" s="33" t="str">
        <f>IF(ISERROR(FIND("-",TR!B19)),TR!B19&amp;" "&amp;TR!D19,TR!D19)</f>
        <v>6 Operating System</v>
      </c>
      <c r="F19" s="31" t="str">
        <f>TR!E19</f>
        <v>Hdr</v>
      </c>
      <c r="G19" s="31" t="str">
        <f>IF(ISERROR(FIND("Adara",TR!F19)),"","Adara ")</f>
        <v xml:space="preserve">Adara </v>
      </c>
      <c r="H19" s="31" t="str">
        <f>IF(ISERROR(FIND("Copernicus",TR!F19)),"","Copernicus ")</f>
        <v xml:space="preserve">Copernicus </v>
      </c>
      <c r="I19" s="31" t="str">
        <f>IF(ISERROR(FIND("Deneb",TR!F19)),"","Deneb ")</f>
        <v xml:space="preserve">Deneb </v>
      </c>
      <c r="J19" s="37" t="str">
        <f t="shared" si="0"/>
        <v xml:space="preserve">Adara Copernicus Deneb </v>
      </c>
      <c r="K19" s="31" t="str">
        <f>IF(ISBLANK(TR!G19),"",TR!G19)</f>
        <v/>
      </c>
      <c r="L19" s="31" t="str">
        <f>IF(ISBLANK(TR!H19),"",TR!H19)</f>
        <v>FR-DSRSW-1465
FR-DSRSW-1499</v>
      </c>
      <c r="M19" s="30" t="str">
        <f>TR!J19</f>
        <v>Approved</v>
      </c>
      <c r="N19" s="31" t="str">
        <f>IF(OR(M19="Modified",M19="Cosmetic"),VLOOKUP(B19,PrevPFS!B$1:E$833,4,FALSE),"")</f>
        <v/>
      </c>
    </row>
    <row r="20" spans="1:14" ht="45" x14ac:dyDescent="0.25">
      <c r="A20" s="31" t="str">
        <f>IF(ISNONTEXT(TR!K20),"",TR!K20)</f>
        <v/>
      </c>
      <c r="B20" s="32" t="str">
        <f>TR!A20</f>
        <v>TR-DSRSW-2208</v>
      </c>
      <c r="C20" s="31" t="b">
        <f>ISERROR(FIND("-",TR!B20))</f>
        <v>0</v>
      </c>
      <c r="D20" s="31">
        <f>SetIndent(E20,(TR!C20-1)*2)</f>
        <v>2</v>
      </c>
      <c r="E20" s="34" t="str">
        <f>IF(ISERROR(FIND("-",TR!B20)),TR!B20&amp;" "&amp;TR!D20,TR!D20)</f>
        <v>The product SHALL run on the Linux operating system</v>
      </c>
      <c r="F20" s="31" t="str">
        <f>TR!E20</f>
        <v>Req</v>
      </c>
      <c r="G20" s="31" t="str">
        <f>IF(ISERROR(FIND("Adara",TR!F20)),"","Adara ")</f>
        <v xml:space="preserve">Adara </v>
      </c>
      <c r="H20" s="31" t="str">
        <f>IF(ISERROR(FIND("Copernicus",TR!F20)),"","Copernicus ")</f>
        <v xml:space="preserve">Copernicus </v>
      </c>
      <c r="I20" s="31" t="str">
        <f>IF(ISERROR(FIND("Deneb",TR!F20)),"","Deneb ")</f>
        <v xml:space="preserve">Deneb </v>
      </c>
      <c r="J20" s="37" t="str">
        <f t="shared" si="0"/>
        <v xml:space="preserve">Adara Copernicus Deneb </v>
      </c>
      <c r="K20" s="31" t="str">
        <f>IF(ISBLANK(TR!G20),"",TR!G20)</f>
        <v/>
      </c>
      <c r="L20" s="31" t="str">
        <f>IF(ISBLANK(TR!H20),"",TR!H20)</f>
        <v>FR-DSRSW-1465</v>
      </c>
      <c r="M20" s="30" t="str">
        <f>TR!J20</f>
        <v>Approved</v>
      </c>
      <c r="N20" s="31" t="str">
        <f>IF(OR(M20="Modified",M20="Cosmetic"),VLOOKUP(B20,PrevPFS!B$1:E$833,4,FALSE),"")</f>
        <v/>
      </c>
    </row>
    <row r="21" spans="1:14" ht="45" x14ac:dyDescent="0.25">
      <c r="A21" s="31" t="str">
        <f>IF(ISNONTEXT(TR!K21),"",TR!K21)</f>
        <v/>
      </c>
      <c r="B21" s="32" t="str">
        <f>TR!A21</f>
        <v>TR-DSRSW-1327</v>
      </c>
      <c r="C21" s="31" t="b">
        <f>ISERROR(FIND("-",TR!B21))</f>
        <v>1</v>
      </c>
      <c r="D21" s="31">
        <f>SetIndent(E21,(TR!C21-1)*2)</f>
        <v>0</v>
      </c>
      <c r="E21" s="33" t="str">
        <f>IF(ISERROR(FIND("-",TR!B21)),TR!B21&amp;" "&amp;TR!D21,TR!D21)</f>
        <v>7 Application Support</v>
      </c>
      <c r="F21" s="31" t="str">
        <f>TR!E21</f>
        <v>Hdr</v>
      </c>
      <c r="G21" s="31" t="str">
        <f>IF(ISERROR(FIND("Adara",TR!F21)),"","Adara ")</f>
        <v xml:space="preserve">Adara </v>
      </c>
      <c r="H21" s="31" t="str">
        <f>IF(ISERROR(FIND("Copernicus",TR!F21)),"","Copernicus ")</f>
        <v xml:space="preserve">Copernicus </v>
      </c>
      <c r="I21" s="31" t="str">
        <f>IF(ISERROR(FIND("Deneb",TR!F21)),"","Deneb ")</f>
        <v xml:space="preserve">Deneb </v>
      </c>
      <c r="J21" s="37" t="str">
        <f t="shared" si="0"/>
        <v xml:space="preserve">Adara Copernicus Deneb </v>
      </c>
      <c r="K21" s="31" t="str">
        <f>IF(ISBLANK(TR!G21),"",TR!G21)</f>
        <v/>
      </c>
      <c r="L21" s="31" t="str">
        <f>IF(ISBLANK(TR!H21),"",TR!H21)</f>
        <v>FR-DSRSW-1327</v>
      </c>
      <c r="M21" s="30" t="str">
        <f>TR!J21</f>
        <v>Approved</v>
      </c>
      <c r="N21" s="31" t="str">
        <f>IF(OR(M21="Modified",M21="Cosmetic"),VLOOKUP(B21,PrevPFS!B$1:E$833,4,FALSE),"")</f>
        <v/>
      </c>
    </row>
    <row r="22" spans="1:14" ht="45" x14ac:dyDescent="0.25">
      <c r="A22" s="31" t="str">
        <f>IF(ISNONTEXT(TR!K22),"",TR!K22)</f>
        <v/>
      </c>
      <c r="B22" s="32" t="str">
        <f>TR!A22</f>
        <v>TR-DSRSW-1448</v>
      </c>
      <c r="C22" s="31" t="b">
        <f>ISERROR(FIND("-",TR!B22))</f>
        <v>1</v>
      </c>
      <c r="D22" s="31">
        <f>SetIndent(E22,(TR!C22-1)*2)</f>
        <v>2</v>
      </c>
      <c r="E22" s="34" t="str">
        <f>IF(ISERROR(FIND("-",TR!B22)),TR!B22&amp;" "&amp;TR!D22,TR!D22)</f>
        <v>7.1 Application RAM</v>
      </c>
      <c r="F22" s="31" t="str">
        <f>TR!E22</f>
        <v>Hdr</v>
      </c>
      <c r="G22" s="31" t="str">
        <f>IF(ISERROR(FIND("Adara",TR!F22)),"","Adara ")</f>
        <v xml:space="preserve">Adara </v>
      </c>
      <c r="H22" s="31" t="str">
        <f>IF(ISERROR(FIND("Copernicus",TR!F22)),"","Copernicus ")</f>
        <v xml:space="preserve">Copernicus </v>
      </c>
      <c r="I22" s="31" t="str">
        <f>IF(ISERROR(FIND("Deneb",TR!F22)),"","Deneb ")</f>
        <v xml:space="preserve">Deneb </v>
      </c>
      <c r="J22" s="37" t="str">
        <f t="shared" si="0"/>
        <v xml:space="preserve">Adara Copernicus Deneb </v>
      </c>
      <c r="K22" s="31" t="str">
        <f>IF(ISBLANK(TR!G22),"",TR!G22)</f>
        <v/>
      </c>
      <c r="L22" s="31" t="str">
        <f>IF(ISBLANK(TR!H22),"",TR!H22)</f>
        <v>FR-DSRSW-1344</v>
      </c>
      <c r="M22" s="30" t="str">
        <f>TR!J22</f>
        <v>Approved</v>
      </c>
      <c r="N22" s="31" t="str">
        <f>IF(OR(M22="Modified",M22="Cosmetic"),VLOOKUP(B22,PrevPFS!B$1:E$833,4,FALSE),"")</f>
        <v/>
      </c>
    </row>
    <row r="23" spans="1:14" ht="45" x14ac:dyDescent="0.25">
      <c r="A23" s="31" t="str">
        <f>IF(ISNONTEXT(TR!K23),"",TR!K23)</f>
        <v>TR-0-DRAM-1043</v>
      </c>
      <c r="B23" s="32" t="str">
        <f>TR!A23</f>
        <v>TR-DSRSW-1450</v>
      </c>
      <c r="C23" s="31" t="b">
        <f>ISERROR(FIND("-",TR!B23))</f>
        <v>0</v>
      </c>
      <c r="D23" s="31">
        <f>SetIndent(E23,(TR!C23-1)*2)</f>
        <v>4</v>
      </c>
      <c r="E23" s="35" t="str">
        <f>IF(ISERROR(FIND("-",TR!B23)),TR!B23&amp;" "&amp;TR!D23,TR!D23)</f>
        <v>The product SHALL make at least 50% of DRAM available to applications for the Adara feature set.</v>
      </c>
      <c r="F23" s="31" t="str">
        <f>TR!E23</f>
        <v>Req</v>
      </c>
      <c r="G23" s="31" t="str">
        <f>IF(ISERROR(FIND("Adara",TR!F23)),"","Adara ")</f>
        <v xml:space="preserve">Adara </v>
      </c>
      <c r="H23" s="31" t="str">
        <f>IF(ISERROR(FIND("Copernicus",TR!F23)),"","Copernicus ")</f>
        <v xml:space="preserve">Copernicus </v>
      </c>
      <c r="I23" s="31" t="str">
        <f>IF(ISERROR(FIND("Deneb",TR!F23)),"","Deneb ")</f>
        <v xml:space="preserve">Deneb </v>
      </c>
      <c r="J23" s="37" t="str">
        <f t="shared" si="0"/>
        <v xml:space="preserve">Adara Copernicus Deneb </v>
      </c>
      <c r="K23" s="31" t="str">
        <f>IF(ISBLANK(TR!G23),"",TR!G23)</f>
        <v/>
      </c>
      <c r="L23" s="31" t="str">
        <f>IF(ISBLANK(TR!H23),"",TR!H23)</f>
        <v>FR-DSRSW-1345</v>
      </c>
      <c r="M23" s="30" t="str">
        <f>TR!J23</f>
        <v>Approved</v>
      </c>
      <c r="N23" s="31" t="str">
        <f>IF(OR(M23="Modified",M23="Cosmetic"),VLOOKUP(B23,PrevPFS!B$1:E$833,4,FALSE),"")</f>
        <v/>
      </c>
    </row>
    <row r="24" spans="1:14" ht="45" x14ac:dyDescent="0.25">
      <c r="A24" s="31" t="str">
        <f>IF(ISNONTEXT(TR!K24),"",TR!K24)</f>
        <v>TR-0-DRAM-1043</v>
      </c>
      <c r="B24" s="32" t="str">
        <f>TR!A24</f>
        <v>TR-DSRSW-2537</v>
      </c>
      <c r="C24" s="31" t="b">
        <f>ISERROR(FIND("-",TR!B24))</f>
        <v>0</v>
      </c>
      <c r="D24" s="31">
        <f>SetIndent(E24,(TR!C24-1)*2)</f>
        <v>4</v>
      </c>
      <c r="E24" s="35" t="str">
        <f>IF(ISERROR(FIND("-",TR!B24)),TR!B24&amp;" "&amp;TR!D24,TR!D24)</f>
        <v>The product SHALL make at least 50% of DRAM available to applications for the Copernicus feature set.</v>
      </c>
      <c r="F24" s="31" t="str">
        <f>TR!E24</f>
        <v>Req</v>
      </c>
      <c r="G24" s="31" t="str">
        <f>IF(ISERROR(FIND("Adara",TR!F24)),"","Adara ")</f>
        <v xml:space="preserve">Adara </v>
      </c>
      <c r="H24" s="31" t="str">
        <f>IF(ISERROR(FIND("Copernicus",TR!F24)),"","Copernicus ")</f>
        <v xml:space="preserve">Copernicus </v>
      </c>
      <c r="I24" s="31" t="str">
        <f>IF(ISERROR(FIND("Deneb",TR!F24)),"","Deneb ")</f>
        <v xml:space="preserve">Deneb </v>
      </c>
      <c r="J24" s="37" t="str">
        <f t="shared" si="0"/>
        <v xml:space="preserve">Adara Copernicus Deneb </v>
      </c>
      <c r="K24" s="31" t="str">
        <f>IF(ISBLANK(TR!G24),"",TR!G24)</f>
        <v/>
      </c>
      <c r="L24" s="31" t="str">
        <f>IF(ISBLANK(TR!H24),"",TR!H24)</f>
        <v>FR-DSRSW-1345</v>
      </c>
      <c r="M24" s="30" t="str">
        <f>TR!J24</f>
        <v>Approved</v>
      </c>
      <c r="N24" s="31" t="str">
        <f>IF(OR(M24="Modified",M24="Cosmetic"),VLOOKUP(B24,PrevPFS!B$1:E$833,4,FALSE),"")</f>
        <v/>
      </c>
    </row>
    <row r="25" spans="1:14" ht="45" x14ac:dyDescent="0.25">
      <c r="A25" s="31" t="str">
        <f>IF(ISNONTEXT(TR!K25),"",TR!K25)</f>
        <v/>
      </c>
      <c r="B25" s="32" t="str">
        <f>TR!A25</f>
        <v>TR-DSRSW-2153</v>
      </c>
      <c r="C25" s="31" t="b">
        <f>ISERROR(FIND("-",TR!B25))</f>
        <v>1</v>
      </c>
      <c r="D25" s="31">
        <f>SetIndent(E25,(TR!C25-1)*2)</f>
        <v>2</v>
      </c>
      <c r="E25" s="34" t="str">
        <f>IF(ISERROR(FIND("-",TR!B25)),TR!B25&amp;" "&amp;TR!D25,TR!D25)</f>
        <v>7.2 Application Support</v>
      </c>
      <c r="F25" s="31" t="str">
        <f>TR!E25</f>
        <v>Hdr</v>
      </c>
      <c r="G25" s="31" t="str">
        <f>IF(ISERROR(FIND("Adara",TR!F25)),"","Adara ")</f>
        <v xml:space="preserve">Adara </v>
      </c>
      <c r="H25" s="31" t="str">
        <f>IF(ISERROR(FIND("Copernicus",TR!F25)),"","Copernicus ")</f>
        <v xml:space="preserve">Copernicus </v>
      </c>
      <c r="I25" s="31" t="str">
        <f>IF(ISERROR(FIND("Deneb",TR!F25)),"","Deneb ")</f>
        <v xml:space="preserve">Deneb </v>
      </c>
      <c r="J25" s="37" t="str">
        <f t="shared" si="0"/>
        <v xml:space="preserve">Adara Copernicus Deneb </v>
      </c>
      <c r="K25" s="31" t="str">
        <f>IF(ISBLANK(TR!G25),"",TR!G25)</f>
        <v/>
      </c>
      <c r="L25" s="31" t="str">
        <f>IF(ISBLANK(TR!H25),"",TR!H25)</f>
        <v>FR-DSRSW-1327</v>
      </c>
      <c r="M25" s="30" t="str">
        <f>TR!J25</f>
        <v>Approved</v>
      </c>
      <c r="N25" s="31" t="str">
        <f>IF(OR(M25="Modified",M25="Cosmetic"),VLOOKUP(B25,PrevPFS!B$1:E$833,4,FALSE),"")</f>
        <v/>
      </c>
    </row>
    <row r="26" spans="1:14" ht="45" x14ac:dyDescent="0.25">
      <c r="A26" s="31" t="str">
        <f>IF(ISNONTEXT(TR!K26),"",TR!K26)</f>
        <v/>
      </c>
      <c r="B26" s="32" t="str">
        <f>TR!A26</f>
        <v>TR-DSRSW-2211</v>
      </c>
      <c r="C26" s="31" t="b">
        <f>ISERROR(FIND("-",TR!B26))</f>
        <v>1</v>
      </c>
      <c r="D26" s="31">
        <f>SetIndent(E26,(TR!C26-1)*2)</f>
        <v>4</v>
      </c>
      <c r="E26" s="35" t="str">
        <f>IF(ISERROR(FIND("-",TR!B26)),TR!B26&amp;" "&amp;TR!D26,TR!D26)</f>
        <v>7.2.1 General API Support</v>
      </c>
      <c r="F26" s="31" t="str">
        <f>TR!E26</f>
        <v>Hdr</v>
      </c>
      <c r="G26" s="31" t="str">
        <f>IF(ISERROR(FIND("Adara",TR!F26)),"","Adara ")</f>
        <v xml:space="preserve">Adara </v>
      </c>
      <c r="H26" s="31" t="str">
        <f>IF(ISERROR(FIND("Copernicus",TR!F26)),"","Copernicus ")</f>
        <v xml:space="preserve">Copernicus </v>
      </c>
      <c r="I26" s="31" t="str">
        <f>IF(ISERROR(FIND("Deneb",TR!F26)),"","Deneb ")</f>
        <v xml:space="preserve">Deneb </v>
      </c>
      <c r="J26" s="37" t="str">
        <f t="shared" si="0"/>
        <v xml:space="preserve">Adara Copernicus Deneb </v>
      </c>
      <c r="K26" s="31" t="str">
        <f>IF(ISBLANK(TR!G26),"",TR!G26)</f>
        <v/>
      </c>
      <c r="L26" s="31" t="str">
        <f>IF(ISBLANK(TR!H26),"",TR!H26)</f>
        <v>FR-DSRSW-1495</v>
      </c>
      <c r="M26" s="30" t="str">
        <f>TR!J26</f>
        <v>Approved</v>
      </c>
      <c r="N26" s="31" t="str">
        <f>IF(OR(M26="Modified",M26="Cosmetic"),VLOOKUP(B26,PrevPFS!B$1:E$833,4,FALSE),"")</f>
        <v/>
      </c>
    </row>
    <row r="27" spans="1:14" ht="45" x14ac:dyDescent="0.25">
      <c r="A27" s="31" t="str">
        <f>IF(ISNONTEXT(TR!K27),"",TR!K27)</f>
        <v>TR-0-DSRIPG-1008</v>
      </c>
      <c r="B27" s="32" t="str">
        <f>TR!A27</f>
        <v>TR-DSRSW-1342</v>
      </c>
      <c r="C27" s="31" t="b">
        <f>ISERROR(FIND("-",TR!B27))</f>
        <v>0</v>
      </c>
      <c r="D27" s="31">
        <f>SetIndent(E27,(TR!C27-1)*2)</f>
        <v>6</v>
      </c>
      <c r="E27" s="38" t="str">
        <f>IF(ISERROR(FIND("-",TR!B27)),TR!B27&amp;" "&amp;TR!D27,TR!D27)</f>
        <v>The product SHALL be capable of allowing the application to select data streams by PID, MC16 address, and message type.</v>
      </c>
      <c r="F27" s="31" t="str">
        <f>TR!E27</f>
        <v>Req</v>
      </c>
      <c r="G27" s="31" t="str">
        <f>IF(ISERROR(FIND("Adara",TR!F27)),"","Adara ")</f>
        <v xml:space="preserve">Adara </v>
      </c>
      <c r="H27" s="31" t="str">
        <f>IF(ISERROR(FIND("Copernicus",TR!F27)),"","Copernicus ")</f>
        <v xml:space="preserve">Copernicus </v>
      </c>
      <c r="I27" s="31" t="str">
        <f>IF(ISERROR(FIND("Deneb",TR!F27)),"","Deneb ")</f>
        <v xml:space="preserve">Deneb </v>
      </c>
      <c r="J27" s="37" t="str">
        <f t="shared" si="0"/>
        <v xml:space="preserve">Adara Copernicus Deneb </v>
      </c>
      <c r="K27" s="31" t="str">
        <f>IF(ISBLANK(TR!G27),"",TR!G27)</f>
        <v/>
      </c>
      <c r="L27" s="31" t="str">
        <f>IF(ISBLANK(TR!H27),"",TR!H27)</f>
        <v>FR-DSRSW-1513</v>
      </c>
      <c r="M27" s="30" t="str">
        <f>TR!J27</f>
        <v>Approved</v>
      </c>
      <c r="N27" s="31" t="str">
        <f>IF(OR(M27="Modified",M27="Cosmetic"),VLOOKUP(B27,PrevPFS!B$1:E$833,4,FALSE),"")</f>
        <v/>
      </c>
    </row>
    <row r="28" spans="1:14" ht="45" x14ac:dyDescent="0.25">
      <c r="A28" s="31" t="str">
        <f>IF(ISNONTEXT(TR!K28),"",TR!K28)</f>
        <v>TR-0-DSRIPG-1008</v>
      </c>
      <c r="B28" s="32" t="str">
        <f>TR!A28</f>
        <v>TR-DSRSW-2217</v>
      </c>
      <c r="C28" s="31" t="b">
        <f>ISERROR(FIND("-",TR!B28))</f>
        <v>0</v>
      </c>
      <c r="D28" s="31">
        <f>SetIndent(E28,(TR!C28-1)*2)</f>
        <v>6</v>
      </c>
      <c r="E28" s="38" t="str">
        <f>IF(ISERROR(FIND("-",TR!B28)),TR!B28&amp;" "&amp;TR!D28,TR!D28)</f>
        <v>The product SHALL support applictaions via the ARRIS Neptune API.</v>
      </c>
      <c r="F28" s="31" t="str">
        <f>TR!E28</f>
        <v>Req</v>
      </c>
      <c r="G28" s="31" t="str">
        <f>IF(ISERROR(FIND("Adara",TR!F28)),"","Adara ")</f>
        <v xml:space="preserve">Adara </v>
      </c>
      <c r="H28" s="31" t="str">
        <f>IF(ISERROR(FIND("Copernicus",TR!F28)),"","Copernicus ")</f>
        <v xml:space="preserve">Copernicus </v>
      </c>
      <c r="I28" s="31" t="str">
        <f>IF(ISERROR(FIND("Deneb",TR!F28)),"","Deneb ")</f>
        <v xml:space="preserve">Deneb </v>
      </c>
      <c r="J28" s="37" t="str">
        <f t="shared" si="0"/>
        <v xml:space="preserve">Adara Copernicus Deneb </v>
      </c>
      <c r="K28" s="31" t="str">
        <f>IF(ISBLANK(TR!G28),"",TR!G28)</f>
        <v/>
      </c>
      <c r="L28" s="31" t="str">
        <f>IF(ISBLANK(TR!H28),"",TR!H28)</f>
        <v>FR-DSRSW-1466
FR-DSRSW-1477</v>
      </c>
      <c r="M28" s="30" t="str">
        <f>TR!J28</f>
        <v>Approved</v>
      </c>
      <c r="N28" s="31" t="str">
        <f>IF(OR(M28="Modified",M28="Cosmetic"),VLOOKUP(B28,PrevPFS!B$1:E$833,4,FALSE),"")</f>
        <v/>
      </c>
    </row>
    <row r="29" spans="1:14" ht="45" x14ac:dyDescent="0.25">
      <c r="A29" s="31" t="str">
        <f>IF(ISNONTEXT(TR!K29),"",TR!K29)</f>
        <v>TR-0-DSRIPG-1008</v>
      </c>
      <c r="B29" s="32" t="str">
        <f>TR!A29</f>
        <v>TR-DSRSW-2218</v>
      </c>
      <c r="C29" s="31" t="b">
        <f>ISERROR(FIND("-",TR!B29))</f>
        <v>0</v>
      </c>
      <c r="D29" s="31">
        <f>SetIndent(E29,(TR!C29-1)*2)</f>
        <v>6</v>
      </c>
      <c r="E29" s="38" t="str">
        <f>IF(ISERROR(FIND("-",TR!B29)),TR!B29&amp;" "&amp;TR!D29,TR!D29)</f>
        <v>The product SHALL provide an inter-process communication (IPC) mechanism to decouple the Shaw Direct HD Guide application and ARRIS Neptune middleware.</v>
      </c>
      <c r="F29" s="31" t="str">
        <f>TR!E29</f>
        <v>Req</v>
      </c>
      <c r="G29" s="31" t="str">
        <f>IF(ISERROR(FIND("Adara",TR!F29)),"","Adara ")</f>
        <v xml:space="preserve">Adara </v>
      </c>
      <c r="H29" s="31" t="str">
        <f>IF(ISERROR(FIND("Copernicus",TR!F29)),"","Copernicus ")</f>
        <v xml:space="preserve">Copernicus </v>
      </c>
      <c r="I29" s="31" t="str">
        <f>IF(ISERROR(FIND("Deneb",TR!F29)),"","Deneb ")</f>
        <v xml:space="preserve">Deneb </v>
      </c>
      <c r="J29" s="37" t="str">
        <f t="shared" si="0"/>
        <v xml:space="preserve">Adara Copernicus Deneb </v>
      </c>
      <c r="K29" s="31" t="str">
        <f>IF(ISBLANK(TR!G29),"",TR!G29)</f>
        <v/>
      </c>
      <c r="L29" s="31" t="str">
        <f>IF(ISBLANK(TR!H29),"",TR!H29)</f>
        <v>FR-DSRSW-1467</v>
      </c>
      <c r="M29" s="30" t="str">
        <f>TR!J29</f>
        <v>Approved</v>
      </c>
      <c r="N29" s="31" t="str">
        <f>IF(OR(M29="Modified",M29="Cosmetic"),VLOOKUP(B29,PrevPFS!B$1:E$833,4,FALSE),"")</f>
        <v/>
      </c>
    </row>
    <row r="30" spans="1:14" ht="45" x14ac:dyDescent="0.25">
      <c r="A30" s="31" t="str">
        <f>IF(ISNONTEXT(TR!K30),"",TR!K30)</f>
        <v/>
      </c>
      <c r="B30" s="32" t="str">
        <f>TR!A30</f>
        <v>TR-DSRSW-2160</v>
      </c>
      <c r="C30" s="31" t="b">
        <f>ISERROR(FIND("-",TR!B30))</f>
        <v>1</v>
      </c>
      <c r="D30" s="31">
        <f>SetIndent(E30,(TR!C30-1)*2)</f>
        <v>4</v>
      </c>
      <c r="E30" s="35" t="str">
        <f>IF(ISERROR(FIND("-",TR!B30)),TR!B30&amp;" "&amp;TR!D30,TR!D30)</f>
        <v>7.2.2 Guide</v>
      </c>
      <c r="F30" s="31" t="str">
        <f>TR!E30</f>
        <v>Hdr</v>
      </c>
      <c r="G30" s="31" t="str">
        <f>IF(ISERROR(FIND("Adara",TR!F30)),"","Adara ")</f>
        <v xml:space="preserve">Adara </v>
      </c>
      <c r="H30" s="31" t="str">
        <f>IF(ISERROR(FIND("Copernicus",TR!F30)),"","Copernicus ")</f>
        <v xml:space="preserve">Copernicus </v>
      </c>
      <c r="I30" s="31" t="str">
        <f>IF(ISERROR(FIND("Deneb",TR!F30)),"","Deneb ")</f>
        <v xml:space="preserve">Deneb </v>
      </c>
      <c r="J30" s="37" t="str">
        <f t="shared" si="0"/>
        <v xml:space="preserve">Adara Copernicus Deneb </v>
      </c>
      <c r="K30" s="31" t="str">
        <f>IF(ISBLANK(TR!G30),"",TR!G30)</f>
        <v/>
      </c>
      <c r="L30" s="31" t="str">
        <f>IF(ISBLANK(TR!H30),"",TR!H30)</f>
        <v>FR-DSRSW-1496</v>
      </c>
      <c r="M30" s="30" t="str">
        <f>TR!J30</f>
        <v>Approved</v>
      </c>
      <c r="N30" s="31" t="str">
        <f>IF(OR(M30="Modified",M30="Cosmetic"),VLOOKUP(B30,PrevPFS!B$1:E$833,4,FALSE),"")</f>
        <v/>
      </c>
    </row>
    <row r="31" spans="1:14" ht="45" x14ac:dyDescent="0.25">
      <c r="A31" s="31" t="str">
        <f>IF(ISNONTEXT(TR!K31),"",TR!K31)</f>
        <v/>
      </c>
      <c r="B31" s="32" t="str">
        <f>TR!A31</f>
        <v>TR-DSRSW-2155</v>
      </c>
      <c r="C31" s="31" t="b">
        <f>ISERROR(FIND("-",TR!B31))</f>
        <v>1</v>
      </c>
      <c r="D31" s="31">
        <f>SetIndent(E31,(TR!C31-1)*2)</f>
        <v>6</v>
      </c>
      <c r="E31" s="38" t="str">
        <f>IF(ISERROR(FIND("-",TR!B31)),TR!B31&amp;" "&amp;TR!D31,TR!D31)</f>
        <v>7.2.2.1 Guide App Support</v>
      </c>
      <c r="F31" s="31" t="str">
        <f>TR!E31</f>
        <v>Hdr</v>
      </c>
      <c r="G31" s="31" t="str">
        <f>IF(ISERROR(FIND("Adara",TR!F31)),"","Adara ")</f>
        <v xml:space="preserve">Adara </v>
      </c>
      <c r="H31" s="31" t="str">
        <f>IF(ISERROR(FIND("Copernicus",TR!F31)),"","Copernicus ")</f>
        <v xml:space="preserve">Copernicus </v>
      </c>
      <c r="I31" s="31" t="str">
        <f>IF(ISERROR(FIND("Deneb",TR!F31)),"","Deneb ")</f>
        <v xml:space="preserve">Deneb </v>
      </c>
      <c r="J31" s="37" t="str">
        <f t="shared" si="0"/>
        <v xml:space="preserve">Adara Copernicus Deneb </v>
      </c>
      <c r="K31" s="31" t="str">
        <f>IF(ISBLANK(TR!G31),"",TR!G31)</f>
        <v/>
      </c>
      <c r="L31" s="31" t="str">
        <f>IF(ISBLANK(TR!H31),"",TR!H31)</f>
        <v>FR-DSRSW-1496</v>
      </c>
      <c r="M31" s="30" t="str">
        <f>TR!J31</f>
        <v>Approved</v>
      </c>
      <c r="N31" s="31" t="str">
        <f>IF(OR(M31="Modified",M31="Cosmetic"),VLOOKUP(B31,PrevPFS!B$1:E$833,4,FALSE),"")</f>
        <v/>
      </c>
    </row>
    <row r="32" spans="1:14" ht="45" x14ac:dyDescent="0.25">
      <c r="A32" s="31" t="str">
        <f>IF(ISNONTEXT(TR!K32),"",TR!K32)</f>
        <v/>
      </c>
      <c r="B32" s="32" t="str">
        <f>TR!A32</f>
        <v>TR-DSRSW-2158</v>
      </c>
      <c r="C32" s="31" t="b">
        <f>ISERROR(FIND("-",TR!B32))</f>
        <v>0</v>
      </c>
      <c r="D32" s="31">
        <f>SetIndent(E32,(TR!C32-1)*2)</f>
        <v>8</v>
      </c>
      <c r="E32" s="36" t="str">
        <f>IF(ISERROR(FIND("-",TR!B32)),TR!B32&amp;" "&amp;TR!D32,TR!D32)</f>
        <v>The product SHALL support the Shaw Direct HD Guide application.</v>
      </c>
      <c r="F32" s="31" t="str">
        <f>TR!E32</f>
        <v>Req</v>
      </c>
      <c r="G32" s="31" t="str">
        <f>IF(ISERROR(FIND("Adara",TR!F32)),"","Adara ")</f>
        <v xml:space="preserve">Adara </v>
      </c>
      <c r="H32" s="31" t="str">
        <f>IF(ISERROR(FIND("Copernicus",TR!F32)),"","Copernicus ")</f>
        <v xml:space="preserve">Copernicus </v>
      </c>
      <c r="I32" s="31" t="str">
        <f>IF(ISERROR(FIND("Deneb",TR!F32)),"","Deneb ")</f>
        <v xml:space="preserve">Deneb </v>
      </c>
      <c r="J32" s="37" t="str">
        <f t="shared" si="0"/>
        <v xml:space="preserve">Adara Copernicus Deneb </v>
      </c>
      <c r="K32" s="31" t="str">
        <f>IF(ISBLANK(TR!G32),"",TR!G32)</f>
        <v/>
      </c>
      <c r="L32" s="31" t="str">
        <f>IF(ISBLANK(TR!H32),"",TR!H32)</f>
        <v>FR-DSRSW-1459</v>
      </c>
      <c r="M32" s="30" t="str">
        <f>TR!J32</f>
        <v>Approved</v>
      </c>
      <c r="N32" s="31" t="str">
        <f>IF(OR(M32="Modified",M32="Cosmetic"),VLOOKUP(B32,PrevPFS!B$1:E$833,4,FALSE),"")</f>
        <v/>
      </c>
    </row>
    <row r="33" spans="1:14" x14ac:dyDescent="0.25">
      <c r="A33" s="31" t="str">
        <f>IF(ISNONTEXT(TR!K33),"",TR!K33)</f>
        <v/>
      </c>
      <c r="B33" s="32" t="str">
        <f>TR!A33</f>
        <v>TR-DSRSW-2571</v>
      </c>
      <c r="C33" s="31" t="b">
        <f>ISERROR(FIND("-",TR!B33))</f>
        <v>0</v>
      </c>
      <c r="D33" s="31">
        <f>SetIndent(E33,(TR!C33-1)*2)</f>
        <v>8</v>
      </c>
      <c r="E33" s="36" t="str">
        <f>IF(ISERROR(FIND("-",TR!B33)),TR!B33&amp;" "&amp;TR!D33,TR!D33)</f>
        <v>The product SHALL support the Shaw Direct Deneb application.</v>
      </c>
      <c r="F33" s="31" t="str">
        <f>TR!E33</f>
        <v>Req</v>
      </c>
      <c r="G33" s="31" t="str">
        <f>IF(ISERROR(FIND("Adara",TR!F33)),"","Adara ")</f>
        <v/>
      </c>
      <c r="H33" s="31" t="str">
        <f>IF(ISERROR(FIND("Copernicus",TR!F33)),"","Copernicus ")</f>
        <v/>
      </c>
      <c r="I33" s="31" t="str">
        <f>IF(ISERROR(FIND("Deneb",TR!F33)),"","Deneb ")</f>
        <v xml:space="preserve">Deneb </v>
      </c>
      <c r="J33" s="37" t="str">
        <f t="shared" si="0"/>
        <v xml:space="preserve">Deneb </v>
      </c>
      <c r="K33" s="31" t="str">
        <f>IF(ISBLANK(TR!G33),"",TR!G33)</f>
        <v/>
      </c>
      <c r="L33" s="31" t="str">
        <f>IF(ISBLANK(TR!H33),"",TR!H33)</f>
        <v>FR-DSRSW-1544</v>
      </c>
      <c r="M33" s="30" t="str">
        <f>TR!J33</f>
        <v>Added</v>
      </c>
      <c r="N33" s="31" t="str">
        <f>IF(OR(M33="Modified",M33="Cosmetic"),VLOOKUP(B33,PrevPFS!B$1:E$833,4,FALSE),"")</f>
        <v/>
      </c>
    </row>
    <row r="34" spans="1:14" ht="45" x14ac:dyDescent="0.25">
      <c r="A34" s="31" t="str">
        <f>IF(ISNONTEXT(TR!K34),"",TR!K34)</f>
        <v>FR-SWIFS-1360</v>
      </c>
      <c r="B34" s="32" t="str">
        <f>TR!A34</f>
        <v>TR-DSRSW-1341</v>
      </c>
      <c r="C34" s="31" t="b">
        <f>ISERROR(FIND("-",TR!B34))</f>
        <v>1</v>
      </c>
      <c r="D34" s="31">
        <f>SetIndent(E34,(TR!C34-1)*2)</f>
        <v>6</v>
      </c>
      <c r="E34" s="38" t="str">
        <f>IF(ISERROR(FIND("-",TR!B34)),TR!B34&amp;" "&amp;TR!D34,TR!D34)</f>
        <v>7.2.2.2 Guide Stream Support</v>
      </c>
      <c r="F34" s="31" t="str">
        <f>TR!E34</f>
        <v>Hdr</v>
      </c>
      <c r="G34" s="31" t="str">
        <f>IF(ISERROR(FIND("Adara",TR!F34)),"","Adara ")</f>
        <v xml:space="preserve">Adara </v>
      </c>
      <c r="H34" s="31" t="str">
        <f>IF(ISERROR(FIND("Copernicus",TR!F34)),"","Copernicus ")</f>
        <v xml:space="preserve">Copernicus </v>
      </c>
      <c r="I34" s="31" t="str">
        <f>IF(ISERROR(FIND("Deneb",TR!F34)),"","Deneb ")</f>
        <v xml:space="preserve">Deneb </v>
      </c>
      <c r="J34" s="37" t="str">
        <f t="shared" si="0"/>
        <v xml:space="preserve">Adara Copernicus Deneb </v>
      </c>
      <c r="K34" s="31" t="str">
        <f>IF(ISBLANK(TR!G34),"",TR!G34)</f>
        <v/>
      </c>
      <c r="L34" s="31" t="str">
        <f>IF(ISBLANK(TR!H34),"",TR!H34)</f>
        <v>FR-DSRSW-1333</v>
      </c>
      <c r="M34" s="30" t="str">
        <f>TR!J34</f>
        <v>Approved</v>
      </c>
      <c r="N34" s="31" t="str">
        <f>IF(OR(M34="Modified",M34="Cosmetic"),VLOOKUP(B34,PrevPFS!B$1:E$833,4,FALSE),"")</f>
        <v/>
      </c>
    </row>
    <row r="35" spans="1:14" ht="45" x14ac:dyDescent="0.25">
      <c r="A35" s="31" t="str">
        <f>IF(ISNONTEXT(TR!K35),"",TR!K35)</f>
        <v>FR-SWIFS-1360</v>
      </c>
      <c r="B35" s="32" t="str">
        <f>TR!A35</f>
        <v>TR-DSRSW-2487</v>
      </c>
      <c r="C35" s="31" t="b">
        <f>ISERROR(FIND("-",TR!B35))</f>
        <v>0</v>
      </c>
      <c r="D35" s="31">
        <f>SetIndent(E35,(TR!C35-1)*2)</f>
        <v>8</v>
      </c>
      <c r="E35" s="36" t="str">
        <f>IF(ISERROR(FIND("-",TR!B35)),TR!B35&amp;" "&amp;TR!D35,TR!D35)</f>
        <v>The requirements below are for support of alternate guide data trickle streams.</v>
      </c>
      <c r="F35" s="31" t="str">
        <f>TR!E35</f>
        <v>Com</v>
      </c>
      <c r="G35" s="31" t="str">
        <f>IF(ISERROR(FIND("Adara",TR!F35)),"","Adara ")</f>
        <v xml:space="preserve">Adara </v>
      </c>
      <c r="H35" s="31" t="str">
        <f>IF(ISERROR(FIND("Copernicus",TR!F35)),"","Copernicus ")</f>
        <v xml:space="preserve">Copernicus </v>
      </c>
      <c r="I35" s="31" t="str">
        <f>IF(ISERROR(FIND("Deneb",TR!F35)),"","Deneb ")</f>
        <v xml:space="preserve">Deneb </v>
      </c>
      <c r="J35" s="37" t="str">
        <f t="shared" si="0"/>
        <v xml:space="preserve">Adara Copernicus Deneb </v>
      </c>
      <c r="K35" s="31" t="str">
        <f>IF(ISBLANK(TR!G35),"",TR!G35)</f>
        <v/>
      </c>
      <c r="L35" s="31" t="str">
        <f>IF(ISBLANK(TR!H35),"",TR!H35)</f>
        <v/>
      </c>
      <c r="M35" s="30" t="str">
        <f>TR!J35</f>
        <v>Approved</v>
      </c>
      <c r="N35" s="31" t="str">
        <f>IF(OR(M35="Modified",M35="Cosmetic"),VLOOKUP(B35,PrevPFS!B$1:E$833,4,FALSE),"")</f>
        <v/>
      </c>
    </row>
    <row r="36" spans="1:14" ht="45" x14ac:dyDescent="0.25">
      <c r="A36" s="31" t="str">
        <f>IF(ISNONTEXT(TR!K36),"",TR!K36)</f>
        <v>TR-0-DSRIPG-1011</v>
      </c>
      <c r="B36" s="32" t="str">
        <f>TR!A36</f>
        <v>TR-DSRSW-1344</v>
      </c>
      <c r="C36" s="31" t="b">
        <f>ISERROR(FIND("-",TR!B36))</f>
        <v>0</v>
      </c>
      <c r="D36" s="31">
        <f>SetIndent(E36,(TR!C36-1)*2)</f>
        <v>8</v>
      </c>
      <c r="E36" s="36" t="str">
        <f>IF(ISERROR(FIND("-",TR!B36)),TR!B36&amp;" "&amp;TR!D36,TR!D36)</f>
        <v>The product SHALL be capable of receiving Third Party Messages, Message Type = 0xE6, and forwarding those messages to the guide application.</v>
      </c>
      <c r="F36" s="31" t="str">
        <f>TR!E36</f>
        <v>Req</v>
      </c>
      <c r="G36" s="31" t="str">
        <f>IF(ISERROR(FIND("Adara",TR!F36)),"","Adara ")</f>
        <v xml:space="preserve">Adara </v>
      </c>
      <c r="H36" s="31" t="str">
        <f>IF(ISERROR(FIND("Copernicus",TR!F36)),"","Copernicus ")</f>
        <v xml:space="preserve">Copernicus </v>
      </c>
      <c r="I36" s="31" t="str">
        <f>IF(ISERROR(FIND("Deneb",TR!F36)),"","Deneb ")</f>
        <v xml:space="preserve">Deneb </v>
      </c>
      <c r="J36" s="37" t="str">
        <f t="shared" si="0"/>
        <v xml:space="preserve">Adara Copernicus Deneb </v>
      </c>
      <c r="K36" s="31" t="str">
        <f>IF(ISBLANK(TR!G36),"",TR!G36)</f>
        <v/>
      </c>
      <c r="L36" s="31" t="str">
        <f>IF(ISBLANK(TR!H36),"",TR!H36)</f>
        <v>FR-DSRSW-1333</v>
      </c>
      <c r="M36" s="30" t="str">
        <f>TR!J36</f>
        <v>Approved</v>
      </c>
      <c r="N36" s="31" t="str">
        <f>IF(OR(M36="Modified",M36="Cosmetic"),VLOOKUP(B36,PrevPFS!B$1:E$833,4,FALSE),"")</f>
        <v/>
      </c>
    </row>
    <row r="37" spans="1:14" ht="45" x14ac:dyDescent="0.25">
      <c r="A37" s="31" t="str">
        <f>IF(ISNONTEXT(TR!K37),"",TR!K37)</f>
        <v>FR-SWIFS-1503</v>
      </c>
      <c r="B37" s="32" t="str">
        <f>TR!A37</f>
        <v>TR-DSRSW-1349</v>
      </c>
      <c r="C37" s="31" t="b">
        <f>ISERROR(FIND("-",TR!B37))</f>
        <v>1</v>
      </c>
      <c r="D37" s="31">
        <f>SetIndent(E37,(TR!C37-1)*2)</f>
        <v>4</v>
      </c>
      <c r="E37" s="35" t="str">
        <f>IF(ISERROR(FIND("-",TR!B37)),TR!B37&amp;" "&amp;TR!D37,TR!D37)</f>
        <v>7.2.3 EAS</v>
      </c>
      <c r="F37" s="31" t="str">
        <f>TR!E37</f>
        <v>Hdr</v>
      </c>
      <c r="G37" s="31" t="str">
        <f>IF(ISERROR(FIND("Adara",TR!F37)),"","Adara ")</f>
        <v xml:space="preserve">Adara </v>
      </c>
      <c r="H37" s="31" t="str">
        <f>IF(ISERROR(FIND("Copernicus",TR!F37)),"","Copernicus ")</f>
        <v xml:space="preserve">Copernicus </v>
      </c>
      <c r="I37" s="31" t="str">
        <f>IF(ISERROR(FIND("Deneb",TR!F37)),"","Deneb ")</f>
        <v xml:space="preserve">Deneb </v>
      </c>
      <c r="J37" s="37" t="str">
        <f t="shared" si="0"/>
        <v xml:space="preserve">Adara Copernicus Deneb </v>
      </c>
      <c r="K37" s="31" t="str">
        <f>IF(ISBLANK(TR!G37),"",TR!G37)</f>
        <v/>
      </c>
      <c r="L37" s="31" t="str">
        <f>IF(ISBLANK(TR!H37),"",TR!H37)</f>
        <v>FR-DSRSW-1335</v>
      </c>
      <c r="M37" s="30" t="str">
        <f>TR!J37</f>
        <v>Approved</v>
      </c>
      <c r="N37" s="31" t="str">
        <f>IF(OR(M37="Modified",M37="Cosmetic"),VLOOKUP(B37,PrevPFS!B$1:E$833,4,FALSE),"")</f>
        <v/>
      </c>
    </row>
    <row r="38" spans="1:14" ht="45" x14ac:dyDescent="0.25">
      <c r="A38" s="31" t="str">
        <f>IF(ISNONTEXT(TR!K38),"",TR!K38)</f>
        <v>TR-0-DSRAPI-FPR-1002</v>
      </c>
      <c r="B38" s="32" t="str">
        <f>TR!A38</f>
        <v>TR-DSRSW-1350</v>
      </c>
      <c r="C38" s="31" t="b">
        <f>ISERROR(FIND("-",TR!B38))</f>
        <v>0</v>
      </c>
      <c r="D38" s="31">
        <f>SetIndent(E38,(TR!C38-1)*2)</f>
        <v>6</v>
      </c>
      <c r="E38" s="38" t="str">
        <f>IF(ISERROR(FIND("-",TR!B38)),TR!B38&amp;" "&amp;TR!D38,TR!D38)</f>
        <v xml:space="preserve">The product SHALL provide an API that allows software applications to ascertain the three-coordinate geosynchronous location of the product, as given in the category rekey message [DCII ACP-1]. </v>
      </c>
      <c r="F38" s="31" t="str">
        <f>TR!E38</f>
        <v>Req</v>
      </c>
      <c r="G38" s="31" t="str">
        <f>IF(ISERROR(FIND("Adara",TR!F38)),"","Adara ")</f>
        <v xml:space="preserve">Adara </v>
      </c>
      <c r="H38" s="31" t="str">
        <f>IF(ISERROR(FIND("Copernicus",TR!F38)),"","Copernicus ")</f>
        <v xml:space="preserve">Copernicus </v>
      </c>
      <c r="I38" s="31" t="str">
        <f>IF(ISERROR(FIND("Deneb",TR!F38)),"","Deneb ")</f>
        <v xml:space="preserve">Deneb </v>
      </c>
      <c r="J38" s="37" t="str">
        <f t="shared" si="0"/>
        <v xml:space="preserve">Adara Copernicus Deneb </v>
      </c>
      <c r="K38" s="31" t="str">
        <f>IF(ISBLANK(TR!G38),"",TR!G38)</f>
        <v/>
      </c>
      <c r="L38" s="31" t="str">
        <f>IF(ISBLANK(TR!H38),"",TR!H38)</f>
        <v>FR-DSRSW-1335</v>
      </c>
      <c r="M38" s="30" t="str">
        <f>TR!J38</f>
        <v>Approved</v>
      </c>
      <c r="N38" s="31" t="str">
        <f>IF(OR(M38="Modified",M38="Cosmetic"),VLOOKUP(B38,PrevPFS!B$1:E$833,4,FALSE),"")</f>
        <v/>
      </c>
    </row>
    <row r="39" spans="1:14" ht="45" x14ac:dyDescent="0.25">
      <c r="A39" s="31" t="str">
        <f>IF(ISNONTEXT(TR!K39),"",TR!K39)</f>
        <v>FR-SWAPP-1217</v>
      </c>
      <c r="B39" s="32" t="str">
        <f>TR!A39</f>
        <v>TR-DSRSW-2124</v>
      </c>
      <c r="C39" s="31" t="b">
        <f>ISERROR(FIND("-",TR!B39))</f>
        <v>1</v>
      </c>
      <c r="D39" s="31">
        <f>SetIndent(E39,(TR!C39-1)*2)</f>
        <v>4</v>
      </c>
      <c r="E39" s="35" t="str">
        <f>IF(ISERROR(FIND("-",TR!B39)),TR!B39&amp;" "&amp;TR!D39,TR!D39)</f>
        <v>7.2.4 Electronic Personal Messages (EPMS)
a.k.a., "Mail"</v>
      </c>
      <c r="F39" s="31" t="str">
        <f>TR!E39</f>
        <v>Hdr</v>
      </c>
      <c r="G39" s="31" t="str">
        <f>IF(ISERROR(FIND("Adara",TR!F39)),"","Adara ")</f>
        <v xml:space="preserve">Adara </v>
      </c>
      <c r="H39" s="31" t="str">
        <f>IF(ISERROR(FIND("Copernicus",TR!F39)),"","Copernicus ")</f>
        <v xml:space="preserve">Copernicus </v>
      </c>
      <c r="I39" s="31" t="str">
        <f>IF(ISERROR(FIND("Deneb",TR!F39)),"","Deneb ")</f>
        <v xml:space="preserve">Deneb </v>
      </c>
      <c r="J39" s="37" t="str">
        <f t="shared" si="0"/>
        <v xml:space="preserve">Adara Copernicus Deneb </v>
      </c>
      <c r="K39" s="31" t="str">
        <f>IF(ISBLANK(TR!G39),"",TR!G39)</f>
        <v/>
      </c>
      <c r="L39" s="31" t="str">
        <f>IF(ISBLANK(TR!H39),"",TR!H39)</f>
        <v>FR-DSRSW-1451</v>
      </c>
      <c r="M39" s="30" t="str">
        <f>TR!J39</f>
        <v>Approved</v>
      </c>
      <c r="N39" s="31" t="str">
        <f>IF(OR(M39="Modified",M39="Cosmetic"),VLOOKUP(B39,PrevPFS!B$1:E$833,4,FALSE),"")</f>
        <v/>
      </c>
    </row>
    <row r="40" spans="1:14" ht="45" x14ac:dyDescent="0.25">
      <c r="A40" s="31" t="str">
        <f>IF(ISNONTEXT(TR!K40),"",TR!K40)</f>
        <v/>
      </c>
      <c r="B40" s="32" t="str">
        <f>TR!A40</f>
        <v>TR-DSRSW-2242</v>
      </c>
      <c r="C40" s="31" t="b">
        <f>ISERROR(FIND("-",TR!B40))</f>
        <v>0</v>
      </c>
      <c r="D40" s="31">
        <f>SetIndent(E40,(TR!C40-1)*2)</f>
        <v>6</v>
      </c>
      <c r="E40" s="38" t="str">
        <f>IF(ISERROR(FIND("-",TR!B40)),TR!B40&amp;" "&amp;TR!D40,TR!D40)</f>
        <v>NOTE:  The requirements in this section are for Test only.  The Shaw app implements EPM handling.</v>
      </c>
      <c r="F40" s="31" t="str">
        <f>TR!E40</f>
        <v>Com</v>
      </c>
      <c r="G40" s="31" t="str">
        <f>IF(ISERROR(FIND("Adara",TR!F40)),"","Adara ")</f>
        <v xml:space="preserve">Adara </v>
      </c>
      <c r="H40" s="31" t="str">
        <f>IF(ISERROR(FIND("Copernicus",TR!F40)),"","Copernicus ")</f>
        <v xml:space="preserve">Copernicus </v>
      </c>
      <c r="I40" s="31" t="str">
        <f>IF(ISERROR(FIND("Deneb",TR!F40)),"","Deneb ")</f>
        <v xml:space="preserve">Deneb </v>
      </c>
      <c r="J40" s="37" t="str">
        <f t="shared" si="0"/>
        <v xml:space="preserve">Adara Copernicus Deneb </v>
      </c>
      <c r="K40" s="31" t="str">
        <f>IF(ISBLANK(TR!G40),"",TR!G40)</f>
        <v/>
      </c>
      <c r="L40" s="31" t="str">
        <f>IF(ISBLANK(TR!H40),"",TR!H40)</f>
        <v>FR-DSRSW-1451</v>
      </c>
      <c r="M40" s="30" t="str">
        <f>TR!J40</f>
        <v>Approved</v>
      </c>
      <c r="N40" s="31" t="str">
        <f>IF(OR(M40="Modified",M40="Cosmetic"),VLOOKUP(B40,PrevPFS!B$1:E$833,4,FALSE),"")</f>
        <v/>
      </c>
    </row>
    <row r="41" spans="1:14" ht="45" x14ac:dyDescent="0.25">
      <c r="A41" s="31" t="str">
        <f>IF(ISNONTEXT(TR!K41),"",TR!K41)</f>
        <v>TR-0-EPM-FPR-1001</v>
      </c>
      <c r="B41" s="32" t="str">
        <f>TR!A41</f>
        <v>TR-DSRSW-2125</v>
      </c>
      <c r="C41" s="31" t="b">
        <f>ISERROR(FIND("-",TR!B41))</f>
        <v>0</v>
      </c>
      <c r="D41" s="31">
        <f>SetIndent(E41,(TR!C41-1)*2)</f>
        <v>6</v>
      </c>
      <c r="E41" s="38" t="str">
        <f>IF(ISERROR(FIND("-",TR!B41)),TR!B41&amp;" "&amp;TR!D41,TR!D41)</f>
        <v xml:space="preserve">The Product SHALL process Unit addressed EPMs (Electronic Personal Messages). </v>
      </c>
      <c r="F41" s="31" t="str">
        <f>TR!E41</f>
        <v>Req</v>
      </c>
      <c r="G41" s="31" t="str">
        <f>IF(ISERROR(FIND("Adara",TR!F41)),"","Adara ")</f>
        <v xml:space="preserve">Adara </v>
      </c>
      <c r="H41" s="31" t="str">
        <f>IF(ISERROR(FIND("Copernicus",TR!F41)),"","Copernicus ")</f>
        <v xml:space="preserve">Copernicus </v>
      </c>
      <c r="I41" s="31" t="str">
        <f>IF(ISERROR(FIND("Deneb",TR!F41)),"","Deneb ")</f>
        <v xml:space="preserve">Deneb </v>
      </c>
      <c r="J41" s="37" t="str">
        <f t="shared" si="0"/>
        <v xml:space="preserve">Adara Copernicus Deneb </v>
      </c>
      <c r="K41" s="31" t="str">
        <f>IF(ISBLANK(TR!G41),"",TR!G41)</f>
        <v/>
      </c>
      <c r="L41" s="31" t="str">
        <f>IF(ISBLANK(TR!H41),"",TR!H41)</f>
        <v>FR-DSRSW-1451</v>
      </c>
      <c r="M41" s="30" t="str">
        <f>TR!J41</f>
        <v>Approved</v>
      </c>
      <c r="N41" s="31" t="str">
        <f>IF(OR(M41="Modified",M41="Cosmetic"),VLOOKUP(B41,PrevPFS!B$1:E$833,4,FALSE),"")</f>
        <v/>
      </c>
    </row>
    <row r="42" spans="1:14" ht="45" x14ac:dyDescent="0.25">
      <c r="A42" s="31" t="str">
        <f>IF(ISNONTEXT(TR!K42),"",TR!K42)</f>
        <v>TR-0-EPM-FPR-1002</v>
      </c>
      <c r="B42" s="32" t="str">
        <f>TR!A42</f>
        <v>TR-DSRSW-2126</v>
      </c>
      <c r="C42" s="31" t="b">
        <f>ISERROR(FIND("-",TR!B42))</f>
        <v>0</v>
      </c>
      <c r="D42" s="31">
        <f>SetIndent(E42,(TR!C42-1)*2)</f>
        <v>6</v>
      </c>
      <c r="E42" s="38" t="str">
        <f>IF(ISERROR(FIND("-",TR!B42)),TR!B42&amp;" "&amp;TR!D42,TR!D42)</f>
        <v>The Product SHALL display "immediate display"EPMs until either the OSD timeout is exceeded, or an item with higher OSD precedence is displayed.</v>
      </c>
      <c r="F42" s="31" t="str">
        <f>TR!E42</f>
        <v>Req</v>
      </c>
      <c r="G42" s="31" t="str">
        <f>IF(ISERROR(FIND("Adara",TR!F42)),"","Adara ")</f>
        <v xml:space="preserve">Adara </v>
      </c>
      <c r="H42" s="31" t="str">
        <f>IF(ISERROR(FIND("Copernicus",TR!F42)),"","Copernicus ")</f>
        <v xml:space="preserve">Copernicus </v>
      </c>
      <c r="I42" s="31" t="str">
        <f>IF(ISERROR(FIND("Deneb",TR!F42)),"","Deneb ")</f>
        <v xml:space="preserve">Deneb </v>
      </c>
      <c r="J42" s="37" t="str">
        <f t="shared" si="0"/>
        <v xml:space="preserve">Adara Copernicus Deneb </v>
      </c>
      <c r="K42" s="31" t="str">
        <f>IF(ISBLANK(TR!G42),"",TR!G42)</f>
        <v/>
      </c>
      <c r="L42" s="31" t="str">
        <f>IF(ISBLANK(TR!H42),"",TR!H42)</f>
        <v>FR-DSRSW-1451</v>
      </c>
      <c r="M42" s="30" t="str">
        <f>TR!J42</f>
        <v>Approved</v>
      </c>
      <c r="N42" s="31" t="str">
        <f>IF(OR(M42="Modified",M42="Cosmetic"),VLOOKUP(B42,PrevPFS!B$1:E$833,4,FALSE),"")</f>
        <v/>
      </c>
    </row>
    <row r="43" spans="1:14" ht="45" x14ac:dyDescent="0.25">
      <c r="A43" s="31" t="str">
        <f>IF(ISNONTEXT(TR!K43),"",TR!K43)</f>
        <v>TR-0-EPM-FPR-1003</v>
      </c>
      <c r="B43" s="32" t="str">
        <f>TR!A43</f>
        <v>TR-DSRSW-2127</v>
      </c>
      <c r="C43" s="31" t="b">
        <f>ISERROR(FIND("-",TR!B43))</f>
        <v>0</v>
      </c>
      <c r="D43" s="31">
        <f>SetIndent(E43,(TR!C43-1)*2)</f>
        <v>6</v>
      </c>
      <c r="E43" s="38" t="str">
        <f>IF(ISERROR(FIND("-",TR!B43)),TR!B43&amp;" "&amp;TR!D43,TR!D43)</f>
        <v xml:space="preserve">The Product SHALL display "non-immediate display" EPMs when the user selects the message within the mail application. </v>
      </c>
      <c r="F43" s="31" t="str">
        <f>TR!E43</f>
        <v>Req</v>
      </c>
      <c r="G43" s="31" t="str">
        <f>IF(ISERROR(FIND("Adara",TR!F43)),"","Adara ")</f>
        <v xml:space="preserve">Adara </v>
      </c>
      <c r="H43" s="31" t="str">
        <f>IF(ISERROR(FIND("Copernicus",TR!F43)),"","Copernicus ")</f>
        <v xml:space="preserve">Copernicus </v>
      </c>
      <c r="I43" s="31" t="str">
        <f>IF(ISERROR(FIND("Deneb",TR!F43)),"","Deneb ")</f>
        <v xml:space="preserve">Deneb </v>
      </c>
      <c r="J43" s="37" t="str">
        <f t="shared" si="0"/>
        <v xml:space="preserve">Adara Copernicus Deneb </v>
      </c>
      <c r="K43" s="31" t="str">
        <f>IF(ISBLANK(TR!G43),"",TR!G43)</f>
        <v/>
      </c>
      <c r="L43" s="31" t="str">
        <f>IF(ISBLANK(TR!H43),"",TR!H43)</f>
        <v>FR-DSRSW-1451</v>
      </c>
      <c r="M43" s="30" t="str">
        <f>TR!J43</f>
        <v>Approved</v>
      </c>
      <c r="N43" s="31" t="str">
        <f>IF(OR(M43="Modified",M43="Cosmetic"),VLOOKUP(B43,PrevPFS!B$1:E$833,4,FALSE),"")</f>
        <v/>
      </c>
    </row>
    <row r="44" spans="1:14" ht="45" x14ac:dyDescent="0.25">
      <c r="A44" s="31" t="str">
        <f>IF(ISNONTEXT(TR!K44),"",TR!K44)</f>
        <v>TR-0-EPM-FPR-1004</v>
      </c>
      <c r="B44" s="32" t="str">
        <f>TR!A44</f>
        <v>TR-DSRSW-2128</v>
      </c>
      <c r="C44" s="31" t="b">
        <f>ISERROR(FIND("-",TR!B44))</f>
        <v>0</v>
      </c>
      <c r="D44" s="31">
        <f>SetIndent(E44,(TR!C44-1)*2)</f>
        <v>6</v>
      </c>
      <c r="E44" s="38" t="str">
        <f>IF(ISERROR(FIND("-",TR!B44)),TR!B44&amp;" "&amp;TR!D44,TR!D44)</f>
        <v xml:space="preserve">The Product SHALL display "store till read" EPMs when the user selects the message within the mail application. </v>
      </c>
      <c r="F44" s="31" t="str">
        <f>TR!E44</f>
        <v>Req</v>
      </c>
      <c r="G44" s="31" t="str">
        <f>IF(ISERROR(FIND("Adara",TR!F44)),"","Adara ")</f>
        <v xml:space="preserve">Adara </v>
      </c>
      <c r="H44" s="31" t="str">
        <f>IF(ISERROR(FIND("Copernicus",TR!F44)),"","Copernicus ")</f>
        <v xml:space="preserve">Copernicus </v>
      </c>
      <c r="I44" s="31" t="str">
        <f>IF(ISERROR(FIND("Deneb",TR!F44)),"","Deneb ")</f>
        <v xml:space="preserve">Deneb </v>
      </c>
      <c r="J44" s="37" t="str">
        <f t="shared" si="0"/>
        <v xml:space="preserve">Adara Copernicus Deneb </v>
      </c>
      <c r="K44" s="31" t="str">
        <f>IF(ISBLANK(TR!G44),"",TR!G44)</f>
        <v/>
      </c>
      <c r="L44" s="31" t="str">
        <f>IF(ISBLANK(TR!H44),"",TR!H44)</f>
        <v>FR-DSRSW-1451</v>
      </c>
      <c r="M44" s="30" t="str">
        <f>TR!J44</f>
        <v>Approved</v>
      </c>
      <c r="N44" s="31" t="str">
        <f>IF(OR(M44="Modified",M44="Cosmetic"),VLOOKUP(B44,PrevPFS!B$1:E$833,4,FALSE),"")</f>
        <v/>
      </c>
    </row>
    <row r="45" spans="1:14" ht="45" x14ac:dyDescent="0.25">
      <c r="A45" s="31" t="str">
        <f>IF(ISNONTEXT(TR!K45),"",TR!K45)</f>
        <v>TR-0-EPM-FPR-1005</v>
      </c>
      <c r="B45" s="32" t="str">
        <f>TR!A45</f>
        <v>TR-DSRSW-2129</v>
      </c>
      <c r="C45" s="31" t="b">
        <f>ISERROR(FIND("-",TR!B45))</f>
        <v>0</v>
      </c>
      <c r="D45" s="31">
        <f>SetIndent(E45,(TR!C45-1)*2)</f>
        <v>6</v>
      </c>
      <c r="E45" s="38" t="str">
        <f>IF(ISERROR(FIND("-",TR!B45)),TR!B45&amp;" "&amp;TR!D45,TR!D45)</f>
        <v xml:space="preserve">The Product SHALL retain EPMs through an AC Power Reset. </v>
      </c>
      <c r="F45" s="31" t="str">
        <f>TR!E45</f>
        <v>Req</v>
      </c>
      <c r="G45" s="31" t="str">
        <f>IF(ISERROR(FIND("Adara",TR!F45)),"","Adara ")</f>
        <v xml:space="preserve">Adara </v>
      </c>
      <c r="H45" s="31" t="str">
        <f>IF(ISERROR(FIND("Copernicus",TR!F45)),"","Copernicus ")</f>
        <v xml:space="preserve">Copernicus </v>
      </c>
      <c r="I45" s="31" t="str">
        <f>IF(ISERROR(FIND("Deneb",TR!F45)),"","Deneb ")</f>
        <v xml:space="preserve">Deneb </v>
      </c>
      <c r="J45" s="37" t="str">
        <f t="shared" si="0"/>
        <v xml:space="preserve">Adara Copernicus Deneb </v>
      </c>
      <c r="K45" s="31" t="str">
        <f>IF(ISBLANK(TR!G45),"",TR!G45)</f>
        <v/>
      </c>
      <c r="L45" s="31" t="str">
        <f>IF(ISBLANK(TR!H45),"",TR!H45)</f>
        <v>FR-DSRSW-1451</v>
      </c>
      <c r="M45" s="30" t="str">
        <f>TR!J45</f>
        <v>Approved</v>
      </c>
      <c r="N45" s="31" t="str">
        <f>IF(OR(M45="Modified",M45="Cosmetic"),VLOOKUP(B45,PrevPFS!B$1:E$833,4,FALSE),"")</f>
        <v/>
      </c>
    </row>
    <row r="46" spans="1:14" ht="45" x14ac:dyDescent="0.25">
      <c r="A46" s="31" t="str">
        <f>IF(ISNONTEXT(TR!K46),"",TR!K46)</f>
        <v>TR-0-EPM-FPR-1006</v>
      </c>
      <c r="B46" s="32" t="str">
        <f>TR!A46</f>
        <v>TR-DSRSW-2130</v>
      </c>
      <c r="C46" s="31" t="b">
        <f>ISERROR(FIND("-",TR!B46))</f>
        <v>0</v>
      </c>
      <c r="D46" s="31">
        <f>SetIndent(E46,(TR!C46-1)*2)</f>
        <v>6</v>
      </c>
      <c r="E46" s="38" t="str">
        <f>IF(ISERROR(FIND("-",TR!B46)),TR!B46&amp;" "&amp;TR!D46,TR!D46)</f>
        <v>The Product SHALL process EPMs while in stand-by.</v>
      </c>
      <c r="F46" s="31" t="str">
        <f>TR!E46</f>
        <v>Req</v>
      </c>
      <c r="G46" s="31" t="str">
        <f>IF(ISERROR(FIND("Adara",TR!F46)),"","Adara ")</f>
        <v xml:space="preserve">Adara </v>
      </c>
      <c r="H46" s="31" t="str">
        <f>IF(ISERROR(FIND("Copernicus",TR!F46)),"","Copernicus ")</f>
        <v xml:space="preserve">Copernicus </v>
      </c>
      <c r="I46" s="31" t="str">
        <f>IF(ISERROR(FIND("Deneb",TR!F46)),"","Deneb ")</f>
        <v xml:space="preserve">Deneb </v>
      </c>
      <c r="J46" s="37" t="str">
        <f t="shared" si="0"/>
        <v xml:space="preserve">Adara Copernicus Deneb </v>
      </c>
      <c r="K46" s="31" t="str">
        <f>IF(ISBLANK(TR!G46),"",TR!G46)</f>
        <v/>
      </c>
      <c r="L46" s="31" t="str">
        <f>IF(ISBLANK(TR!H46),"",TR!H46)</f>
        <v>FR-DSRSW-1451</v>
      </c>
      <c r="M46" s="30" t="str">
        <f>TR!J46</f>
        <v>Approved</v>
      </c>
      <c r="N46" s="31" t="str">
        <f>IF(OR(M46="Modified",M46="Cosmetic"),VLOOKUP(B46,PrevPFS!B$1:E$833,4,FALSE),"")</f>
        <v/>
      </c>
    </row>
    <row r="47" spans="1:14" ht="45" x14ac:dyDescent="0.25">
      <c r="A47" s="31" t="str">
        <f>IF(ISNONTEXT(TR!K47),"",TR!K47)</f>
        <v>TR-0-EPM-FPR-1007</v>
      </c>
      <c r="B47" s="32" t="str">
        <f>TR!A47</f>
        <v>TR-DSRSW-2131</v>
      </c>
      <c r="C47" s="31" t="b">
        <f>ISERROR(FIND("-",TR!B47))</f>
        <v>0</v>
      </c>
      <c r="D47" s="31">
        <f>SetIndent(E47,(TR!C47-1)*2)</f>
        <v>6</v>
      </c>
      <c r="E47" s="38" t="str">
        <f>IF(ISERROR(FIND("-",TR!B47)),TR!B47&amp;" "&amp;TR!D47,TR!D47)</f>
        <v>The Product SHALL discard EPMs during a Factory Reset.</v>
      </c>
      <c r="F47" s="31" t="str">
        <f>TR!E47</f>
        <v>Req</v>
      </c>
      <c r="G47" s="31" t="str">
        <f>IF(ISERROR(FIND("Adara",TR!F47)),"","Adara ")</f>
        <v xml:space="preserve">Adara </v>
      </c>
      <c r="H47" s="31" t="str">
        <f>IF(ISERROR(FIND("Copernicus",TR!F47)),"","Copernicus ")</f>
        <v xml:space="preserve">Copernicus </v>
      </c>
      <c r="I47" s="31" t="str">
        <f>IF(ISERROR(FIND("Deneb",TR!F47)),"","Deneb ")</f>
        <v xml:space="preserve">Deneb </v>
      </c>
      <c r="J47" s="37" t="str">
        <f t="shared" si="0"/>
        <v xml:space="preserve">Adara Copernicus Deneb </v>
      </c>
      <c r="K47" s="31" t="str">
        <f>IF(ISBLANK(TR!G47),"",TR!G47)</f>
        <v/>
      </c>
      <c r="L47" s="31" t="str">
        <f>IF(ISBLANK(TR!H47),"",TR!H47)</f>
        <v>FR-DSRSW-1451</v>
      </c>
      <c r="M47" s="30" t="str">
        <f>TR!J47</f>
        <v>Approved</v>
      </c>
      <c r="N47" s="31" t="str">
        <f>IF(OR(M47="Modified",M47="Cosmetic"),VLOOKUP(B47,PrevPFS!B$1:E$833,4,FALSE),"")</f>
        <v/>
      </c>
    </row>
    <row r="48" spans="1:14" ht="45" x14ac:dyDescent="0.25">
      <c r="A48" s="31" t="str">
        <f>IF(ISNONTEXT(TR!K48),"",TR!K48)</f>
        <v>TR-0-EPM-FPR-1008</v>
      </c>
      <c r="B48" s="32" t="str">
        <f>TR!A48</f>
        <v>TR-DSRSW-2132</v>
      </c>
      <c r="C48" s="31" t="b">
        <f>ISERROR(FIND("-",TR!B48))</f>
        <v>0</v>
      </c>
      <c r="D48" s="31">
        <f>SetIndent(E48,(TR!C48-1)*2)</f>
        <v>6</v>
      </c>
      <c r="E48" s="38" t="str">
        <f>IF(ISERROR(FIND("-",TR!B48)),TR!B48&amp;" "&amp;TR!D48,TR!D48)</f>
        <v xml:space="preserve">The Poduct SHALL, after the IRD displays an EPM, represent that EPM as a "read" message (that is, "not new"), including after a power cycle. </v>
      </c>
      <c r="F48" s="31" t="str">
        <f>TR!E48</f>
        <v>Req</v>
      </c>
      <c r="G48" s="31" t="str">
        <f>IF(ISERROR(FIND("Adara",TR!F48)),"","Adara ")</f>
        <v xml:space="preserve">Adara </v>
      </c>
      <c r="H48" s="31" t="str">
        <f>IF(ISERROR(FIND("Copernicus",TR!F48)),"","Copernicus ")</f>
        <v xml:space="preserve">Copernicus </v>
      </c>
      <c r="I48" s="31" t="str">
        <f>IF(ISERROR(FIND("Deneb",TR!F48)),"","Deneb ")</f>
        <v xml:space="preserve">Deneb </v>
      </c>
      <c r="J48" s="37" t="str">
        <f t="shared" si="0"/>
        <v xml:space="preserve">Adara Copernicus Deneb </v>
      </c>
      <c r="K48" s="31" t="str">
        <f>IF(ISBLANK(TR!G48),"",TR!G48)</f>
        <v/>
      </c>
      <c r="L48" s="31" t="str">
        <f>IF(ISBLANK(TR!H48),"",TR!H48)</f>
        <v>FR-DSRSW-1451</v>
      </c>
      <c r="M48" s="30" t="str">
        <f>TR!J48</f>
        <v>Approved</v>
      </c>
      <c r="N48" s="31" t="str">
        <f>IF(OR(M48="Modified",M48="Cosmetic"),VLOOKUP(B48,PrevPFS!B$1:E$833,4,FALSE),"")</f>
        <v/>
      </c>
    </row>
    <row r="49" spans="1:14" ht="45" x14ac:dyDescent="0.25">
      <c r="A49" s="31" t="str">
        <f>IF(ISNONTEXT(TR!K49),"",TR!K49)</f>
        <v>FR-SWAPP-1219</v>
      </c>
      <c r="B49" s="32" t="str">
        <f>TR!A49</f>
        <v>TR-DSRSW-2133</v>
      </c>
      <c r="C49" s="31" t="b">
        <f>ISERROR(FIND("-",TR!B49))</f>
        <v>1</v>
      </c>
      <c r="D49" s="31">
        <f>SetIndent(E49,(TR!C49-1)*2)</f>
        <v>4</v>
      </c>
      <c r="E49" s="35" t="str">
        <f>IF(ISERROR(FIND("-",TR!B49)),TR!B49&amp;" "&amp;TR!D49,TR!D49)</f>
        <v>7.2.5 Non-Slotted Text Messages
a.k.a., "TAMs" (Tier-Addressed Messages)</v>
      </c>
      <c r="F49" s="31" t="str">
        <f>TR!E49</f>
        <v>Hdr</v>
      </c>
      <c r="G49" s="31" t="str">
        <f>IF(ISERROR(FIND("Adara",TR!F49)),"","Adara ")</f>
        <v xml:space="preserve">Adara </v>
      </c>
      <c r="H49" s="31" t="str">
        <f>IF(ISERROR(FIND("Copernicus",TR!F49)),"","Copernicus ")</f>
        <v xml:space="preserve">Copernicus </v>
      </c>
      <c r="I49" s="31" t="str">
        <f>IF(ISERROR(FIND("Deneb",TR!F49)),"","Deneb ")</f>
        <v xml:space="preserve">Deneb </v>
      </c>
      <c r="J49" s="37" t="str">
        <f t="shared" si="0"/>
        <v xml:space="preserve">Adara Copernicus Deneb </v>
      </c>
      <c r="K49" s="31" t="str">
        <f>IF(ISBLANK(TR!G49),"",TR!G49)</f>
        <v/>
      </c>
      <c r="L49" s="31" t="str">
        <f>IF(ISBLANK(TR!H49),"",TR!H49)</f>
        <v>FR-DSRSW-1511</v>
      </c>
      <c r="M49" s="30" t="str">
        <f>TR!J49</f>
        <v>Approved</v>
      </c>
      <c r="N49" s="31" t="str">
        <f>IF(OR(M49="Modified",M49="Cosmetic"),VLOOKUP(B49,PrevPFS!B$1:E$833,4,FALSE),"")</f>
        <v/>
      </c>
    </row>
    <row r="50" spans="1:14" ht="45" x14ac:dyDescent="0.25">
      <c r="A50" s="31" t="str">
        <f>IF(ISNONTEXT(TR!K50),"",TR!K50)</f>
        <v>TR-0-NSTM-FPR-1001</v>
      </c>
      <c r="B50" s="32" t="str">
        <f>TR!A50</f>
        <v>TR-DSRSW-2134</v>
      </c>
      <c r="C50" s="31" t="b">
        <f>ISERROR(FIND("-",TR!B50))</f>
        <v>0</v>
      </c>
      <c r="D50" s="31">
        <f>SetIndent(E50,(TR!C50-1)*2)</f>
        <v>6</v>
      </c>
      <c r="E50" s="38" t="str">
        <f>IF(ISERROR(FIND("-",TR!B50)),TR!B50&amp;" "&amp;TR!D50,TR!D50)</f>
        <v xml:space="preserve">The product SHALL support Non-Slotted Messages (a.k.a., "TAMs). </v>
      </c>
      <c r="F50" s="31" t="str">
        <f>TR!E50</f>
        <v>Req</v>
      </c>
      <c r="G50" s="31" t="str">
        <f>IF(ISERROR(FIND("Adara",TR!F50)),"","Adara ")</f>
        <v xml:space="preserve">Adara </v>
      </c>
      <c r="H50" s="31" t="str">
        <f>IF(ISERROR(FIND("Copernicus",TR!F50)),"","Copernicus ")</f>
        <v xml:space="preserve">Copernicus </v>
      </c>
      <c r="I50" s="31" t="str">
        <f>IF(ISERROR(FIND("Deneb",TR!F50)),"","Deneb ")</f>
        <v xml:space="preserve">Deneb </v>
      </c>
      <c r="J50" s="37" t="str">
        <f t="shared" si="0"/>
        <v xml:space="preserve">Adara Copernicus Deneb </v>
      </c>
      <c r="K50" s="31" t="str">
        <f>IF(ISBLANK(TR!G50),"",TR!G50)</f>
        <v/>
      </c>
      <c r="L50" s="31" t="str">
        <f>IF(ISBLANK(TR!H50),"",TR!H50)</f>
        <v>FR-DSRSW-1452</v>
      </c>
      <c r="M50" s="30" t="str">
        <f>TR!J50</f>
        <v>Approved</v>
      </c>
      <c r="N50" s="31" t="str">
        <f>IF(OR(M50="Modified",M50="Cosmetic"),VLOOKUP(B50,PrevPFS!B$1:E$833,4,FALSE),"")</f>
        <v/>
      </c>
    </row>
    <row r="51" spans="1:14" ht="45" x14ac:dyDescent="0.25">
      <c r="A51" s="31" t="str">
        <f>IF(ISNONTEXT(TR!K51),"",TR!K51)</f>
        <v>TR-0-NSTM-FPR-1002</v>
      </c>
      <c r="B51" s="32" t="str">
        <f>TR!A51</f>
        <v>TR-DSRSW-2135</v>
      </c>
      <c r="C51" s="31" t="b">
        <f>ISERROR(FIND("-",TR!B51))</f>
        <v>0</v>
      </c>
      <c r="D51" s="31">
        <f>SetIndent(E51,(TR!C51-1)*2)</f>
        <v>6</v>
      </c>
      <c r="E51" s="38" t="str">
        <f>IF(ISERROR(FIND("-",TR!B51)),TR!B51&amp;" "&amp;TR!D51,TR!D51)</f>
        <v xml:space="preserve">The product SHALL display the received Non-Slotted message text when the product's current state(s) match the Decoder Condition contained in the message preamble. </v>
      </c>
      <c r="F51" s="31" t="str">
        <f>TR!E51</f>
        <v>Req</v>
      </c>
      <c r="G51" s="31" t="str">
        <f>IF(ISERROR(FIND("Adara",TR!F51)),"","Adara ")</f>
        <v xml:space="preserve">Adara </v>
      </c>
      <c r="H51" s="31" t="str">
        <f>IF(ISERROR(FIND("Copernicus",TR!F51)),"","Copernicus ")</f>
        <v xml:space="preserve">Copernicus </v>
      </c>
      <c r="I51" s="31" t="str">
        <f>IF(ISERROR(FIND("Deneb",TR!F51)),"","Deneb ")</f>
        <v xml:space="preserve">Deneb </v>
      </c>
      <c r="J51" s="37" t="str">
        <f t="shared" si="0"/>
        <v xml:space="preserve">Adara Copernicus Deneb </v>
      </c>
      <c r="K51" s="31" t="str">
        <f>IF(ISBLANK(TR!G51),"",TR!G51)</f>
        <v/>
      </c>
      <c r="L51" s="31" t="str">
        <f>IF(ISBLANK(TR!H51),"",TR!H51)</f>
        <v>FR-DSRSW-1452</v>
      </c>
      <c r="M51" s="30" t="str">
        <f>TR!J51</f>
        <v>Approved</v>
      </c>
      <c r="N51" s="31" t="str">
        <f>IF(OR(M51="Modified",M51="Cosmetic"),VLOOKUP(B51,PrevPFS!B$1:E$833,4,FALSE),"")</f>
        <v/>
      </c>
    </row>
    <row r="52" spans="1:14" ht="45" x14ac:dyDescent="0.25">
      <c r="A52" s="31" t="str">
        <f>IF(ISNONTEXT(TR!K52),"",TR!K52)</f>
        <v>TR-0-NSTM-FPR-1003</v>
      </c>
      <c r="B52" s="32" t="str">
        <f>TR!A52</f>
        <v>TR-DSRSW-2136</v>
      </c>
      <c r="C52" s="31" t="b">
        <f>ISERROR(FIND("-",TR!B52))</f>
        <v>0</v>
      </c>
      <c r="D52" s="31">
        <f>SetIndent(E52,(TR!C52-1)*2)</f>
        <v>6</v>
      </c>
      <c r="E52" s="38" t="str">
        <f>IF(ISERROR(FIND("-",TR!B52)),TR!B52&amp;" "&amp;TR!D52,TR!D52)</f>
        <v>The product SHALL support preamble "tier_match" state evaluation in the Non-Slotted message.  Note, the preamble may include zero, one, or more tier_match states.</v>
      </c>
      <c r="F52" s="31" t="str">
        <f>TR!E52</f>
        <v>Req</v>
      </c>
      <c r="G52" s="31" t="str">
        <f>IF(ISERROR(FIND("Adara",TR!F52)),"","Adara ")</f>
        <v xml:space="preserve">Adara </v>
      </c>
      <c r="H52" s="31" t="str">
        <f>IF(ISERROR(FIND("Copernicus",TR!F52)),"","Copernicus ")</f>
        <v xml:space="preserve">Copernicus </v>
      </c>
      <c r="I52" s="31" t="str">
        <f>IF(ISERROR(FIND("Deneb",TR!F52)),"","Deneb ")</f>
        <v xml:space="preserve">Deneb </v>
      </c>
      <c r="J52" s="37" t="str">
        <f t="shared" si="0"/>
        <v xml:space="preserve">Adara Copernicus Deneb </v>
      </c>
      <c r="K52" s="31" t="str">
        <f>IF(ISBLANK(TR!G52),"",TR!G52)</f>
        <v/>
      </c>
      <c r="L52" s="31" t="str">
        <f>IF(ISBLANK(TR!H52),"",TR!H52)</f>
        <v>FR-DSRSW-1452</v>
      </c>
      <c r="M52" s="30" t="str">
        <f>TR!J52</f>
        <v>Approved</v>
      </c>
      <c r="N52" s="31" t="str">
        <f>IF(OR(M52="Modified",M52="Cosmetic"),VLOOKUP(B52,PrevPFS!B$1:E$833,4,FALSE),"")</f>
        <v/>
      </c>
    </row>
    <row r="53" spans="1:14" ht="45" x14ac:dyDescent="0.25">
      <c r="A53" s="31" t="str">
        <f>IF(ISNONTEXT(TR!K53),"",TR!K53)</f>
        <v>TR-0-NSTM-FPR-1004</v>
      </c>
      <c r="B53" s="32" t="str">
        <f>TR!A53</f>
        <v>TR-DSRSW-2137</v>
      </c>
      <c r="C53" s="31" t="b">
        <f>ISERROR(FIND("-",TR!B53))</f>
        <v>0</v>
      </c>
      <c r="D53" s="31">
        <f>SetIndent(E53,(TR!C53-1)*2)</f>
        <v>6</v>
      </c>
      <c r="E53" s="38" t="str">
        <f>IF(ISERROR(FIND("-",TR!B53)),TR!B53&amp;" "&amp;TR!D53,TR!D53)</f>
        <v xml:space="preserve">The product SHALL support preamble "region" state evaluation in the Non-Slotted message.  Note, the preamble may include zero, one, or more tier_match states.  </v>
      </c>
      <c r="F53" s="31" t="str">
        <f>TR!E53</f>
        <v>Req</v>
      </c>
      <c r="G53" s="31" t="str">
        <f>IF(ISERROR(FIND("Adara",TR!F53)),"","Adara ")</f>
        <v xml:space="preserve">Adara </v>
      </c>
      <c r="H53" s="31" t="str">
        <f>IF(ISERROR(FIND("Copernicus",TR!F53)),"","Copernicus ")</f>
        <v xml:space="preserve">Copernicus </v>
      </c>
      <c r="I53" s="31" t="str">
        <f>IF(ISERROR(FIND("Deneb",TR!F53)),"","Deneb ")</f>
        <v xml:space="preserve">Deneb </v>
      </c>
      <c r="J53" s="37" t="str">
        <f t="shared" si="0"/>
        <v xml:space="preserve">Adara Copernicus Deneb </v>
      </c>
      <c r="K53" s="31" t="str">
        <f>IF(ISBLANK(TR!G53),"",TR!G53)</f>
        <v/>
      </c>
      <c r="L53" s="31" t="str">
        <f>IF(ISBLANK(TR!H53),"",TR!H53)</f>
        <v>FR-DSRSW-1452</v>
      </c>
      <c r="M53" s="30" t="str">
        <f>TR!J53</f>
        <v>Approved</v>
      </c>
      <c r="N53" s="31" t="str">
        <f>IF(OR(M53="Modified",M53="Cosmetic"),VLOOKUP(B53,PrevPFS!B$1:E$833,4,FALSE),"")</f>
        <v/>
      </c>
    </row>
    <row r="54" spans="1:14" ht="45" x14ac:dyDescent="0.25">
      <c r="A54" s="31" t="str">
        <f>IF(ISNONTEXT(TR!K54),"",TR!K54)</f>
        <v>TR-0-NSTM-FPR-1005</v>
      </c>
      <c r="B54" s="32" t="str">
        <f>TR!A54</f>
        <v>TR-DSRSW-2138</v>
      </c>
      <c r="C54" s="31" t="b">
        <f>ISERROR(FIND("-",TR!B54))</f>
        <v>0</v>
      </c>
      <c r="D54" s="31">
        <f>SetIndent(E54,(TR!C54-1)*2)</f>
        <v>6</v>
      </c>
      <c r="E54" s="38" t="str">
        <f>IF(ISERROR(FIND("-",TR!B54)),TR!B54&amp;" "&amp;TR!D54,TR!D54)</f>
        <v>The product SHALL support preamble "circle_test" (a.k.a. "Postal") state evaluation in the Non-Slotted message.  Note, the preamble may include zero, one, or more circle_match states.</v>
      </c>
      <c r="F54" s="31" t="str">
        <f>TR!E54</f>
        <v>Req</v>
      </c>
      <c r="G54" s="31" t="str">
        <f>IF(ISERROR(FIND("Adara",TR!F54)),"","Adara ")</f>
        <v xml:space="preserve">Adara </v>
      </c>
      <c r="H54" s="31" t="str">
        <f>IF(ISERROR(FIND("Copernicus",TR!F54)),"","Copernicus ")</f>
        <v xml:space="preserve">Copernicus </v>
      </c>
      <c r="I54" s="31" t="str">
        <f>IF(ISERROR(FIND("Deneb",TR!F54)),"","Deneb ")</f>
        <v xml:space="preserve">Deneb </v>
      </c>
      <c r="J54" s="37" t="str">
        <f t="shared" si="0"/>
        <v xml:space="preserve">Adara Copernicus Deneb </v>
      </c>
      <c r="K54" s="31" t="str">
        <f>IF(ISBLANK(TR!G54),"",TR!G54)</f>
        <v/>
      </c>
      <c r="L54" s="31" t="str">
        <f>IF(ISBLANK(TR!H54),"",TR!H54)</f>
        <v>FR-DSRSW-1452</v>
      </c>
      <c r="M54" s="30" t="str">
        <f>TR!J54</f>
        <v>Approved</v>
      </c>
      <c r="N54" s="31" t="str">
        <f>IF(OR(M54="Modified",M54="Cosmetic"),VLOOKUP(B54,PrevPFS!B$1:E$833,4,FALSE),"")</f>
        <v/>
      </c>
    </row>
    <row r="55" spans="1:14" ht="45" x14ac:dyDescent="0.25">
      <c r="A55" s="31" t="str">
        <f>IF(ISNONTEXT(TR!K55),"",TR!K55)</f>
        <v>TR-0-NSTM-FPR-1006</v>
      </c>
      <c r="B55" s="32" t="str">
        <f>TR!A55</f>
        <v>TR-DSRSW-2139</v>
      </c>
      <c r="C55" s="31" t="b">
        <f>ISERROR(FIND("-",TR!B55))</f>
        <v>0</v>
      </c>
      <c r="D55" s="31">
        <f>SetIndent(E55,(TR!C55-1)*2)</f>
        <v>6</v>
      </c>
      <c r="E55" s="38" t="str">
        <f>IF(ISERROR(FIND("-",TR!B55)),TR!B55&amp;" "&amp;TR!D55,TR!D55)</f>
        <v xml:space="preserve">The product SHALL consider the preamble "circular_blacked_out" state evaluation in the Non-Slotted message.  Note, the preamble may include zero or one circular_blacked_out state. </v>
      </c>
      <c r="F55" s="31" t="str">
        <f>TR!E55</f>
        <v>Req</v>
      </c>
      <c r="G55" s="31" t="str">
        <f>IF(ISERROR(FIND("Adara",TR!F55)),"","Adara ")</f>
        <v xml:space="preserve">Adara </v>
      </c>
      <c r="H55" s="31" t="str">
        <f>IF(ISERROR(FIND("Copernicus",TR!F55)),"","Copernicus ")</f>
        <v xml:space="preserve">Copernicus </v>
      </c>
      <c r="I55" s="31" t="str">
        <f>IF(ISERROR(FIND("Deneb",TR!F55)),"","Deneb ")</f>
        <v xml:space="preserve">Deneb </v>
      </c>
      <c r="J55" s="37" t="str">
        <f t="shared" si="0"/>
        <v xml:space="preserve">Adara Copernicus Deneb </v>
      </c>
      <c r="K55" s="31" t="str">
        <f>IF(ISBLANK(TR!G55),"",TR!G55)</f>
        <v/>
      </c>
      <c r="L55" s="31" t="str">
        <f>IF(ISBLANK(TR!H55),"",TR!H55)</f>
        <v>FR-DSRSW-1452</v>
      </c>
      <c r="M55" s="30" t="str">
        <f>TR!J55</f>
        <v>Approved</v>
      </c>
      <c r="N55" s="31" t="str">
        <f>IF(OR(M55="Modified",M55="Cosmetic"),VLOOKUP(B55,PrevPFS!B$1:E$833,4,FALSE),"")</f>
        <v/>
      </c>
    </row>
    <row r="56" spans="1:14" ht="45" x14ac:dyDescent="0.25">
      <c r="A56" s="31" t="str">
        <f>IF(ISNONTEXT(TR!K56),"",TR!K56)</f>
        <v>TR-0-NSTM-FPR-1007</v>
      </c>
      <c r="B56" s="32" t="str">
        <f>TR!A56</f>
        <v>TR-DSRSW-2140</v>
      </c>
      <c r="C56" s="31" t="b">
        <f>ISERROR(FIND("-",TR!B56))</f>
        <v>0</v>
      </c>
      <c r="D56" s="31">
        <f>SetIndent(E56,(TR!C56-1)*2)</f>
        <v>6</v>
      </c>
      <c r="E56" s="38" t="str">
        <f>IF(ISERROR(FIND("-",TR!B56)),TR!B56&amp;" "&amp;TR!D56,TR!D56)</f>
        <v>The product SHALL support preamble "bought" state evaluation in the Non-Slotted message.  Note, the non-slotted text messages always include the bought state for evaluation.</v>
      </c>
      <c r="F56" s="31" t="str">
        <f>TR!E56</f>
        <v>Req</v>
      </c>
      <c r="G56" s="31" t="str">
        <f>IF(ISERROR(FIND("Adara",TR!F56)),"","Adara ")</f>
        <v xml:space="preserve">Adara </v>
      </c>
      <c r="H56" s="31" t="str">
        <f>IF(ISERROR(FIND("Copernicus",TR!F56)),"","Copernicus ")</f>
        <v xml:space="preserve">Copernicus </v>
      </c>
      <c r="I56" s="31" t="str">
        <f>IF(ISERROR(FIND("Deneb",TR!F56)),"","Deneb ")</f>
        <v xml:space="preserve">Deneb </v>
      </c>
      <c r="J56" s="37" t="str">
        <f t="shared" si="0"/>
        <v xml:space="preserve">Adara Copernicus Deneb </v>
      </c>
      <c r="K56" s="31" t="str">
        <f>IF(ISBLANK(TR!G56),"",TR!G56)</f>
        <v>Test not required</v>
      </c>
      <c r="L56" s="31" t="str">
        <f>IF(ISBLANK(TR!H56),"",TR!H56)</f>
        <v>FR-DSRSW-1452</v>
      </c>
      <c r="M56" s="30" t="str">
        <f>TR!J56</f>
        <v>Approved</v>
      </c>
      <c r="N56" s="31" t="str">
        <f>IF(OR(M56="Modified",M56="Cosmetic"),VLOOKUP(B56,PrevPFS!B$1:E$833,4,FALSE),"")</f>
        <v/>
      </c>
    </row>
    <row r="57" spans="1:14" ht="45" x14ac:dyDescent="0.25">
      <c r="A57" s="31" t="str">
        <f>IF(ISNONTEXT(TR!K57),"",TR!K57)</f>
        <v>TR-0-NSTM-FPR-1008</v>
      </c>
      <c r="B57" s="32" t="str">
        <f>TR!A57</f>
        <v>TR-DSRSW-2141</v>
      </c>
      <c r="C57" s="31" t="b">
        <f>ISERROR(FIND("-",TR!B57))</f>
        <v>0</v>
      </c>
      <c r="D57" s="31">
        <f>SetIndent(E57,(TR!C57-1)*2)</f>
        <v>6</v>
      </c>
      <c r="E57" s="38" t="str">
        <f>IF(ISERROR(FIND("-",TR!B57)),TR!B57&amp;" "&amp;TR!D57,TR!D57)</f>
        <v>The product SHALL support preamble condition evaluation for up to 10 states in the Non-Slotted message.</v>
      </c>
      <c r="F57" s="31" t="str">
        <f>TR!E57</f>
        <v>Req</v>
      </c>
      <c r="G57" s="31" t="str">
        <f>IF(ISERROR(FIND("Adara",TR!F57)),"","Adara ")</f>
        <v xml:space="preserve">Adara </v>
      </c>
      <c r="H57" s="31" t="str">
        <f>IF(ISERROR(FIND("Copernicus",TR!F57)),"","Copernicus ")</f>
        <v xml:space="preserve">Copernicus </v>
      </c>
      <c r="I57" s="31" t="str">
        <f>IF(ISERROR(FIND("Deneb",TR!F57)),"","Deneb ")</f>
        <v xml:space="preserve">Deneb </v>
      </c>
      <c r="J57" s="37" t="str">
        <f t="shared" si="0"/>
        <v xml:space="preserve">Adara Copernicus Deneb </v>
      </c>
      <c r="K57" s="31" t="str">
        <f>IF(ISBLANK(TR!G57),"",TR!G57)</f>
        <v/>
      </c>
      <c r="L57" s="31" t="str">
        <f>IF(ISBLANK(TR!H57),"",TR!H57)</f>
        <v>FR-DSRSW-1452</v>
      </c>
      <c r="M57" s="30" t="str">
        <f>TR!J57</f>
        <v>Approved</v>
      </c>
      <c r="N57" s="31" t="str">
        <f>IF(OR(M57="Modified",M57="Cosmetic"),VLOOKUP(B57,PrevPFS!B$1:E$833,4,FALSE),"")</f>
        <v/>
      </c>
    </row>
    <row r="58" spans="1:14" ht="45" x14ac:dyDescent="0.25">
      <c r="A58" s="31" t="str">
        <f>IF(ISNONTEXT(TR!K58),"",TR!K58)</f>
        <v>TR-0-NSTM-FPR-1009</v>
      </c>
      <c r="B58" s="32" t="str">
        <f>TR!A58</f>
        <v>TR-DSRSW-2142</v>
      </c>
      <c r="C58" s="31" t="b">
        <f>ISERROR(FIND("-",TR!B58))</f>
        <v>0</v>
      </c>
      <c r="D58" s="31">
        <f>SetIndent(E58,(TR!C58-1)*2)</f>
        <v>6</v>
      </c>
      <c r="E58" s="38" t="str">
        <f>IF(ISERROR(FIND("-",TR!B58)),TR!B58&amp;" "&amp;TR!D58,TR!D58)</f>
        <v>The product SHALL discontinue displaying a non-slotted text message if the display duration given in the non-slotted text message is exceeded.</v>
      </c>
      <c r="F58" s="31" t="str">
        <f>TR!E58</f>
        <v>Req</v>
      </c>
      <c r="G58" s="31" t="str">
        <f>IF(ISERROR(FIND("Adara",TR!F58)),"","Adara ")</f>
        <v xml:space="preserve">Adara </v>
      </c>
      <c r="H58" s="31" t="str">
        <f>IF(ISERROR(FIND("Copernicus",TR!F58)),"","Copernicus ")</f>
        <v xml:space="preserve">Copernicus </v>
      </c>
      <c r="I58" s="31" t="str">
        <f>IF(ISERROR(FIND("Deneb",TR!F58)),"","Deneb ")</f>
        <v xml:space="preserve">Deneb </v>
      </c>
      <c r="J58" s="37" t="str">
        <f t="shared" si="0"/>
        <v xml:space="preserve">Adara Copernicus Deneb </v>
      </c>
      <c r="K58" s="31" t="str">
        <f>IF(ISBLANK(TR!G58),"",TR!G58)</f>
        <v/>
      </c>
      <c r="L58" s="31" t="str">
        <f>IF(ISBLANK(TR!H58),"",TR!H58)</f>
        <v>FR-DSRSW-1452</v>
      </c>
      <c r="M58" s="30" t="str">
        <f>TR!J58</f>
        <v>Approved</v>
      </c>
      <c r="N58" s="31" t="str">
        <f>IF(OR(M58="Modified",M58="Cosmetic"),VLOOKUP(B58,PrevPFS!B$1:E$833,4,FALSE),"")</f>
        <v/>
      </c>
    </row>
    <row r="59" spans="1:14" ht="45" x14ac:dyDescent="0.25">
      <c r="A59" s="31" t="str">
        <f>IF(ISNONTEXT(TR!K59),"",TR!K59)</f>
        <v>TR-0-NSTM-FPR-1010</v>
      </c>
      <c r="B59" s="32" t="str">
        <f>TR!A59</f>
        <v>TR-DSRSW-2143</v>
      </c>
      <c r="C59" s="31" t="b">
        <f>ISERROR(FIND("-",TR!B59))</f>
        <v>0</v>
      </c>
      <c r="D59" s="31">
        <f>SetIndent(E59,(TR!C59-1)*2)</f>
        <v>6</v>
      </c>
      <c r="E59" s="38" t="str">
        <f>IF(ISERROR(FIND("-",TR!B59)),TR!B59&amp;" "&amp;TR!D59,TR!D59)</f>
        <v>The product SHALL discontinue displaying a non-slotted text message if the product's current state no longer matches the Decoder Condition.</v>
      </c>
      <c r="F59" s="31" t="str">
        <f>TR!E59</f>
        <v>Req</v>
      </c>
      <c r="G59" s="31" t="str">
        <f>IF(ISERROR(FIND("Adara",TR!F59)),"","Adara ")</f>
        <v xml:space="preserve">Adara </v>
      </c>
      <c r="H59" s="31" t="str">
        <f>IF(ISERROR(FIND("Copernicus",TR!F59)),"","Copernicus ")</f>
        <v xml:space="preserve">Copernicus </v>
      </c>
      <c r="I59" s="31" t="str">
        <f>IF(ISERROR(FIND("Deneb",TR!F59)),"","Deneb ")</f>
        <v xml:space="preserve">Deneb </v>
      </c>
      <c r="J59" s="37" t="str">
        <f t="shared" si="0"/>
        <v xml:space="preserve">Adara Copernicus Deneb </v>
      </c>
      <c r="K59" s="31" t="str">
        <f>IF(ISBLANK(TR!G59),"",TR!G59)</f>
        <v/>
      </c>
      <c r="L59" s="31" t="str">
        <f>IF(ISBLANK(TR!H59),"",TR!H59)</f>
        <v>FR-DSRSW-1452</v>
      </c>
      <c r="M59" s="30" t="str">
        <f>TR!J59</f>
        <v>Approved</v>
      </c>
      <c r="N59" s="31" t="str">
        <f>IF(OR(M59="Modified",M59="Cosmetic"),VLOOKUP(B59,PrevPFS!B$1:E$833,4,FALSE),"")</f>
        <v/>
      </c>
    </row>
    <row r="60" spans="1:14" ht="45" x14ac:dyDescent="0.25">
      <c r="A60" s="31" t="str">
        <f>IF(ISNONTEXT(TR!K60),"",TR!K60)</f>
        <v>TR-0-NSTM-FPR-1011</v>
      </c>
      <c r="B60" s="32" t="str">
        <f>TR!A60</f>
        <v>TR-DSRSW-2144</v>
      </c>
      <c r="C60" s="31" t="b">
        <f>ISERROR(FIND("-",TR!B60))</f>
        <v>0</v>
      </c>
      <c r="D60" s="31">
        <f>SetIndent(E60,(TR!C60-1)*2)</f>
        <v>6</v>
      </c>
      <c r="E60" s="38" t="str">
        <f>IF(ISERROR(FIND("-",TR!B60)),TR!B60&amp;" "&amp;TR!D60,TR!D60)</f>
        <v>The product SHALL discontinue displaying a non-slotted text message at the request of application software.</v>
      </c>
      <c r="F60" s="31" t="str">
        <f>TR!E60</f>
        <v>Req</v>
      </c>
      <c r="G60" s="31" t="str">
        <f>IF(ISERROR(FIND("Adara",TR!F60)),"","Adara ")</f>
        <v xml:space="preserve">Adara </v>
      </c>
      <c r="H60" s="31" t="str">
        <f>IF(ISERROR(FIND("Copernicus",TR!F60)),"","Copernicus ")</f>
        <v xml:space="preserve">Copernicus </v>
      </c>
      <c r="I60" s="31" t="str">
        <f>IF(ISERROR(FIND("Deneb",TR!F60)),"","Deneb ")</f>
        <v xml:space="preserve">Deneb </v>
      </c>
      <c r="J60" s="37" t="str">
        <f t="shared" si="0"/>
        <v xml:space="preserve">Adara Copernicus Deneb </v>
      </c>
      <c r="K60" s="31" t="str">
        <f>IF(ISBLANK(TR!G60),"",TR!G60)</f>
        <v/>
      </c>
      <c r="L60" s="31" t="str">
        <f>IF(ISBLANK(TR!H60),"",TR!H60)</f>
        <v>FR-DSRSW-1452</v>
      </c>
      <c r="M60" s="30" t="str">
        <f>TR!J60</f>
        <v>Approved</v>
      </c>
      <c r="N60" s="31" t="str">
        <f>IF(OR(M60="Modified",M60="Cosmetic"),VLOOKUP(B60,PrevPFS!B$1:E$833,4,FALSE),"")</f>
        <v/>
      </c>
    </row>
    <row r="61" spans="1:14" ht="45" x14ac:dyDescent="0.25">
      <c r="A61" s="31" t="str">
        <f>IF(ISNONTEXT(TR!K61),"",TR!K61)</f>
        <v>TR-0-NSTM-FPR-1012</v>
      </c>
      <c r="B61" s="32" t="str">
        <f>TR!A61</f>
        <v>TR-DSRSW-2145</v>
      </c>
      <c r="C61" s="31" t="b">
        <f>ISERROR(FIND("-",TR!B61))</f>
        <v>0</v>
      </c>
      <c r="D61" s="31">
        <f>SetIndent(E61,(TR!C61-1)*2)</f>
        <v>6</v>
      </c>
      <c r="E61" s="38" t="str">
        <f>IF(ISERROR(FIND("-",TR!B61)),TR!B61&amp;" "&amp;TR!D61,TR!D61)</f>
        <v>The product SHALL delete any current non-slotted text messages upon discontinuation of the service (for example, channel change).</v>
      </c>
      <c r="F61" s="31" t="str">
        <f>TR!E61</f>
        <v>Req</v>
      </c>
      <c r="G61" s="31" t="str">
        <f>IF(ISERROR(FIND("Adara",TR!F61)),"","Adara ")</f>
        <v xml:space="preserve">Adara </v>
      </c>
      <c r="H61" s="31" t="str">
        <f>IF(ISERROR(FIND("Copernicus",TR!F61)),"","Copernicus ")</f>
        <v xml:space="preserve">Copernicus </v>
      </c>
      <c r="I61" s="31" t="str">
        <f>IF(ISERROR(FIND("Deneb",TR!F61)),"","Deneb ")</f>
        <v xml:space="preserve">Deneb </v>
      </c>
      <c r="J61" s="37" t="str">
        <f t="shared" si="0"/>
        <v xml:space="preserve">Adara Copernicus Deneb </v>
      </c>
      <c r="K61" s="31" t="str">
        <f>IF(ISBLANK(TR!G61),"",TR!G61)</f>
        <v/>
      </c>
      <c r="L61" s="31" t="str">
        <f>IF(ISBLANK(TR!H61),"",TR!H61)</f>
        <v>FR-DSRSW-1452</v>
      </c>
      <c r="M61" s="30" t="str">
        <f>TR!J61</f>
        <v>Approved</v>
      </c>
      <c r="N61" s="31" t="str">
        <f>IF(OR(M61="Modified",M61="Cosmetic"),VLOOKUP(B61,PrevPFS!B$1:E$833,4,FALSE),"")</f>
        <v/>
      </c>
    </row>
    <row r="62" spans="1:14" ht="45" x14ac:dyDescent="0.25">
      <c r="A62" s="31" t="str">
        <f>IF(ISNONTEXT(TR!K62),"",TR!K62)</f>
        <v>TR-0-NSTM-FPR-1013</v>
      </c>
      <c r="B62" s="32" t="str">
        <f>TR!A62</f>
        <v>TR-DSRSW-2146</v>
      </c>
      <c r="C62" s="31" t="b">
        <f>ISERROR(FIND("-",TR!B62))</f>
        <v>0</v>
      </c>
      <c r="D62" s="31">
        <f>SetIndent(E62,(TR!C62-1)*2)</f>
        <v>6</v>
      </c>
      <c r="E62" s="38" t="str">
        <f>IF(ISERROR(FIND("-",TR!B62)),TR!B62&amp;" "&amp;TR!D62,TR!D62)</f>
        <v>The product SHALL delete all non-slotted text messages upon power interruption.</v>
      </c>
      <c r="F62" s="31" t="str">
        <f>TR!E62</f>
        <v>Req</v>
      </c>
      <c r="G62" s="31" t="str">
        <f>IF(ISERROR(FIND("Adara",TR!F62)),"","Adara ")</f>
        <v xml:space="preserve">Adara </v>
      </c>
      <c r="H62" s="31" t="str">
        <f>IF(ISERROR(FIND("Copernicus",TR!F62)),"","Copernicus ")</f>
        <v xml:space="preserve">Copernicus </v>
      </c>
      <c r="I62" s="31" t="str">
        <f>IF(ISERROR(FIND("Deneb",TR!F62)),"","Deneb ")</f>
        <v xml:space="preserve">Deneb </v>
      </c>
      <c r="J62" s="37" t="str">
        <f t="shared" si="0"/>
        <v xml:space="preserve">Adara Copernicus Deneb </v>
      </c>
      <c r="K62" s="31" t="str">
        <f>IF(ISBLANK(TR!G62),"",TR!G62)</f>
        <v/>
      </c>
      <c r="L62" s="31" t="str">
        <f>IF(ISBLANK(TR!H62),"",TR!H62)</f>
        <v>FR-DSRSW-1452</v>
      </c>
      <c r="M62" s="30" t="str">
        <f>TR!J62</f>
        <v>Approved</v>
      </c>
      <c r="N62" s="31" t="str">
        <f>IF(OR(M62="Modified",M62="Cosmetic"),VLOOKUP(B62,PrevPFS!B$1:E$833,4,FALSE),"")</f>
        <v/>
      </c>
    </row>
    <row r="63" spans="1:14" ht="45" x14ac:dyDescent="0.25">
      <c r="A63" s="31" t="str">
        <f>IF(ISNONTEXT(TR!K63),"",TR!K63)</f>
        <v>FR-DL-1093</v>
      </c>
      <c r="B63" s="32" t="str">
        <f>TR!A63</f>
        <v>TR-DSRSW-1351</v>
      </c>
      <c r="C63" s="31" t="b">
        <f>ISERROR(FIND("-",TR!B63))</f>
        <v>1</v>
      </c>
      <c r="D63" s="31">
        <f>SetIndent(E63,(TR!C63-1)*2)</f>
        <v>0</v>
      </c>
      <c r="E63" s="33" t="str">
        <f>IF(ISERROR(FIND("-",TR!B63)),TR!B63&amp;" "&amp;TR!D63,TR!D63)</f>
        <v>8 Code Download over Satellite</v>
      </c>
      <c r="F63" s="31" t="str">
        <f>TR!E63</f>
        <v>Hdr</v>
      </c>
      <c r="G63" s="31" t="str">
        <f>IF(ISERROR(FIND("Adara",TR!F63)),"","Adara ")</f>
        <v xml:space="preserve">Adara </v>
      </c>
      <c r="H63" s="31" t="str">
        <f>IF(ISERROR(FIND("Copernicus",TR!F63)),"","Copernicus ")</f>
        <v xml:space="preserve">Copernicus </v>
      </c>
      <c r="I63" s="31" t="str">
        <f>IF(ISERROR(FIND("Deneb",TR!F63)),"","Deneb ")</f>
        <v xml:space="preserve">Deneb </v>
      </c>
      <c r="J63" s="37" t="str">
        <f t="shared" si="0"/>
        <v xml:space="preserve">Adara Copernicus Deneb </v>
      </c>
      <c r="K63" s="31" t="str">
        <f>IF(ISBLANK(TR!G63),"",TR!G63)</f>
        <v/>
      </c>
      <c r="L63" s="31" t="str">
        <f>IF(ISBLANK(TR!H63),"",TR!H63)</f>
        <v>FR-DSRSW-1512</v>
      </c>
      <c r="M63" s="30" t="str">
        <f>TR!J63</f>
        <v>Approved</v>
      </c>
      <c r="N63" s="31" t="str">
        <f>IF(OR(M63="Modified",M63="Cosmetic"),VLOOKUP(B63,PrevPFS!B$1:E$833,4,FALSE),"")</f>
        <v/>
      </c>
    </row>
    <row r="64" spans="1:14" ht="45" x14ac:dyDescent="0.25">
      <c r="A64" s="31" t="str">
        <f>IF(ISNONTEXT(TR!K64),"",TR!K64)</f>
        <v/>
      </c>
      <c r="B64" s="32" t="str">
        <f>TR!A64</f>
        <v>TR-DSRSW-2164</v>
      </c>
      <c r="C64" s="31" t="b">
        <f>ISERROR(FIND("-",TR!B64))</f>
        <v>1</v>
      </c>
      <c r="D64" s="31">
        <f>SetIndent(E64,(TR!C64-1)*2)</f>
        <v>2</v>
      </c>
      <c r="E64" s="34" t="str">
        <f>IF(ISERROR(FIND("-",TR!B64)),TR!B64&amp;" "&amp;TR!D64,TR!D64)</f>
        <v>8.1 JTAG for Development Support</v>
      </c>
      <c r="F64" s="31" t="str">
        <f>TR!E64</f>
        <v>Hdr</v>
      </c>
      <c r="G64" s="31" t="str">
        <f>IF(ISERROR(FIND("Adara",TR!F64)),"","Adara ")</f>
        <v xml:space="preserve">Adara </v>
      </c>
      <c r="H64" s="31" t="str">
        <f>IF(ISERROR(FIND("Copernicus",TR!F64)),"","Copernicus ")</f>
        <v xml:space="preserve">Copernicus </v>
      </c>
      <c r="I64" s="31" t="str">
        <f>IF(ISERROR(FIND("Deneb",TR!F64)),"","Deneb ")</f>
        <v xml:space="preserve">Deneb </v>
      </c>
      <c r="J64" s="37" t="str">
        <f t="shared" si="0"/>
        <v xml:space="preserve">Adara Copernicus Deneb </v>
      </c>
      <c r="K64" s="31" t="str">
        <f>IF(ISBLANK(TR!G64),"",TR!G64)</f>
        <v/>
      </c>
      <c r="L64" s="31" t="str">
        <f>IF(ISBLANK(TR!H64),"",TR!H64)</f>
        <v>FR-DSRSW-1512</v>
      </c>
      <c r="M64" s="30" t="str">
        <f>TR!J64</f>
        <v>Approved</v>
      </c>
      <c r="N64" s="31" t="str">
        <f>IF(OR(M64="Modified",M64="Cosmetic"),VLOOKUP(B64,PrevPFS!B$1:E$833,4,FALSE),"")</f>
        <v/>
      </c>
    </row>
    <row r="65" spans="1:14" ht="45" x14ac:dyDescent="0.25">
      <c r="A65" s="31" t="str">
        <f>IF(ISNONTEXT(TR!K65),"",TR!K65)</f>
        <v>TR-0-DL-IUM-1528</v>
      </c>
      <c r="B65" s="32" t="str">
        <f>TR!A65</f>
        <v>TR-DSRSW-1352</v>
      </c>
      <c r="C65" s="31" t="b">
        <f>ISERROR(FIND("-",TR!B65))</f>
        <v>0</v>
      </c>
      <c r="D65" s="31">
        <f>SetIndent(E65,(TR!C65-1)*2)</f>
        <v>4</v>
      </c>
      <c r="E65" s="35" t="str">
        <f>IF(ISERROR(FIND("-",TR!B65)),TR!B65&amp;" "&amp;TR!D65,TR!D65)</f>
        <v>The product SHALL support an onboard JTAG connector for code download.</v>
      </c>
      <c r="F65" s="31" t="str">
        <f>TR!E65</f>
        <v>Req</v>
      </c>
      <c r="G65" s="31" t="str">
        <f>IF(ISERROR(FIND("Adara",TR!F65)),"","Adara ")</f>
        <v xml:space="preserve">Adara </v>
      </c>
      <c r="H65" s="31" t="str">
        <f>IF(ISERROR(FIND("Copernicus",TR!F65)),"","Copernicus ")</f>
        <v xml:space="preserve">Copernicus </v>
      </c>
      <c r="I65" s="31" t="str">
        <f>IF(ISERROR(FIND("Deneb",TR!F65)),"","Deneb ")</f>
        <v xml:space="preserve">Deneb </v>
      </c>
      <c r="J65" s="37" t="str">
        <f t="shared" si="0"/>
        <v xml:space="preserve">Adara Copernicus Deneb </v>
      </c>
      <c r="K65" s="31" t="str">
        <f>IF(ISBLANK(TR!G65),"",TR!G65)</f>
        <v>Do we need req for JTAG disable?</v>
      </c>
      <c r="L65" s="31" t="str">
        <f>IF(ISBLANK(TR!H65),"",TR!H65)</f>
        <v>FR-DSRSW-1336</v>
      </c>
      <c r="M65" s="30" t="str">
        <f>TR!J65</f>
        <v>Approved</v>
      </c>
      <c r="N65" s="31" t="str">
        <f>IF(OR(M65="Modified",M65="Cosmetic"),VLOOKUP(B65,PrevPFS!B$1:E$833,4,FALSE),"")</f>
        <v/>
      </c>
    </row>
    <row r="66" spans="1:14" ht="45" x14ac:dyDescent="0.25">
      <c r="A66" s="31" t="str">
        <f>IF(ISNONTEXT(TR!K66),"",TR!K66)</f>
        <v/>
      </c>
      <c r="B66" s="32" t="str">
        <f>TR!A66</f>
        <v>TR-DSRSW-2165</v>
      </c>
      <c r="C66" s="31" t="b">
        <f>ISERROR(FIND("-",TR!B66))</f>
        <v>1</v>
      </c>
      <c r="D66" s="31">
        <f>SetIndent(E66,(TR!C66-1)*2)</f>
        <v>2</v>
      </c>
      <c r="E66" s="34" t="str">
        <f>IF(ISERROR(FIND("-",TR!B66)),TR!B66&amp;" "&amp;TR!D66,TR!D66)</f>
        <v>8.2 General Code Download Requirements</v>
      </c>
      <c r="F66" s="31" t="str">
        <f>TR!E66</f>
        <v>Hdr</v>
      </c>
      <c r="G66" s="31" t="str">
        <f>IF(ISERROR(FIND("Adara",TR!F66)),"","Adara ")</f>
        <v xml:space="preserve">Adara </v>
      </c>
      <c r="H66" s="31" t="str">
        <f>IF(ISERROR(FIND("Copernicus",TR!F66)),"","Copernicus ")</f>
        <v xml:space="preserve">Copernicus </v>
      </c>
      <c r="I66" s="31" t="str">
        <f>IF(ISERROR(FIND("Deneb",TR!F66)),"","Deneb ")</f>
        <v xml:space="preserve">Deneb </v>
      </c>
      <c r="J66" s="37" t="str">
        <f t="shared" si="0"/>
        <v xml:space="preserve">Adara Copernicus Deneb </v>
      </c>
      <c r="K66" s="31" t="str">
        <f>IF(ISBLANK(TR!G66),"",TR!G66)</f>
        <v/>
      </c>
      <c r="L66" s="31" t="str">
        <f>IF(ISBLANK(TR!H66),"",TR!H66)</f>
        <v>FR-DSRSW-1512</v>
      </c>
      <c r="M66" s="30" t="str">
        <f>TR!J66</f>
        <v>Approved</v>
      </c>
      <c r="N66" s="31" t="str">
        <f>IF(OR(M66="Modified",M66="Cosmetic"),VLOOKUP(B66,PrevPFS!B$1:E$833,4,FALSE),"")</f>
        <v/>
      </c>
    </row>
    <row r="67" spans="1:14" ht="45" x14ac:dyDescent="0.25">
      <c r="A67" s="31" t="str">
        <f>IF(ISNONTEXT(TR!K67),"",TR!K67)</f>
        <v>TR-0-DL-IUM-1632</v>
      </c>
      <c r="B67" s="32" t="str">
        <f>TR!A67</f>
        <v>TR-DSRSW-1353</v>
      </c>
      <c r="C67" s="31" t="b">
        <f>ISERROR(FIND("-",TR!B67))</f>
        <v>0</v>
      </c>
      <c r="D67" s="31">
        <f>SetIndent(E67,(TR!C67-1)*2)</f>
        <v>4</v>
      </c>
      <c r="E67" s="35" t="str">
        <f>IF(ISERROR(FIND("-",TR!B67)),TR!B67&amp;" "&amp;TR!D67,TR!D67)</f>
        <v>The product SHALL comply with the consumer IRD applicable requirements in 486998-001, the "DigiCipher II ROM Patch Code Download Specification."</v>
      </c>
      <c r="F67" s="31" t="str">
        <f>TR!E67</f>
        <v>Req</v>
      </c>
      <c r="G67" s="31" t="str">
        <f>IF(ISERROR(FIND("Adara",TR!F67)),"","Adara ")</f>
        <v xml:space="preserve">Adara </v>
      </c>
      <c r="H67" s="31" t="str">
        <f>IF(ISERROR(FIND("Copernicus",TR!F67)),"","Copernicus ")</f>
        <v xml:space="preserve">Copernicus </v>
      </c>
      <c r="I67" s="31" t="str">
        <f>IF(ISERROR(FIND("Deneb",TR!F67)),"","Deneb ")</f>
        <v xml:space="preserve">Deneb </v>
      </c>
      <c r="J67" s="37" t="str">
        <f t="shared" ref="J67:J130" si="1">G67&amp;H67&amp;I67</f>
        <v xml:space="preserve">Adara Copernicus Deneb </v>
      </c>
      <c r="K67" s="31" t="str">
        <f>IF(ISBLANK(TR!G67),"",TR!G67)</f>
        <v/>
      </c>
      <c r="L67" s="31" t="str">
        <f>IF(ISBLANK(TR!H67),"",TR!H67)</f>
        <v>FR-DSRSW-1336</v>
      </c>
      <c r="M67" s="30" t="str">
        <f>TR!J67</f>
        <v>Approved</v>
      </c>
      <c r="N67" s="31" t="str">
        <f>IF(OR(M67="Modified",M67="Cosmetic"),VLOOKUP(B67,PrevPFS!B$1:E$833,4,FALSE),"")</f>
        <v/>
      </c>
    </row>
    <row r="68" spans="1:14" ht="45" x14ac:dyDescent="0.25">
      <c r="A68" s="31" t="str">
        <f>IF(ISNONTEXT(TR!K68),"",TR!K68)</f>
        <v/>
      </c>
      <c r="B68" s="32" t="str">
        <f>TR!A68</f>
        <v>TR-DSRSW-2417</v>
      </c>
      <c r="C68" s="31" t="b">
        <f>ISERROR(FIND("-",TR!B68))</f>
        <v>0</v>
      </c>
      <c r="D68" s="31">
        <f>SetIndent(E68,(TR!C68-1)*2)</f>
        <v>4</v>
      </c>
      <c r="E68" s="35" t="str">
        <f>IF(ISERROR(FIND("-",TR!B68)),TR!B68&amp;" "&amp;TR!D68,TR!D68)</f>
        <v xml:space="preserve">The product SHALL provide enough memory to complete a 100 MByte code download, without interrupting unit performance. (NOTE: Once the code has been downloaded, the actual code update may interrupt service.) </v>
      </c>
      <c r="F68" s="31" t="str">
        <f>TR!E68</f>
        <v>Req</v>
      </c>
      <c r="G68" s="31" t="str">
        <f>IF(ISERROR(FIND("Adara",TR!F68)),"","Adara ")</f>
        <v xml:space="preserve">Adara </v>
      </c>
      <c r="H68" s="31" t="str">
        <f>IF(ISERROR(FIND("Copernicus",TR!F68)),"","Copernicus ")</f>
        <v xml:space="preserve">Copernicus </v>
      </c>
      <c r="I68" s="31" t="str">
        <f>IF(ISERROR(FIND("Deneb",TR!F68)),"","Deneb ")</f>
        <v xml:space="preserve">Deneb </v>
      </c>
      <c r="J68" s="37" t="str">
        <f t="shared" si="1"/>
        <v xml:space="preserve">Adara Copernicus Deneb </v>
      </c>
      <c r="K68" s="31" t="str">
        <f>IF(ISBLANK(TR!G68),"",TR!G68)</f>
        <v>Enough Memory?</v>
      </c>
      <c r="L68" s="31" t="str">
        <f>IF(ISBLANK(TR!H68),"",TR!H68)</f>
        <v>FR-DSRSW-1336</v>
      </c>
      <c r="M68" s="30" t="str">
        <f>TR!J68</f>
        <v>Approved</v>
      </c>
      <c r="N68" s="31" t="str">
        <f>IF(OR(M68="Modified",M68="Cosmetic"),VLOOKUP(B68,PrevPFS!B$1:E$833,4,FALSE),"")</f>
        <v/>
      </c>
    </row>
    <row r="69" spans="1:14" ht="45" x14ac:dyDescent="0.25">
      <c r="A69" s="31" t="str">
        <f>IF(ISNONTEXT(TR!K69),"",TR!K69)</f>
        <v>TR-0-DL-IUM-1634</v>
      </c>
      <c r="B69" s="32" t="str">
        <f>TR!A69</f>
        <v>TR-DSRSW-1354</v>
      </c>
      <c r="C69" s="31" t="b">
        <f>ISERROR(FIND("-",TR!B69))</f>
        <v>0</v>
      </c>
      <c r="D69" s="31">
        <f>SetIndent(E69,(TR!C69-1)*2)</f>
        <v>4</v>
      </c>
      <c r="E69" s="35" t="str">
        <f>IF(ISERROR(FIND("-",TR!B69)),TR!B69&amp;" "&amp;TR!D69,TR!D69)</f>
        <v>The product SHALL be capable of executing downloaded code.</v>
      </c>
      <c r="F69" s="31" t="str">
        <f>TR!E69</f>
        <v>Req</v>
      </c>
      <c r="G69" s="31" t="str">
        <f>IF(ISERROR(FIND("Adara",TR!F69)),"","Adara ")</f>
        <v xml:space="preserve">Adara </v>
      </c>
      <c r="H69" s="31" t="str">
        <f>IF(ISERROR(FIND("Copernicus",TR!F69)),"","Copernicus ")</f>
        <v xml:space="preserve">Copernicus </v>
      </c>
      <c r="I69" s="31" t="str">
        <f>IF(ISERROR(FIND("Deneb",TR!F69)),"","Deneb ")</f>
        <v xml:space="preserve">Deneb </v>
      </c>
      <c r="J69" s="37" t="str">
        <f t="shared" si="1"/>
        <v xml:space="preserve">Adara Copernicus Deneb </v>
      </c>
      <c r="K69" s="31" t="str">
        <f>IF(ISBLANK(TR!G69),"",TR!G69)</f>
        <v/>
      </c>
      <c r="L69" s="31" t="str">
        <f>IF(ISBLANK(TR!H69),"",TR!H69)</f>
        <v>FR-DSRSW-1336</v>
      </c>
      <c r="M69" s="30" t="str">
        <f>TR!J69</f>
        <v>Approved</v>
      </c>
      <c r="N69" s="31" t="str">
        <f>IF(OR(M69="Modified",M69="Cosmetic"),VLOOKUP(B69,PrevPFS!B$1:E$833,4,FALSE),"")</f>
        <v/>
      </c>
    </row>
    <row r="70" spans="1:14" ht="45" x14ac:dyDescent="0.25">
      <c r="A70" s="31" t="str">
        <f>IF(ISNONTEXT(TR!K70),"",TR!K70)</f>
        <v>TR-0-DL-IUM-1635</v>
      </c>
      <c r="B70" s="32" t="str">
        <f>TR!A70</f>
        <v>TR-DSRSW-1355</v>
      </c>
      <c r="C70" s="31" t="b">
        <f>ISERROR(FIND("-",TR!B70))</f>
        <v>0</v>
      </c>
      <c r="D70" s="31">
        <f>SetIndent(E70,(TR!C70-1)*2)</f>
        <v>4</v>
      </c>
      <c r="E70" s="35" t="str">
        <f>IF(ISERROR(FIND("-",TR!B70)),TR!B70&amp;" "&amp;TR!D70,TR!D70)</f>
        <v>The product SHALL retain downloaded code in standby mode.</v>
      </c>
      <c r="F70" s="31" t="str">
        <f>TR!E70</f>
        <v>Req</v>
      </c>
      <c r="G70" s="31" t="str">
        <f>IF(ISERROR(FIND("Adara",TR!F70)),"","Adara ")</f>
        <v xml:space="preserve">Adara </v>
      </c>
      <c r="H70" s="31" t="str">
        <f>IF(ISERROR(FIND("Copernicus",TR!F70)),"","Copernicus ")</f>
        <v xml:space="preserve">Copernicus </v>
      </c>
      <c r="I70" s="31" t="str">
        <f>IF(ISERROR(FIND("Deneb",TR!F70)),"","Deneb ")</f>
        <v xml:space="preserve">Deneb </v>
      </c>
      <c r="J70" s="37" t="str">
        <f t="shared" si="1"/>
        <v xml:space="preserve">Adara Copernicus Deneb </v>
      </c>
      <c r="K70" s="31" t="str">
        <f>IF(ISBLANK(TR!G70),"",TR!G70)</f>
        <v/>
      </c>
      <c r="L70" s="31" t="str">
        <f>IF(ISBLANK(TR!H70),"",TR!H70)</f>
        <v>FR-DSRSW-1336</v>
      </c>
      <c r="M70" s="30" t="str">
        <f>TR!J70</f>
        <v>Approved</v>
      </c>
      <c r="N70" s="31" t="str">
        <f>IF(OR(M70="Modified",M70="Cosmetic"),VLOOKUP(B70,PrevPFS!B$1:E$833,4,FALSE),"")</f>
        <v/>
      </c>
    </row>
    <row r="71" spans="1:14" ht="45" x14ac:dyDescent="0.25">
      <c r="A71" s="31" t="str">
        <f>IF(ISNONTEXT(TR!K71),"",TR!K71)</f>
        <v>TR-0-DL-IUM-1636</v>
      </c>
      <c r="B71" s="32" t="str">
        <f>TR!A71</f>
        <v>TR-DSRSW-1356</v>
      </c>
      <c r="C71" s="31" t="b">
        <f>ISERROR(FIND("-",TR!B71))</f>
        <v>0</v>
      </c>
      <c r="D71" s="31">
        <f>SetIndent(E71,(TR!C71-1)*2)</f>
        <v>4</v>
      </c>
      <c r="E71" s="35" t="str">
        <f>IF(ISERROR(FIND("-",TR!B71)),TR!B71&amp;" "&amp;TR!D71,TR!D71)</f>
        <v>The product SHALL retain completed code updates when AC power is removed.</v>
      </c>
      <c r="F71" s="31" t="str">
        <f>TR!E71</f>
        <v>Req</v>
      </c>
      <c r="G71" s="31" t="str">
        <f>IF(ISERROR(FIND("Adara",TR!F71)),"","Adara ")</f>
        <v xml:space="preserve">Adara </v>
      </c>
      <c r="H71" s="31" t="str">
        <f>IF(ISERROR(FIND("Copernicus",TR!F71)),"","Copernicus ")</f>
        <v xml:space="preserve">Copernicus </v>
      </c>
      <c r="I71" s="31" t="str">
        <f>IF(ISERROR(FIND("Deneb",TR!F71)),"","Deneb ")</f>
        <v xml:space="preserve">Deneb </v>
      </c>
      <c r="J71" s="37" t="str">
        <f t="shared" si="1"/>
        <v xml:space="preserve">Adara Copernicus Deneb </v>
      </c>
      <c r="K71" s="31" t="str">
        <f>IF(ISBLANK(TR!G71),"",TR!G71)</f>
        <v/>
      </c>
      <c r="L71" s="31" t="str">
        <f>IF(ISBLANK(TR!H71),"",TR!H71)</f>
        <v>FR-DSRSW-1336</v>
      </c>
      <c r="M71" s="30" t="str">
        <f>TR!J71</f>
        <v>Approved</v>
      </c>
      <c r="N71" s="31" t="str">
        <f>IF(OR(M71="Modified",M71="Cosmetic"),VLOOKUP(B71,PrevPFS!B$1:E$833,4,FALSE),"")</f>
        <v/>
      </c>
    </row>
    <row r="72" spans="1:14" ht="45" x14ac:dyDescent="0.25">
      <c r="A72" s="31" t="str">
        <f>IF(ISNONTEXT(TR!K72),"",TR!K72)</f>
        <v/>
      </c>
      <c r="B72" s="32" t="str">
        <f>TR!A72</f>
        <v>TR-DSRSW-2166</v>
      </c>
      <c r="C72" s="31" t="b">
        <f>ISERROR(FIND("-",TR!B72))</f>
        <v>1</v>
      </c>
      <c r="D72" s="31">
        <f>SetIndent(E72,(TR!C72-1)*2)</f>
        <v>2</v>
      </c>
      <c r="E72" s="34" t="str">
        <f>IF(ISERROR(FIND("-",TR!B72)),TR!B72&amp;" "&amp;TR!D72,TR!D72)</f>
        <v>8.3 Code Update Variable State Retention</v>
      </c>
      <c r="F72" s="31" t="str">
        <f>TR!E72</f>
        <v>Hdr</v>
      </c>
      <c r="G72" s="31" t="str">
        <f>IF(ISERROR(FIND("Adara",TR!F72)),"","Adara ")</f>
        <v xml:space="preserve">Adara </v>
      </c>
      <c r="H72" s="31" t="str">
        <f>IF(ISERROR(FIND("Copernicus",TR!F72)),"","Copernicus ")</f>
        <v xml:space="preserve">Copernicus </v>
      </c>
      <c r="I72" s="31" t="str">
        <f>IF(ISERROR(FIND("Deneb",TR!F72)),"","Deneb ")</f>
        <v xml:space="preserve">Deneb </v>
      </c>
      <c r="J72" s="37" t="str">
        <f t="shared" si="1"/>
        <v xml:space="preserve">Adara Copernicus Deneb </v>
      </c>
      <c r="K72" s="31" t="str">
        <f>IF(ISBLANK(TR!G72),"",TR!G72)</f>
        <v/>
      </c>
      <c r="L72" s="31" t="str">
        <f>IF(ISBLANK(TR!H72),"",TR!H72)</f>
        <v>FR-DSRSW-1336</v>
      </c>
      <c r="M72" s="30" t="str">
        <f>TR!J72</f>
        <v>Approved</v>
      </c>
      <c r="N72" s="31" t="str">
        <f>IF(OR(M72="Modified",M72="Cosmetic"),VLOOKUP(B72,PrevPFS!B$1:E$833,4,FALSE),"")</f>
        <v/>
      </c>
    </row>
    <row r="73" spans="1:14" ht="45" x14ac:dyDescent="0.25">
      <c r="A73" s="31" t="str">
        <f>IF(ISNONTEXT(TR!K73),"",TR!K73)</f>
        <v>TR-0-DL-IUM-1648</v>
      </c>
      <c r="B73" s="32" t="str">
        <f>TR!A73</f>
        <v>TR-DSRSW-1368</v>
      </c>
      <c r="C73" s="31" t="b">
        <f>ISERROR(FIND("-",TR!B73))</f>
        <v>0</v>
      </c>
      <c r="D73" s="31">
        <f>SetIndent(E73,(TR!C73-1)*2)</f>
        <v>4</v>
      </c>
      <c r="E73" s="35" t="str">
        <f>IF(ISERROR(FIND("-",TR!B73)),TR!B73&amp;" "&amp;TR!D73,TR!D73)</f>
        <v>The product SHALL, through a code update, retain EPMs (Electronic Personal Mail). [Note: this requirement is implemented by Shaw, and tested by ARRIS]</v>
      </c>
      <c r="F73" s="31" t="str">
        <f>TR!E73</f>
        <v>Req</v>
      </c>
      <c r="G73" s="31" t="str">
        <f>IF(ISERROR(FIND("Adara",TR!F73)),"","Adara ")</f>
        <v xml:space="preserve">Adara </v>
      </c>
      <c r="H73" s="31" t="str">
        <f>IF(ISERROR(FIND("Copernicus",TR!F73)),"","Copernicus ")</f>
        <v xml:space="preserve">Copernicus </v>
      </c>
      <c r="I73" s="31" t="str">
        <f>IF(ISERROR(FIND("Deneb",TR!F73)),"","Deneb ")</f>
        <v xml:space="preserve">Deneb </v>
      </c>
      <c r="J73" s="37" t="str">
        <f t="shared" si="1"/>
        <v xml:space="preserve">Adara Copernicus Deneb </v>
      </c>
      <c r="K73" s="31" t="str">
        <f>IF(ISBLANK(TR!G73),"",TR!G73)</f>
        <v/>
      </c>
      <c r="L73" s="31" t="str">
        <f>IF(ISBLANK(TR!H73),"",TR!H73)</f>
        <v>FR-DSRSW-1336</v>
      </c>
      <c r="M73" s="30" t="str">
        <f>TR!J73</f>
        <v>Approved</v>
      </c>
      <c r="N73" s="31" t="str">
        <f>IF(OR(M73="Modified",M73="Cosmetic"),VLOOKUP(B73,PrevPFS!B$1:E$833,4,FALSE),"")</f>
        <v/>
      </c>
    </row>
    <row r="74" spans="1:14" ht="45" x14ac:dyDescent="0.25">
      <c r="A74" s="31" t="str">
        <f>IF(ISNONTEXT(TR!K74),"",TR!K74)</f>
        <v>TR-0-DL-IUM-1653</v>
      </c>
      <c r="B74" s="32" t="str">
        <f>TR!A74</f>
        <v>TR-DSRSW-1372</v>
      </c>
      <c r="C74" s="31" t="b">
        <f>ISERROR(FIND("-",TR!B74))</f>
        <v>0</v>
      </c>
      <c r="D74" s="31">
        <f>SetIndent(E74,(TR!C74-1)*2)</f>
        <v>4</v>
      </c>
      <c r="E74" s="35" t="str">
        <f>IF(ISERROR(FIND("-",TR!B74)),TR!B74&amp;" "&amp;TR!D74,TR!D74)</f>
        <v>The product SHALL, through a code update, retain last channel viewed. [Note: this requirement is implemented by Shaw, and tested by ARRIS]</v>
      </c>
      <c r="F74" s="31" t="str">
        <f>TR!E74</f>
        <v>Req</v>
      </c>
      <c r="G74" s="31" t="str">
        <f>IF(ISERROR(FIND("Adara",TR!F74)),"","Adara ")</f>
        <v xml:space="preserve">Adara </v>
      </c>
      <c r="H74" s="31" t="str">
        <f>IF(ISERROR(FIND("Copernicus",TR!F74)),"","Copernicus ")</f>
        <v xml:space="preserve">Copernicus </v>
      </c>
      <c r="I74" s="31" t="str">
        <f>IF(ISERROR(FIND("Deneb",TR!F74)),"","Deneb ")</f>
        <v xml:space="preserve">Deneb </v>
      </c>
      <c r="J74" s="37" t="str">
        <f t="shared" si="1"/>
        <v xml:space="preserve">Adara Copernicus Deneb </v>
      </c>
      <c r="K74" s="31" t="str">
        <f>IF(ISBLANK(TR!G74),"",TR!G74)</f>
        <v/>
      </c>
      <c r="L74" s="31" t="str">
        <f>IF(ISBLANK(TR!H74),"",TR!H74)</f>
        <v>FR-DSRSW-1336</v>
      </c>
      <c r="M74" s="30" t="str">
        <f>TR!J74</f>
        <v>Approved</v>
      </c>
      <c r="N74" s="31" t="str">
        <f>IF(OR(M74="Modified",M74="Cosmetic"),VLOOKUP(B74,PrevPFS!B$1:E$833,4,FALSE),"")</f>
        <v/>
      </c>
    </row>
    <row r="75" spans="1:14" ht="45" x14ac:dyDescent="0.25">
      <c r="A75" s="31" t="str">
        <f>IF(ISNONTEXT(TR!K75),"",TR!K75)</f>
        <v>TR-0-DL-IUM-1645</v>
      </c>
      <c r="B75" s="32" t="str">
        <f>TR!A75</f>
        <v>TR-DSRSW-1365</v>
      </c>
      <c r="C75" s="31" t="b">
        <f>ISERROR(FIND("-",TR!B75))</f>
        <v>0</v>
      </c>
      <c r="D75" s="31">
        <f>SetIndent(E75,(TR!C75-1)*2)</f>
        <v>4</v>
      </c>
      <c r="E75" s="35" t="str">
        <f>IF(ISERROR(FIND("-",TR!B75)),TR!B75&amp;" "&amp;TR!D75,TR!D75)</f>
        <v>The product SHALL, through a code update, retain user video settings. [Note: this requirement is implemented by Shaw, and tested by ARRIS]</v>
      </c>
      <c r="F75" s="31" t="str">
        <f>TR!E75</f>
        <v>Req</v>
      </c>
      <c r="G75" s="31" t="str">
        <f>IF(ISERROR(FIND("Adara",TR!F75)),"","Adara ")</f>
        <v xml:space="preserve">Adara </v>
      </c>
      <c r="H75" s="31" t="str">
        <f>IF(ISERROR(FIND("Copernicus",TR!F75)),"","Copernicus ")</f>
        <v xml:space="preserve">Copernicus </v>
      </c>
      <c r="I75" s="31" t="str">
        <f>IF(ISERROR(FIND("Deneb",TR!F75)),"","Deneb ")</f>
        <v xml:space="preserve">Deneb </v>
      </c>
      <c r="J75" s="37" t="str">
        <f t="shared" si="1"/>
        <v xml:space="preserve">Adara Copernicus Deneb </v>
      </c>
      <c r="K75" s="31" t="str">
        <f>IF(ISBLANK(TR!G75),"",TR!G75)</f>
        <v/>
      </c>
      <c r="L75" s="31" t="str">
        <f>IF(ISBLANK(TR!H75),"",TR!H75)</f>
        <v>FR-DSRSW-1336</v>
      </c>
      <c r="M75" s="30" t="str">
        <f>TR!J75</f>
        <v>Approved</v>
      </c>
      <c r="N75" s="31" t="str">
        <f>IF(OR(M75="Modified",M75="Cosmetic"),VLOOKUP(B75,PrevPFS!B$1:E$833,4,FALSE),"")</f>
        <v/>
      </c>
    </row>
    <row r="76" spans="1:14" ht="45" x14ac:dyDescent="0.25">
      <c r="A76" s="31" t="str">
        <f>IF(ISNONTEXT(TR!K76),"",TR!K76)</f>
        <v>TR-0-DL-IUM-1646</v>
      </c>
      <c r="B76" s="32" t="str">
        <f>TR!A76</f>
        <v>TR-DSRSW-1366</v>
      </c>
      <c r="C76" s="31" t="b">
        <f>ISERROR(FIND("-",TR!B76))</f>
        <v>0</v>
      </c>
      <c r="D76" s="31">
        <f>SetIndent(E76,(TR!C76-1)*2)</f>
        <v>4</v>
      </c>
      <c r="E76" s="35" t="str">
        <f>IF(ISERROR(FIND("-",TR!B76)),TR!B76&amp;" "&amp;TR!D76,TR!D76)</f>
        <v>The product SHALL, through a code update, retain user audio settings. [Note: this requirement is implemented by Shaw, and tested by ARRIS]</v>
      </c>
      <c r="F76" s="31" t="str">
        <f>TR!E76</f>
        <v>Req</v>
      </c>
      <c r="G76" s="31" t="str">
        <f>IF(ISERROR(FIND("Adara",TR!F76)),"","Adara ")</f>
        <v xml:space="preserve">Adara </v>
      </c>
      <c r="H76" s="31" t="str">
        <f>IF(ISERROR(FIND("Copernicus",TR!F76)),"","Copernicus ")</f>
        <v xml:space="preserve">Copernicus </v>
      </c>
      <c r="I76" s="31" t="str">
        <f>IF(ISERROR(FIND("Deneb",TR!F76)),"","Deneb ")</f>
        <v xml:space="preserve">Deneb </v>
      </c>
      <c r="J76" s="37" t="str">
        <f t="shared" si="1"/>
        <v xml:space="preserve">Adara Copernicus Deneb </v>
      </c>
      <c r="K76" s="31" t="str">
        <f>IF(ISBLANK(TR!G76),"",TR!G76)</f>
        <v/>
      </c>
      <c r="L76" s="31" t="str">
        <f>IF(ISBLANK(TR!H76),"",TR!H76)</f>
        <v>FR-DSRSW-1336</v>
      </c>
      <c r="M76" s="30" t="str">
        <f>TR!J76</f>
        <v>Approved</v>
      </c>
      <c r="N76" s="31" t="str">
        <f>IF(OR(M76="Modified",M76="Cosmetic"),VLOOKUP(B76,PrevPFS!B$1:E$833,4,FALSE),"")</f>
        <v/>
      </c>
    </row>
    <row r="77" spans="1:14" ht="45" x14ac:dyDescent="0.25">
      <c r="A77" s="31" t="str">
        <f>IF(ISNONTEXT(TR!K77),"",TR!K77)</f>
        <v>TR-0-DL-IUM-1647</v>
      </c>
      <c r="B77" s="32" t="str">
        <f>TR!A77</f>
        <v>TR-DSRSW-1367</v>
      </c>
      <c r="C77" s="31" t="b">
        <f>ISERROR(FIND("-",TR!B77))</f>
        <v>0</v>
      </c>
      <c r="D77" s="31">
        <f>SetIndent(E77,(TR!C77-1)*2)</f>
        <v>4</v>
      </c>
      <c r="E77" s="35" t="str">
        <f>IF(ISERROR(FIND("-",TR!B77)),TR!B77&amp;" "&amp;TR!D77,TR!D77)</f>
        <v>The product SHALL, through a code update, retain user GUI language settings. [Note: this requirement is implemented by Shaw, and tested by ARRIS]</v>
      </c>
      <c r="F77" s="31" t="str">
        <f>TR!E77</f>
        <v>Req</v>
      </c>
      <c r="G77" s="31" t="str">
        <f>IF(ISERROR(FIND("Adara",TR!F77)),"","Adara ")</f>
        <v xml:space="preserve">Adara </v>
      </c>
      <c r="H77" s="31" t="str">
        <f>IF(ISERROR(FIND("Copernicus",TR!F77)),"","Copernicus ")</f>
        <v xml:space="preserve">Copernicus </v>
      </c>
      <c r="I77" s="31" t="str">
        <f>IF(ISERROR(FIND("Deneb",TR!F77)),"","Deneb ")</f>
        <v xml:space="preserve">Deneb </v>
      </c>
      <c r="J77" s="37" t="str">
        <f t="shared" si="1"/>
        <v xml:space="preserve">Adara Copernicus Deneb </v>
      </c>
      <c r="K77" s="31" t="str">
        <f>IF(ISBLANK(TR!G77),"",TR!G77)</f>
        <v/>
      </c>
      <c r="L77" s="31" t="str">
        <f>IF(ISBLANK(TR!H77),"",TR!H77)</f>
        <v>FR-DSRSW-1336</v>
      </c>
      <c r="M77" s="30" t="str">
        <f>TR!J77</f>
        <v>Approved</v>
      </c>
      <c r="N77" s="31" t="str">
        <f>IF(OR(M77="Modified",M77="Cosmetic"),VLOOKUP(B77,PrevPFS!B$1:E$833,4,FALSE),"")</f>
        <v/>
      </c>
    </row>
    <row r="78" spans="1:14" ht="45" x14ac:dyDescent="0.25">
      <c r="A78" s="31" t="str">
        <f>IF(ISNONTEXT(TR!K78),"",TR!K78)</f>
        <v>TR-0-DL-IUM-1643</v>
      </c>
      <c r="B78" s="32" t="str">
        <f>TR!A78</f>
        <v>TR-DSRSW-1363</v>
      </c>
      <c r="C78" s="31" t="b">
        <f>ISERROR(FIND("-",TR!B78))</f>
        <v>0</v>
      </c>
      <c r="D78" s="31">
        <f>SetIndent(E78,(TR!C78-1)*2)</f>
        <v>4</v>
      </c>
      <c r="E78" s="35" t="str">
        <f>IF(ISERROR(FIND("-",TR!B78)),TR!B78&amp;" "&amp;TR!D78,TR!D78)</f>
        <v>The product SHALL, through a code update, retain network information tables.</v>
      </c>
      <c r="F78" s="31" t="str">
        <f>TR!E78</f>
        <v>Req</v>
      </c>
      <c r="G78" s="31" t="str">
        <f>IF(ISERROR(FIND("Adara",TR!F78)),"","Adara ")</f>
        <v xml:space="preserve">Adara </v>
      </c>
      <c r="H78" s="31" t="str">
        <f>IF(ISERROR(FIND("Copernicus",TR!F78)),"","Copernicus ")</f>
        <v xml:space="preserve">Copernicus </v>
      </c>
      <c r="I78" s="31" t="str">
        <f>IF(ISERROR(FIND("Deneb",TR!F78)),"","Deneb ")</f>
        <v xml:space="preserve">Deneb </v>
      </c>
      <c r="J78" s="37" t="str">
        <f t="shared" si="1"/>
        <v xml:space="preserve">Adara Copernicus Deneb </v>
      </c>
      <c r="K78" s="31" t="str">
        <f>IF(ISBLANK(TR!G78),"",TR!G78)</f>
        <v/>
      </c>
      <c r="L78" s="31" t="str">
        <f>IF(ISBLANK(TR!H78),"",TR!H78)</f>
        <v>FR-DSRSW-1336</v>
      </c>
      <c r="M78" s="30" t="str">
        <f>TR!J78</f>
        <v>Approved</v>
      </c>
      <c r="N78" s="31" t="str">
        <f>IF(OR(M78="Modified",M78="Cosmetic"),VLOOKUP(B78,PrevPFS!B$1:E$833,4,FALSE),"")</f>
        <v/>
      </c>
    </row>
    <row r="79" spans="1:14" ht="45" x14ac:dyDescent="0.25">
      <c r="A79" s="31" t="str">
        <f>IF(ISNONTEXT(TR!K79),"",TR!K79)</f>
        <v>TR-0-DL-IUM-1644</v>
      </c>
      <c r="B79" s="32" t="str">
        <f>TR!A79</f>
        <v>TR-DSRSW-1364</v>
      </c>
      <c r="C79" s="31" t="b">
        <f>ISERROR(FIND("-",TR!B79))</f>
        <v>0</v>
      </c>
      <c r="D79" s="31">
        <f>SetIndent(E79,(TR!C79-1)*2)</f>
        <v>4</v>
      </c>
      <c r="E79" s="35" t="str">
        <f>IF(ISERROR(FIND("-",TR!B79)),TR!B79&amp;" "&amp;TR!D79,TR!D79)</f>
        <v>The product SHALL, through a code update, retain the virtual channel table.</v>
      </c>
      <c r="F79" s="31" t="str">
        <f>TR!E79</f>
        <v>Req</v>
      </c>
      <c r="G79" s="31" t="str">
        <f>IF(ISERROR(FIND("Adara",TR!F79)),"","Adara ")</f>
        <v xml:space="preserve">Adara </v>
      </c>
      <c r="H79" s="31" t="str">
        <f>IF(ISERROR(FIND("Copernicus",TR!F79)),"","Copernicus ")</f>
        <v xml:space="preserve">Copernicus </v>
      </c>
      <c r="I79" s="31" t="str">
        <f>IF(ISERROR(FIND("Deneb",TR!F79)),"","Deneb ")</f>
        <v xml:space="preserve">Deneb </v>
      </c>
      <c r="J79" s="37" t="str">
        <f t="shared" si="1"/>
        <v xml:space="preserve">Adara Copernicus Deneb </v>
      </c>
      <c r="K79" s="31" t="str">
        <f>IF(ISBLANK(TR!G79),"",TR!G79)</f>
        <v/>
      </c>
      <c r="L79" s="31" t="str">
        <f>IF(ISBLANK(TR!H79),"",TR!H79)</f>
        <v>FR-DSRSW-1336</v>
      </c>
      <c r="M79" s="30" t="str">
        <f>TR!J79</f>
        <v>Approved</v>
      </c>
      <c r="N79" s="31" t="str">
        <f>IF(OR(M79="Modified",M79="Cosmetic"),VLOOKUP(B79,PrevPFS!B$1:E$833,4,FALSE),"")</f>
        <v/>
      </c>
    </row>
    <row r="80" spans="1:14" ht="45" x14ac:dyDescent="0.25">
      <c r="A80" s="31" t="str">
        <f>IF(ISNONTEXT(TR!K80),"",TR!K80)</f>
        <v>TR-0-DL-IUM-1650</v>
      </c>
      <c r="B80" s="32" t="str">
        <f>TR!A80</f>
        <v>TR-DSRSW-1369</v>
      </c>
      <c r="C80" s="31" t="b">
        <f>ISERROR(FIND("-",TR!B80))</f>
        <v>0</v>
      </c>
      <c r="D80" s="31">
        <f>SetIndent(E80,(TR!C80-1)*2)</f>
        <v>4</v>
      </c>
      <c r="E80" s="35" t="str">
        <f>IF(ISERROR(FIND("-",TR!B80)),TR!B80&amp;" "&amp;TR!D80,TR!D80)</f>
        <v>The product SHALL, through a code update, retain geographic location.</v>
      </c>
      <c r="F80" s="31" t="str">
        <f>TR!E80</f>
        <v>Req</v>
      </c>
      <c r="G80" s="31" t="str">
        <f>IF(ISERROR(FIND("Adara",TR!F80)),"","Adara ")</f>
        <v xml:space="preserve">Adara </v>
      </c>
      <c r="H80" s="31" t="str">
        <f>IF(ISERROR(FIND("Copernicus",TR!F80)),"","Copernicus ")</f>
        <v xml:space="preserve">Copernicus </v>
      </c>
      <c r="I80" s="31" t="str">
        <f>IF(ISERROR(FIND("Deneb",TR!F80)),"","Deneb ")</f>
        <v xml:space="preserve">Deneb </v>
      </c>
      <c r="J80" s="37" t="str">
        <f t="shared" si="1"/>
        <v xml:space="preserve">Adara Copernicus Deneb </v>
      </c>
      <c r="K80" s="31" t="str">
        <f>IF(ISBLANK(TR!G80),"",TR!G80)</f>
        <v/>
      </c>
      <c r="L80" s="31" t="str">
        <f>IF(ISBLANK(TR!H80),"",TR!H80)</f>
        <v>FR-DSRSW-1336</v>
      </c>
      <c r="M80" s="30" t="str">
        <f>TR!J80</f>
        <v>Approved</v>
      </c>
      <c r="N80" s="31" t="str">
        <f>IF(OR(M80="Modified",M80="Cosmetic"),VLOOKUP(B80,PrevPFS!B$1:E$833,4,FALSE),"")</f>
        <v/>
      </c>
    </row>
    <row r="81" spans="1:14" ht="45" x14ac:dyDescent="0.25">
      <c r="A81" s="31" t="str">
        <f>IF(ISNONTEXT(TR!K81),"",TR!K81)</f>
        <v>TR-0-DL-IUM-1651</v>
      </c>
      <c r="B81" s="32" t="str">
        <f>TR!A81</f>
        <v>TR-DSRSW-1370</v>
      </c>
      <c r="C81" s="31" t="b">
        <f>ISERROR(FIND("-",TR!B81))</f>
        <v>0</v>
      </c>
      <c r="D81" s="31">
        <f>SetIndent(E81,(TR!C81-1)*2)</f>
        <v>4</v>
      </c>
      <c r="E81" s="35" t="str">
        <f>IF(ISERROR(FIND("-",TR!B81)),TR!B81&amp;" "&amp;TR!D81,TR!D81)</f>
        <v>The product SHALL, through a code update, retain region.</v>
      </c>
      <c r="F81" s="31" t="str">
        <f>TR!E81</f>
        <v>Req</v>
      </c>
      <c r="G81" s="31" t="str">
        <f>IF(ISERROR(FIND("Adara",TR!F81)),"","Adara ")</f>
        <v xml:space="preserve">Adara </v>
      </c>
      <c r="H81" s="31" t="str">
        <f>IF(ISERROR(FIND("Copernicus",TR!F81)),"","Copernicus ")</f>
        <v xml:space="preserve">Copernicus </v>
      </c>
      <c r="I81" s="31" t="str">
        <f>IF(ISERROR(FIND("Deneb",TR!F81)),"","Deneb ")</f>
        <v xml:space="preserve">Deneb </v>
      </c>
      <c r="J81" s="37" t="str">
        <f t="shared" si="1"/>
        <v xml:space="preserve">Adara Copernicus Deneb </v>
      </c>
      <c r="K81" s="31" t="str">
        <f>IF(ISBLANK(TR!G81),"",TR!G81)</f>
        <v/>
      </c>
      <c r="L81" s="31" t="str">
        <f>IF(ISBLANK(TR!H81),"",TR!H81)</f>
        <v>FR-DSRSW-1336</v>
      </c>
      <c r="M81" s="30" t="str">
        <f>TR!J81</f>
        <v>Approved</v>
      </c>
      <c r="N81" s="31" t="str">
        <f>IF(OR(M81="Modified",M81="Cosmetic"),VLOOKUP(B81,PrevPFS!B$1:E$833,4,FALSE),"")</f>
        <v/>
      </c>
    </row>
    <row r="82" spans="1:14" ht="45" x14ac:dyDescent="0.25">
      <c r="A82" s="31" t="str">
        <f>IF(ISNONTEXT(TR!K82),"",TR!K82)</f>
        <v>TR-0-DL-IUM-1652</v>
      </c>
      <c r="B82" s="32" t="str">
        <f>TR!A82</f>
        <v>TR-DSRSW-1371</v>
      </c>
      <c r="C82" s="31" t="b">
        <f>ISERROR(FIND("-",TR!B82))</f>
        <v>0</v>
      </c>
      <c r="D82" s="31">
        <f>SetIndent(E82,(TR!C82-1)*2)</f>
        <v>4</v>
      </c>
      <c r="E82" s="35" t="str">
        <f>IF(ISERROR(FIND("-",TR!B82)),TR!B82&amp;" "&amp;TR!D82,TR!D82)</f>
        <v>The product SHALL, through a code update, retain multicast 16 addresses.</v>
      </c>
      <c r="F82" s="31" t="str">
        <f>TR!E82</f>
        <v>Req</v>
      </c>
      <c r="G82" s="31" t="str">
        <f>IF(ISERROR(FIND("Adara",TR!F82)),"","Adara ")</f>
        <v xml:space="preserve">Adara </v>
      </c>
      <c r="H82" s="31" t="str">
        <f>IF(ISERROR(FIND("Copernicus",TR!F82)),"","Copernicus ")</f>
        <v xml:space="preserve">Copernicus </v>
      </c>
      <c r="I82" s="31" t="str">
        <f>IF(ISERROR(FIND("Deneb",TR!F82)),"","Deneb ")</f>
        <v xml:space="preserve">Deneb </v>
      </c>
      <c r="J82" s="37" t="str">
        <f t="shared" si="1"/>
        <v xml:space="preserve">Adara Copernicus Deneb </v>
      </c>
      <c r="K82" s="31" t="str">
        <f>IF(ISBLANK(TR!G82),"",TR!G82)</f>
        <v/>
      </c>
      <c r="L82" s="31" t="str">
        <f>IF(ISBLANK(TR!H82),"",TR!H82)</f>
        <v>FR-DSRSW-1336</v>
      </c>
      <c r="M82" s="30" t="str">
        <f>TR!J82</f>
        <v>Approved</v>
      </c>
      <c r="N82" s="31" t="str">
        <f>IF(OR(M82="Modified",M82="Cosmetic"),VLOOKUP(B82,PrevPFS!B$1:E$833,4,FALSE),"")</f>
        <v/>
      </c>
    </row>
    <row r="83" spans="1:14" ht="45" x14ac:dyDescent="0.25">
      <c r="A83" s="31" t="str">
        <f>IF(ISNONTEXT(TR!K83),"",TR!K83)</f>
        <v>TR-0-DL-IUM-1654</v>
      </c>
      <c r="B83" s="32" t="str">
        <f>TR!A83</f>
        <v>TR-DSRSW-1373</v>
      </c>
      <c r="C83" s="31" t="b">
        <f>ISERROR(FIND("-",TR!B83))</f>
        <v>0</v>
      </c>
      <c r="D83" s="31">
        <f>SetIndent(E83,(TR!C83-1)*2)</f>
        <v>4</v>
      </c>
      <c r="E83" s="35" t="str">
        <f>IF(ISERROR(FIND("-",TR!B83)),TR!B83&amp;" "&amp;TR!D83,TR!D83)</f>
        <v>The product SHALL, through a code update, retain tier authorizations.</v>
      </c>
      <c r="F83" s="31" t="str">
        <f>TR!E83</f>
        <v>Req</v>
      </c>
      <c r="G83" s="31" t="str">
        <f>IF(ISERROR(FIND("Adara",TR!F83)),"","Adara ")</f>
        <v xml:space="preserve">Adara </v>
      </c>
      <c r="H83" s="31" t="str">
        <f>IF(ISERROR(FIND("Copernicus",TR!F83)),"","Copernicus ")</f>
        <v xml:space="preserve">Copernicus </v>
      </c>
      <c r="I83" s="31" t="str">
        <f>IF(ISERROR(FIND("Deneb",TR!F83)),"","Deneb ")</f>
        <v xml:space="preserve">Deneb </v>
      </c>
      <c r="J83" s="37" t="str">
        <f t="shared" si="1"/>
        <v xml:space="preserve">Adara Copernicus Deneb </v>
      </c>
      <c r="K83" s="31" t="str">
        <f>IF(ISBLANK(TR!G83),"",TR!G83)</f>
        <v/>
      </c>
      <c r="L83" s="31" t="str">
        <f>IF(ISBLANK(TR!H83),"",TR!H83)</f>
        <v>FR-DSRSW-1336</v>
      </c>
      <c r="M83" s="30" t="str">
        <f>TR!J83</f>
        <v>Approved</v>
      </c>
      <c r="N83" s="31" t="str">
        <f>IF(OR(M83="Modified",M83="Cosmetic"),VLOOKUP(B83,PrevPFS!B$1:E$833,4,FALSE),"")</f>
        <v/>
      </c>
    </row>
    <row r="84" spans="1:14" ht="45" x14ac:dyDescent="0.25">
      <c r="A84" s="31" t="str">
        <f>IF(ISNONTEXT(TR!K84),"",TR!K84)</f>
        <v>TR-0-DL-IUM-1655</v>
      </c>
      <c r="B84" s="32" t="str">
        <f>TR!A84</f>
        <v>TR-DSRSW-1374</v>
      </c>
      <c r="C84" s="31" t="b">
        <f>ISERROR(FIND("-",TR!B84))</f>
        <v>0</v>
      </c>
      <c r="D84" s="31">
        <f>SetIndent(E84,(TR!C84-1)*2)</f>
        <v>4</v>
      </c>
      <c r="E84" s="35" t="str">
        <f>IF(ISERROR(FIND("-",TR!B84)),TR!B84&amp;" "&amp;TR!D84,TR!D84)</f>
        <v>The product SHALL, through a code update, retain the Remote Control Unit address.</v>
      </c>
      <c r="F84" s="31" t="str">
        <f>TR!E84</f>
        <v>Req</v>
      </c>
      <c r="G84" s="31" t="str">
        <f>IF(ISERROR(FIND("Adara",TR!F84)),"","Adara ")</f>
        <v xml:space="preserve">Adara </v>
      </c>
      <c r="H84" s="31" t="str">
        <f>IF(ISERROR(FIND("Copernicus",TR!F84)),"","Copernicus ")</f>
        <v xml:space="preserve">Copernicus </v>
      </c>
      <c r="I84" s="31" t="str">
        <f>IF(ISERROR(FIND("Deneb",TR!F84)),"","Deneb ")</f>
        <v xml:space="preserve">Deneb </v>
      </c>
      <c r="J84" s="37" t="str">
        <f t="shared" si="1"/>
        <v xml:space="preserve">Adara Copernicus Deneb </v>
      </c>
      <c r="K84" s="31" t="str">
        <f>IF(ISBLANK(TR!G84),"",TR!G84)</f>
        <v/>
      </c>
      <c r="L84" s="31" t="str">
        <f>IF(ISBLANK(TR!H84),"",TR!H84)</f>
        <v>FR-DSRSW-1336</v>
      </c>
      <c r="M84" s="30" t="str">
        <f>TR!J84</f>
        <v>Approved</v>
      </c>
      <c r="N84" s="31" t="str">
        <f>IF(OR(M84="Modified",M84="Cosmetic"),VLOOKUP(B84,PrevPFS!B$1:E$833,4,FALSE),"")</f>
        <v/>
      </c>
    </row>
    <row r="85" spans="1:14" ht="45" x14ac:dyDescent="0.25">
      <c r="A85" s="31" t="str">
        <f>IF(ISNONTEXT(TR!K85),"",TR!K85)</f>
        <v/>
      </c>
      <c r="B85" s="32" t="str">
        <f>TR!A85</f>
        <v>TR-DSRSW-2167</v>
      </c>
      <c r="C85" s="31" t="b">
        <f>ISERROR(FIND("-",TR!B85))</f>
        <v>1</v>
      </c>
      <c r="D85" s="31">
        <f>SetIndent(E85,(TR!C85-1)*2)</f>
        <v>2</v>
      </c>
      <c r="E85" s="34" t="str">
        <f>IF(ISERROR(FIND("-",TR!B85)),TR!B85&amp;" "&amp;TR!D85,TR!D85)</f>
        <v>8.4 Code Download and Initiation</v>
      </c>
      <c r="F85" s="31" t="str">
        <f>TR!E85</f>
        <v>Hdr</v>
      </c>
      <c r="G85" s="31" t="str">
        <f>IF(ISERROR(FIND("Adara",TR!F85)),"","Adara ")</f>
        <v xml:space="preserve">Adara </v>
      </c>
      <c r="H85" s="31" t="str">
        <f>IF(ISERROR(FIND("Copernicus",TR!F85)),"","Copernicus ")</f>
        <v xml:space="preserve">Copernicus </v>
      </c>
      <c r="I85" s="31" t="str">
        <f>IF(ISERROR(FIND("Deneb",TR!F85)),"","Deneb ")</f>
        <v xml:space="preserve">Deneb </v>
      </c>
      <c r="J85" s="37" t="str">
        <f t="shared" si="1"/>
        <v xml:space="preserve">Adara Copernicus Deneb </v>
      </c>
      <c r="K85" s="31" t="str">
        <f>IF(ISBLANK(TR!G85),"",TR!G85)</f>
        <v/>
      </c>
      <c r="L85" s="31" t="str">
        <f>IF(ISBLANK(TR!H85),"",TR!H85)</f>
        <v>FR-DSRSW-1336</v>
      </c>
      <c r="M85" s="30" t="str">
        <f>TR!J85</f>
        <v>Approved</v>
      </c>
      <c r="N85" s="31" t="str">
        <f>IF(OR(M85="Modified",M85="Cosmetic"),VLOOKUP(B85,PrevPFS!B$1:E$833,4,FALSE),"")</f>
        <v/>
      </c>
    </row>
    <row r="86" spans="1:14" ht="45" x14ac:dyDescent="0.25">
      <c r="A86" s="31" t="str">
        <f>IF(ISNONTEXT(TR!K86),"",TR!K86)</f>
        <v/>
      </c>
      <c r="B86" s="32" t="str">
        <f>TR!A86</f>
        <v>TR-DSRSW-2488</v>
      </c>
      <c r="C86" s="31" t="b">
        <f>ISERROR(FIND("-",TR!B86))</f>
        <v>0</v>
      </c>
      <c r="D86" s="31">
        <f>SetIndent(E86,(TR!C86-1)*2)</f>
        <v>4</v>
      </c>
      <c r="E86" s="35" t="str">
        <f>IF(ISERROR(FIND("-",TR!B86)),TR!B86&amp;" "&amp;TR!D86,TR!D86)</f>
        <v xml:space="preserve">The following requirements define when to initiate a code download process for DSRs, given the correct parameters are met in Download Preamble message as described in the DCII MSP [DCII MSP-1] </v>
      </c>
      <c r="F86" s="31" t="str">
        <f>TR!E86</f>
        <v>Com</v>
      </c>
      <c r="G86" s="31" t="str">
        <f>IF(ISERROR(FIND("Adara",TR!F86)),"","Adara ")</f>
        <v xml:space="preserve">Adara </v>
      </c>
      <c r="H86" s="31" t="str">
        <f>IF(ISERROR(FIND("Copernicus",TR!F86)),"","Copernicus ")</f>
        <v xml:space="preserve">Copernicus </v>
      </c>
      <c r="I86" s="31" t="str">
        <f>IF(ISERROR(FIND("Deneb",TR!F86)),"","Deneb ")</f>
        <v xml:space="preserve">Deneb </v>
      </c>
      <c r="J86" s="37" t="str">
        <f t="shared" si="1"/>
        <v xml:space="preserve">Adara Copernicus Deneb </v>
      </c>
      <c r="K86" s="31" t="str">
        <f>IF(ISBLANK(TR!G86),"",TR!G86)</f>
        <v/>
      </c>
      <c r="L86" s="31" t="str">
        <f>IF(ISBLANK(TR!H86),"",TR!H86)</f>
        <v/>
      </c>
      <c r="M86" s="30" t="str">
        <f>TR!J86</f>
        <v>Approved</v>
      </c>
      <c r="N86" s="31" t="str">
        <f>IF(OR(M86="Modified",M86="Cosmetic"),VLOOKUP(B86,PrevPFS!B$1:E$833,4,FALSE),"")</f>
        <v/>
      </c>
    </row>
    <row r="87" spans="1:14" ht="45" x14ac:dyDescent="0.25">
      <c r="A87" s="31" t="str">
        <f>IF(ISNONTEXT(TR!K87),"",TR!K87)</f>
        <v/>
      </c>
      <c r="B87" s="32" t="str">
        <f>TR!A87</f>
        <v>TR-DSRSW-2169</v>
      </c>
      <c r="C87" s="31" t="b">
        <f>ISERROR(FIND("-",TR!B87))</f>
        <v>1</v>
      </c>
      <c r="D87" s="31">
        <f>SetIndent(E87,(TR!C87-1)*2)</f>
        <v>4</v>
      </c>
      <c r="E87" s="35" t="str">
        <f>IF(ISERROR(FIND("-",TR!B87)),TR!B87&amp;" "&amp;TR!D87,TR!D87)</f>
        <v>8.4.1 Opportunity Download</v>
      </c>
      <c r="F87" s="31" t="str">
        <f>TR!E87</f>
        <v>Hdr</v>
      </c>
      <c r="G87" s="31" t="str">
        <f>IF(ISERROR(FIND("Adara",TR!F87)),"","Adara ")</f>
        <v xml:space="preserve">Adara </v>
      </c>
      <c r="H87" s="31" t="str">
        <f>IF(ISERROR(FIND("Copernicus",TR!F87)),"","Copernicus ")</f>
        <v xml:space="preserve">Copernicus </v>
      </c>
      <c r="I87" s="31" t="str">
        <f>IF(ISERROR(FIND("Deneb",TR!F87)),"","Deneb ")</f>
        <v xml:space="preserve">Deneb </v>
      </c>
      <c r="J87" s="37" t="str">
        <f t="shared" si="1"/>
        <v xml:space="preserve">Adara Copernicus Deneb </v>
      </c>
      <c r="K87" s="31" t="str">
        <f>IF(ISBLANK(TR!G87),"",TR!G87)</f>
        <v/>
      </c>
      <c r="L87" s="31" t="str">
        <f>IF(ISBLANK(TR!H87),"",TR!H87)</f>
        <v>FR-DSRSW-1336</v>
      </c>
      <c r="M87" s="30" t="str">
        <f>TR!J87</f>
        <v>Approved</v>
      </c>
      <c r="N87" s="31" t="str">
        <f>IF(OR(M87="Modified",M87="Cosmetic"),VLOOKUP(B87,PrevPFS!B$1:E$833,4,FALSE),"")</f>
        <v/>
      </c>
    </row>
    <row r="88" spans="1:14" ht="45" x14ac:dyDescent="0.25">
      <c r="A88" s="31" t="str">
        <f>IF(ISNONTEXT(TR!K88),"",TR!K88)</f>
        <v>TR-0-DL-IUM-1503</v>
      </c>
      <c r="B88" s="32" t="str">
        <f>TR!A88</f>
        <v>TR-DSRSW-2435</v>
      </c>
      <c r="C88" s="31" t="b">
        <f>ISERROR(FIND("-",TR!B88))</f>
        <v>0</v>
      </c>
      <c r="D88" s="31">
        <f>SetIndent(E88,(TR!C88-1)*2)</f>
        <v>6</v>
      </c>
      <c r="E88" s="38" t="str">
        <f>IF(ISERROR(FIND("-",TR!B88)),TR!B88&amp;" "&amp;TR!D88,TR!D88)</f>
        <v>The product SHALL activate the newly downloaded code when the opportunity download is complete.</v>
      </c>
      <c r="F88" s="31" t="str">
        <f>TR!E88</f>
        <v>Req</v>
      </c>
      <c r="G88" s="31" t="str">
        <f>IF(ISERROR(FIND("Adara",TR!F88)),"","Adara ")</f>
        <v xml:space="preserve">Adara </v>
      </c>
      <c r="H88" s="31" t="str">
        <f>IF(ISERROR(FIND("Copernicus",TR!F88)),"","Copernicus ")</f>
        <v xml:space="preserve">Copernicus </v>
      </c>
      <c r="I88" s="31" t="str">
        <f>IF(ISERROR(FIND("Deneb",TR!F88)),"","Deneb ")</f>
        <v xml:space="preserve">Deneb </v>
      </c>
      <c r="J88" s="37" t="str">
        <f t="shared" si="1"/>
        <v xml:space="preserve">Adara Copernicus Deneb </v>
      </c>
      <c r="K88" s="31" t="str">
        <f>IF(ISBLANK(TR!G88),"",TR!G88)</f>
        <v/>
      </c>
      <c r="L88" s="31" t="str">
        <f>IF(ISBLANK(TR!H88),"",TR!H88)</f>
        <v>FR-DSRSW-1336</v>
      </c>
      <c r="M88" s="30" t="str">
        <f>TR!J88</f>
        <v>Approved</v>
      </c>
      <c r="N88" s="31" t="str">
        <f>IF(OR(M88="Modified",M88="Cosmetic"),VLOOKUP(B88,PrevPFS!B$1:E$833,4,FALSE),"")</f>
        <v/>
      </c>
    </row>
    <row r="89" spans="1:14" ht="45" x14ac:dyDescent="0.25">
      <c r="A89" s="31" t="str">
        <f>IF(ISNONTEXT(TR!K89),"",TR!K89)</f>
        <v/>
      </c>
      <c r="B89" s="32" t="str">
        <f>TR!A89</f>
        <v>TR-DSRSW-2480</v>
      </c>
      <c r="C89" s="31" t="b">
        <f>ISERROR(FIND("-",TR!B89))</f>
        <v>0</v>
      </c>
      <c r="D89" s="31">
        <f>SetIndent(E89,(TR!C89-1)*2)</f>
        <v>6</v>
      </c>
      <c r="E89" s="38" t="str">
        <f>IF(ISERROR(FIND("-",TR!B89)),TR!B89&amp;" "&amp;TR!D89,TR!D89)</f>
        <v>The product SHALL alert the application of a opportunity download if the product has received a valid download_preamble() message with the force_download_now flag set to "no.</v>
      </c>
      <c r="F89" s="31" t="str">
        <f>TR!E89</f>
        <v>Req</v>
      </c>
      <c r="G89" s="31" t="str">
        <f>IF(ISERROR(FIND("Adara",TR!F89)),"","Adara ")</f>
        <v xml:space="preserve">Adara </v>
      </c>
      <c r="H89" s="31" t="str">
        <f>IF(ISERROR(FIND("Copernicus",TR!F89)),"","Copernicus ")</f>
        <v xml:space="preserve">Copernicus </v>
      </c>
      <c r="I89" s="31" t="str">
        <f>IF(ISERROR(FIND("Deneb",TR!F89)),"","Deneb ")</f>
        <v xml:space="preserve">Deneb </v>
      </c>
      <c r="J89" s="37" t="str">
        <f t="shared" si="1"/>
        <v xml:space="preserve">Adara Copernicus Deneb </v>
      </c>
      <c r="K89" s="31" t="str">
        <f>IF(ISBLANK(TR!G89),"",TR!G89)</f>
        <v/>
      </c>
      <c r="L89" s="31" t="str">
        <f>IF(ISBLANK(TR!H89),"",TR!H89)</f>
        <v>FR-DSRSW-1336
FR-DSRSW-1485</v>
      </c>
      <c r="M89" s="30" t="str">
        <f>TR!J89</f>
        <v>Approved</v>
      </c>
      <c r="N89" s="31" t="str">
        <f>IF(OR(M89="Modified",M89="Cosmetic"),VLOOKUP(B89,PrevPFS!B$1:E$833,4,FALSE),"")</f>
        <v/>
      </c>
    </row>
    <row r="90" spans="1:14" ht="45" x14ac:dyDescent="0.25">
      <c r="A90" s="31" t="str">
        <f>IF(ISNONTEXT(TR!K90),"",TR!K90)</f>
        <v/>
      </c>
      <c r="B90" s="32" t="str">
        <f>TR!A90</f>
        <v>TR-DSRSW-2168</v>
      </c>
      <c r="C90" s="31" t="b">
        <f>ISERROR(FIND("-",TR!B90))</f>
        <v>1</v>
      </c>
      <c r="D90" s="31">
        <f>SetIndent(E90,(TR!C90-1)*2)</f>
        <v>6</v>
      </c>
      <c r="E90" s="38" t="str">
        <f>IF(ISERROR(FIND("-",TR!B90)),TR!B90&amp;" "&amp;TR!D90,TR!D90)</f>
        <v>8.4.1.1 Forced Download</v>
      </c>
      <c r="F90" s="31" t="str">
        <f>TR!E90</f>
        <v>Hdr</v>
      </c>
      <c r="G90" s="31" t="str">
        <f>IF(ISERROR(FIND("Adara",TR!F90)),"","Adara ")</f>
        <v xml:space="preserve">Adara </v>
      </c>
      <c r="H90" s="31" t="str">
        <f>IF(ISERROR(FIND("Copernicus",TR!F90)),"","Copernicus ")</f>
        <v xml:space="preserve">Copernicus </v>
      </c>
      <c r="I90" s="31" t="str">
        <f>IF(ISERROR(FIND("Deneb",TR!F90)),"","Deneb ")</f>
        <v xml:space="preserve">Deneb </v>
      </c>
      <c r="J90" s="37" t="str">
        <f t="shared" si="1"/>
        <v xml:space="preserve">Adara Copernicus Deneb </v>
      </c>
      <c r="K90" s="31" t="str">
        <f>IF(ISBLANK(TR!G90),"",TR!G90)</f>
        <v/>
      </c>
      <c r="L90" s="31" t="str">
        <f>IF(ISBLANK(TR!H90),"",TR!H90)</f>
        <v>FR-DSRSW-1336</v>
      </c>
      <c r="M90" s="30" t="str">
        <f>TR!J90</f>
        <v>Approved</v>
      </c>
      <c r="N90" s="31" t="str">
        <f>IF(OR(M90="Modified",M90="Cosmetic"),VLOOKUP(B90,PrevPFS!B$1:E$833,4,FALSE),"")</f>
        <v/>
      </c>
    </row>
    <row r="91" spans="1:14" ht="45" x14ac:dyDescent="0.25">
      <c r="A91" s="31" t="str">
        <f>IF(ISNONTEXT(TR!K91),"",TR!K91)</f>
        <v/>
      </c>
      <c r="B91" s="32" t="str">
        <f>TR!A91</f>
        <v>TR-DSRSW-2479</v>
      </c>
      <c r="C91" s="31" t="b">
        <f>ISERROR(FIND("-",TR!B91))</f>
        <v>0</v>
      </c>
      <c r="D91" s="31">
        <f>SetIndent(E91,(TR!C91-1)*2)</f>
        <v>8</v>
      </c>
      <c r="E91" s="36" t="str">
        <f>IF(ISERROR(FIND("-",TR!B91)),TR!B91&amp;" "&amp;TR!D91,TR!D91)</f>
        <v>The product SHALL alert the application of a forced download if the product has received a valid download_preamble() message with the force_download_now flag set to "yes."</v>
      </c>
      <c r="F91" s="31" t="str">
        <f>TR!E91</f>
        <v>Req</v>
      </c>
      <c r="G91" s="31" t="str">
        <f>IF(ISERROR(FIND("Adara",TR!F91)),"","Adara ")</f>
        <v xml:space="preserve">Adara </v>
      </c>
      <c r="H91" s="31" t="str">
        <f>IF(ISERROR(FIND("Copernicus",TR!F91)),"","Copernicus ")</f>
        <v xml:space="preserve">Copernicus </v>
      </c>
      <c r="I91" s="31" t="str">
        <f>IF(ISERROR(FIND("Deneb",TR!F91)),"","Deneb ")</f>
        <v xml:space="preserve">Deneb </v>
      </c>
      <c r="J91" s="37" t="str">
        <f t="shared" si="1"/>
        <v xml:space="preserve">Adara Copernicus Deneb </v>
      </c>
      <c r="K91" s="31" t="str">
        <f>IF(ISBLANK(TR!G91),"",TR!G91)</f>
        <v/>
      </c>
      <c r="L91" s="31" t="str">
        <f>IF(ISBLANK(TR!H91),"",TR!H91)</f>
        <v>FR-DSRSW-1336
FR-DSRSW-1485</v>
      </c>
      <c r="M91" s="30" t="str">
        <f>TR!J91</f>
        <v>Approved</v>
      </c>
      <c r="N91" s="31" t="str">
        <f>IF(OR(M91="Modified",M91="Cosmetic"),VLOOKUP(B91,PrevPFS!B$1:E$833,4,FALSE),"")</f>
        <v/>
      </c>
    </row>
    <row r="92" spans="1:14" ht="45" x14ac:dyDescent="0.25">
      <c r="A92" s="31" t="str">
        <f>IF(ISNONTEXT(TR!K92),"",TR!K92)</f>
        <v/>
      </c>
      <c r="B92" s="32" t="str">
        <f>TR!A92</f>
        <v>TR-DSRSW-2436</v>
      </c>
      <c r="C92" s="31" t="b">
        <f>ISERROR(FIND("-",TR!B92))</f>
        <v>1</v>
      </c>
      <c r="D92" s="31">
        <f>SetIndent(E92,(TR!C92-1)*2)</f>
        <v>4</v>
      </c>
      <c r="E92" s="35" t="str">
        <f>IF(ISERROR(FIND("-",TR!B92)),TR!B92&amp;" "&amp;TR!D92,TR!D92)</f>
        <v>8.4.2 Background Download</v>
      </c>
      <c r="F92" s="31" t="str">
        <f>TR!E92</f>
        <v>Hdr</v>
      </c>
      <c r="G92" s="31" t="str">
        <f>IF(ISERROR(FIND("Adara",TR!F92)),"","Adara ")</f>
        <v xml:space="preserve">Adara </v>
      </c>
      <c r="H92" s="31" t="str">
        <f>IF(ISERROR(FIND("Copernicus",TR!F92)),"","Copernicus ")</f>
        <v xml:space="preserve">Copernicus </v>
      </c>
      <c r="I92" s="31" t="str">
        <f>IF(ISERROR(FIND("Deneb",TR!F92)),"","Deneb ")</f>
        <v xml:space="preserve">Deneb </v>
      </c>
      <c r="J92" s="37" t="str">
        <f t="shared" si="1"/>
        <v xml:space="preserve">Adara Copernicus Deneb </v>
      </c>
      <c r="K92" s="31" t="str">
        <f>IF(ISBLANK(TR!G92),"",TR!G92)</f>
        <v/>
      </c>
      <c r="L92" s="31" t="str">
        <f>IF(ISBLANK(TR!H92),"",TR!H92)</f>
        <v>FR-DSRSW-1485</v>
      </c>
      <c r="M92" s="30" t="str">
        <f>TR!J92</f>
        <v>Approved</v>
      </c>
      <c r="N92" s="31" t="str">
        <f>IF(OR(M92="Modified",M92="Cosmetic"),VLOOKUP(B92,PrevPFS!B$1:E$833,4,FALSE),"")</f>
        <v/>
      </c>
    </row>
    <row r="93" spans="1:14" ht="45" x14ac:dyDescent="0.25">
      <c r="A93" s="31" t="str">
        <f>IF(ISNONTEXT(TR!K93),"",TR!K93)</f>
        <v/>
      </c>
      <c r="B93" s="32" t="str">
        <f>TR!A93</f>
        <v>TR-DSRSW-2401</v>
      </c>
      <c r="C93" s="31" t="b">
        <f>ISERROR(FIND("-",TR!B93))</f>
        <v>0</v>
      </c>
      <c r="D93" s="31">
        <f>SetIndent(E93,(TR!C93-1)*2)</f>
        <v>6</v>
      </c>
      <c r="E93" s="38" t="str">
        <f>IF(ISERROR(FIND("-",TR!B93)),TR!B93&amp;" "&amp;TR!D93,TR!D93)</f>
        <v>The product SHALL provide an API to allow the application to determine if a background code update is available.</v>
      </c>
      <c r="F93" s="31" t="str">
        <f>TR!E93</f>
        <v>Req</v>
      </c>
      <c r="G93" s="31" t="str">
        <f>IF(ISERROR(FIND("Adara",TR!F93)),"","Adara ")</f>
        <v xml:space="preserve">Adara </v>
      </c>
      <c r="H93" s="31" t="str">
        <f>IF(ISERROR(FIND("Copernicus",TR!F93)),"","Copernicus ")</f>
        <v xml:space="preserve">Copernicus </v>
      </c>
      <c r="I93" s="31" t="str">
        <f>IF(ISERROR(FIND("Deneb",TR!F93)),"","Deneb ")</f>
        <v xml:space="preserve">Deneb </v>
      </c>
      <c r="J93" s="37" t="str">
        <f t="shared" si="1"/>
        <v xml:space="preserve">Adara Copernicus Deneb </v>
      </c>
      <c r="K93" s="31" t="str">
        <f>IF(ISBLANK(TR!G93),"",TR!G93)</f>
        <v/>
      </c>
      <c r="L93" s="31" t="str">
        <f>IF(ISBLANK(TR!H93),"",TR!H93)</f>
        <v>FR-DSRSW-1485</v>
      </c>
      <c r="M93" s="30" t="str">
        <f>TR!J93</f>
        <v>Approved</v>
      </c>
      <c r="N93" s="31" t="str">
        <f>IF(OR(M93="Modified",M93="Cosmetic"),VLOOKUP(B93,PrevPFS!B$1:E$833,4,FALSE),"")</f>
        <v/>
      </c>
    </row>
    <row r="94" spans="1:14" ht="45" x14ac:dyDescent="0.25">
      <c r="A94" s="31" t="str">
        <f>IF(ISNONTEXT(TR!K94),"",TR!K94)</f>
        <v/>
      </c>
      <c r="B94" s="32" t="str">
        <f>TR!A94</f>
        <v>TR-DSRSW-2404</v>
      </c>
      <c r="C94" s="31" t="b">
        <f>ISERROR(FIND("-",TR!B94))</f>
        <v>0</v>
      </c>
      <c r="D94" s="31">
        <f>SetIndent(E94,(TR!C94-1)*2)</f>
        <v>6</v>
      </c>
      <c r="E94" s="38" t="str">
        <f>IF(ISERROR(FIND("-",TR!B94)),TR!B94&amp;" "&amp;TR!D94,TR!D94)</f>
        <v>The product SHALL provide an API to allow the application to notify Neptune to start, or resume, code download collection.</v>
      </c>
      <c r="F94" s="31" t="str">
        <f>TR!E94</f>
        <v>Req</v>
      </c>
      <c r="G94" s="31" t="str">
        <f>IF(ISERROR(FIND("Adara",TR!F94)),"","Adara ")</f>
        <v xml:space="preserve">Adara </v>
      </c>
      <c r="H94" s="31" t="str">
        <f>IF(ISERROR(FIND("Copernicus",TR!F94)),"","Copernicus ")</f>
        <v xml:space="preserve">Copernicus </v>
      </c>
      <c r="I94" s="31" t="str">
        <f>IF(ISERROR(FIND("Deneb",TR!F94)),"","Deneb ")</f>
        <v xml:space="preserve">Deneb </v>
      </c>
      <c r="J94" s="37" t="str">
        <f t="shared" si="1"/>
        <v xml:space="preserve">Adara Copernicus Deneb </v>
      </c>
      <c r="K94" s="31" t="str">
        <f>IF(ISBLANK(TR!G94),"",TR!G94)</f>
        <v/>
      </c>
      <c r="L94" s="31" t="str">
        <f>IF(ISBLANK(TR!H94),"",TR!H94)</f>
        <v>FR-DSRSW-1485</v>
      </c>
      <c r="M94" s="30" t="str">
        <f>TR!J94</f>
        <v>Approved</v>
      </c>
      <c r="N94" s="31" t="str">
        <f>IF(OR(M94="Modified",M94="Cosmetic"),VLOOKUP(B94,PrevPFS!B$1:E$833,4,FALSE),"")</f>
        <v/>
      </c>
    </row>
    <row r="95" spans="1:14" ht="45" x14ac:dyDescent="0.25">
      <c r="A95" s="31" t="str">
        <f>IF(ISNONTEXT(TR!K95),"",TR!K95)</f>
        <v/>
      </c>
      <c r="B95" s="32" t="str">
        <f>TR!A95</f>
        <v>TR-DSRSW-2405</v>
      </c>
      <c r="C95" s="31" t="b">
        <f>ISERROR(FIND("-",TR!B95))</f>
        <v>0</v>
      </c>
      <c r="D95" s="31">
        <f>SetIndent(E95,(TR!C95-1)*2)</f>
        <v>6</v>
      </c>
      <c r="E95" s="38" t="str">
        <f>IF(ISERROR(FIND("-",TR!B95)),TR!B95&amp;" "&amp;TR!D95,TR!D95)</f>
        <v>The product SHALL provide an API to allow the application to notify Neptune to stop code download collection.</v>
      </c>
      <c r="F95" s="31" t="str">
        <f>TR!E95</f>
        <v>Req</v>
      </c>
      <c r="G95" s="31" t="str">
        <f>IF(ISERROR(FIND("Adara",TR!F95)),"","Adara ")</f>
        <v xml:space="preserve">Adara </v>
      </c>
      <c r="H95" s="31" t="str">
        <f>IF(ISERROR(FIND("Copernicus",TR!F95)),"","Copernicus ")</f>
        <v xml:space="preserve">Copernicus </v>
      </c>
      <c r="I95" s="31" t="str">
        <f>IF(ISERROR(FIND("Deneb",TR!F95)),"","Deneb ")</f>
        <v xml:space="preserve">Deneb </v>
      </c>
      <c r="J95" s="37" t="str">
        <f t="shared" si="1"/>
        <v xml:space="preserve">Adara Copernicus Deneb </v>
      </c>
      <c r="K95" s="31" t="str">
        <f>IF(ISBLANK(TR!G95),"",TR!G95)</f>
        <v/>
      </c>
      <c r="L95" s="31" t="str">
        <f>IF(ISBLANK(TR!H95),"",TR!H95)</f>
        <v>FR-DSRSW-1485</v>
      </c>
      <c r="M95" s="30" t="str">
        <f>TR!J95</f>
        <v>Approved</v>
      </c>
      <c r="N95" s="31" t="str">
        <f>IF(OR(M95="Modified",M95="Cosmetic"),VLOOKUP(B95,PrevPFS!B$1:E$833,4,FALSE),"")</f>
        <v/>
      </c>
    </row>
    <row r="96" spans="1:14" ht="45" x14ac:dyDescent="0.25">
      <c r="A96" s="31" t="str">
        <f>IF(ISNONTEXT(TR!K96),"",TR!K96)</f>
        <v/>
      </c>
      <c r="B96" s="32" t="str">
        <f>TR!A96</f>
        <v>TR-DSRSW-2402</v>
      </c>
      <c r="C96" s="31" t="b">
        <f>ISERROR(FIND("-",TR!B96))</f>
        <v>0</v>
      </c>
      <c r="D96" s="31">
        <f>SetIndent(E96,(TR!C96-1)*2)</f>
        <v>6</v>
      </c>
      <c r="E96" s="38" t="str">
        <f>IF(ISERROR(FIND("-",TR!B96)),TR!B96&amp;" "&amp;TR!D96,TR!D96)</f>
        <v xml:space="preserve">Typically, a DSR800 tuner will be available during standby mode.  A DSR830 tuner will be available when at least one of the two tuners is not being used. </v>
      </c>
      <c r="F96" s="31" t="str">
        <f>TR!E96</f>
        <v>Com</v>
      </c>
      <c r="G96" s="31" t="str">
        <f>IF(ISERROR(FIND("Adara",TR!F96)),"","Adara ")</f>
        <v xml:space="preserve">Adara </v>
      </c>
      <c r="H96" s="31" t="str">
        <f>IF(ISERROR(FIND("Copernicus",TR!F96)),"","Copernicus ")</f>
        <v xml:space="preserve">Copernicus </v>
      </c>
      <c r="I96" s="31" t="str">
        <f>IF(ISERROR(FIND("Deneb",TR!F96)),"","Deneb ")</f>
        <v xml:space="preserve">Deneb </v>
      </c>
      <c r="J96" s="37" t="str">
        <f t="shared" si="1"/>
        <v xml:space="preserve">Adara Copernicus Deneb </v>
      </c>
      <c r="K96" s="31" t="str">
        <f>IF(ISBLANK(TR!G96),"",TR!G96)</f>
        <v/>
      </c>
      <c r="L96" s="31" t="str">
        <f>IF(ISBLANK(TR!H96),"",TR!H96)</f>
        <v>FR-DSRSW-1485</v>
      </c>
      <c r="M96" s="30" t="str">
        <f>TR!J96</f>
        <v>Approved</v>
      </c>
      <c r="N96" s="31" t="str">
        <f>IF(OR(M96="Modified",M96="Cosmetic"),VLOOKUP(B96,PrevPFS!B$1:E$833,4,FALSE),"")</f>
        <v/>
      </c>
    </row>
    <row r="97" spans="1:14" ht="45" x14ac:dyDescent="0.25">
      <c r="A97" s="31" t="str">
        <f>IF(ISNONTEXT(TR!K97),"",TR!K97)</f>
        <v/>
      </c>
      <c r="B97" s="32" t="str">
        <f>TR!A97</f>
        <v>TR-DSRSW-2408</v>
      </c>
      <c r="C97" s="31" t="b">
        <f>ISERROR(FIND("-",TR!B97))</f>
        <v>0</v>
      </c>
      <c r="D97" s="31">
        <f>SetIndent(E97,(TR!C97-1)*2)</f>
        <v>6</v>
      </c>
      <c r="E97" s="38" t="str">
        <f>IF(ISERROR(FIND("-",TR!B97)),TR!B97&amp;" "&amp;TR!D97,TR!D97)</f>
        <v>The product SHALL retain any code acquired during the code download process if the application stops the code download, except in the case of power loss.</v>
      </c>
      <c r="F97" s="31" t="str">
        <f>TR!E97</f>
        <v>Req</v>
      </c>
      <c r="G97" s="31" t="str">
        <f>IF(ISERROR(FIND("Adara",TR!F97)),"","Adara ")</f>
        <v xml:space="preserve">Adara </v>
      </c>
      <c r="H97" s="31" t="str">
        <f>IF(ISERROR(FIND("Copernicus",TR!F97)),"","Copernicus ")</f>
        <v xml:space="preserve">Copernicus </v>
      </c>
      <c r="I97" s="31" t="str">
        <f>IF(ISERROR(FIND("Deneb",TR!F97)),"","Deneb ")</f>
        <v xml:space="preserve">Deneb </v>
      </c>
      <c r="J97" s="37" t="str">
        <f t="shared" si="1"/>
        <v xml:space="preserve">Adara Copernicus Deneb </v>
      </c>
      <c r="K97" s="31" t="str">
        <f>IF(ISBLANK(TR!G97),"",TR!G97)</f>
        <v/>
      </c>
      <c r="L97" s="31" t="str">
        <f>IF(ISBLANK(TR!H97),"",TR!H97)</f>
        <v>FR-DSRSW-1485</v>
      </c>
      <c r="M97" s="30" t="str">
        <f>TR!J97</f>
        <v>Approved</v>
      </c>
      <c r="N97" s="31" t="str">
        <f>IF(OR(M97="Modified",M97="Cosmetic"),VLOOKUP(B97,PrevPFS!B$1:E$833,4,FALSE),"")</f>
        <v/>
      </c>
    </row>
    <row r="98" spans="1:14" ht="45" x14ac:dyDescent="0.25">
      <c r="A98" s="31" t="str">
        <f>IF(ISNONTEXT(TR!K98),"",TR!K98)</f>
        <v/>
      </c>
      <c r="B98" s="32" t="str">
        <f>TR!A98</f>
        <v>TR-DSRSW-2409</v>
      </c>
      <c r="C98" s="31" t="b">
        <f>ISERROR(FIND("-",TR!B98))</f>
        <v>0</v>
      </c>
      <c r="D98" s="31">
        <f>SetIndent(E98,(TR!C98-1)*2)</f>
        <v>6</v>
      </c>
      <c r="E98" s="38" t="str">
        <f>IF(ISERROR(FIND("-",TR!B98)),TR!B98&amp;" "&amp;TR!D98,TR!D98)</f>
        <v>The product SHALL resume code dowload after the application starts/resumes the code download.</v>
      </c>
      <c r="F98" s="31" t="str">
        <f>TR!E98</f>
        <v>Req</v>
      </c>
      <c r="G98" s="31" t="str">
        <f>IF(ISERROR(FIND("Adara",TR!F98)),"","Adara ")</f>
        <v xml:space="preserve">Adara </v>
      </c>
      <c r="H98" s="31" t="str">
        <f>IF(ISERROR(FIND("Copernicus",TR!F98)),"","Copernicus ")</f>
        <v xml:space="preserve">Copernicus </v>
      </c>
      <c r="I98" s="31" t="str">
        <f>IF(ISERROR(FIND("Deneb",TR!F98)),"","Deneb ")</f>
        <v xml:space="preserve">Deneb </v>
      </c>
      <c r="J98" s="37" t="str">
        <f t="shared" si="1"/>
        <v xml:space="preserve">Adara Copernicus Deneb </v>
      </c>
      <c r="K98" s="31" t="str">
        <f>IF(ISBLANK(TR!G98),"",TR!G98)</f>
        <v/>
      </c>
      <c r="L98" s="31" t="str">
        <f>IF(ISBLANK(TR!H98),"",TR!H98)</f>
        <v>FR-DSRSW-1485</v>
      </c>
      <c r="M98" s="30" t="str">
        <f>TR!J98</f>
        <v>Approved</v>
      </c>
      <c r="N98" s="31" t="str">
        <f>IF(OR(M98="Modified",M98="Cosmetic"),VLOOKUP(B98,PrevPFS!B$1:E$833,4,FALSE),"")</f>
        <v/>
      </c>
    </row>
    <row r="99" spans="1:14" ht="45" x14ac:dyDescent="0.25">
      <c r="A99" s="31" t="str">
        <f>IF(ISNONTEXT(TR!K99),"",TR!K99)</f>
        <v/>
      </c>
      <c r="B99" s="32" t="str">
        <f>TR!A99</f>
        <v>TR-DSRSW-2410</v>
      </c>
      <c r="C99" s="31" t="b">
        <f>ISERROR(FIND("-",TR!B99))</f>
        <v>0</v>
      </c>
      <c r="D99" s="31">
        <f>SetIndent(E99,(TR!C99-1)*2)</f>
        <v>6</v>
      </c>
      <c r="E99" s="38" t="str">
        <f>IF(ISERROR(FIND("-",TR!B99)),TR!B99&amp;" "&amp;TR!D99,TR!D99)</f>
        <v>The product SHALL discard the code download if the code download preamble is updated prior the code update.</v>
      </c>
      <c r="F99" s="31" t="str">
        <f>TR!E99</f>
        <v>Req</v>
      </c>
      <c r="G99" s="31" t="str">
        <f>IF(ISERROR(FIND("Adara",TR!F99)),"","Adara ")</f>
        <v xml:space="preserve">Adara </v>
      </c>
      <c r="H99" s="31" t="str">
        <f>IF(ISERROR(FIND("Copernicus",TR!F99)),"","Copernicus ")</f>
        <v xml:space="preserve">Copernicus </v>
      </c>
      <c r="I99" s="31" t="str">
        <f>IF(ISERROR(FIND("Deneb",TR!F99)),"","Deneb ")</f>
        <v xml:space="preserve">Deneb </v>
      </c>
      <c r="J99" s="37" t="str">
        <f t="shared" si="1"/>
        <v xml:space="preserve">Adara Copernicus Deneb </v>
      </c>
      <c r="K99" s="31" t="str">
        <f>IF(ISBLANK(TR!G99),"",TR!G99)</f>
        <v/>
      </c>
      <c r="L99" s="31" t="str">
        <f>IF(ISBLANK(TR!H99),"",TR!H99)</f>
        <v>FR-DSRSW-1485</v>
      </c>
      <c r="M99" s="30" t="str">
        <f>TR!J99</f>
        <v>Approved</v>
      </c>
      <c r="N99" s="31" t="str">
        <f>IF(OR(M99="Modified",M99="Cosmetic"),VLOOKUP(B99,PrevPFS!B$1:E$833,4,FALSE),"")</f>
        <v/>
      </c>
    </row>
    <row r="100" spans="1:14" ht="45" x14ac:dyDescent="0.25">
      <c r="A100" s="31" t="str">
        <f>IF(ISNONTEXT(TR!K100),"",TR!K100)</f>
        <v/>
      </c>
      <c r="B100" s="32" t="str">
        <f>TR!A100</f>
        <v>TR-DSRSW-2441</v>
      </c>
      <c r="C100" s="31" t="b">
        <f>ISERROR(FIND("-",TR!B100))</f>
        <v>0</v>
      </c>
      <c r="D100" s="31">
        <f>SetIndent(E100,(TR!C100-1)*2)</f>
        <v>6</v>
      </c>
      <c r="E100" s="38" t="str">
        <f>IF(ISERROR(FIND("-",TR!B100)),TR!B100&amp;" "&amp;TR!D100,TR!D100)</f>
        <v>The product SHALL discard the code download if the code download preamble is not received for 60 minutes.</v>
      </c>
      <c r="F100" s="31" t="str">
        <f>TR!E100</f>
        <v>Req</v>
      </c>
      <c r="G100" s="31" t="str">
        <f>IF(ISERROR(FIND("Adara",TR!F100)),"","Adara ")</f>
        <v xml:space="preserve">Adara </v>
      </c>
      <c r="H100" s="31" t="str">
        <f>IF(ISERROR(FIND("Copernicus",TR!F100)),"","Copernicus ")</f>
        <v xml:space="preserve">Copernicus </v>
      </c>
      <c r="I100" s="31" t="str">
        <f>IF(ISERROR(FIND("Deneb",TR!F100)),"","Deneb ")</f>
        <v xml:space="preserve">Deneb </v>
      </c>
      <c r="J100" s="37" t="str">
        <f t="shared" si="1"/>
        <v xml:space="preserve">Adara Copernicus Deneb </v>
      </c>
      <c r="K100" s="31" t="str">
        <f>IF(ISBLANK(TR!G100),"",TR!G100)</f>
        <v/>
      </c>
      <c r="L100" s="31" t="str">
        <f>IF(ISBLANK(TR!H100),"",TR!H100)</f>
        <v>FR-DSRSW-1485</v>
      </c>
      <c r="M100" s="30" t="str">
        <f>TR!J100</f>
        <v>Approved</v>
      </c>
      <c r="N100" s="31" t="str">
        <f>IF(OR(M100="Modified",M100="Cosmetic"),VLOOKUP(B100,PrevPFS!B$1:E$833,4,FALSE),"")</f>
        <v/>
      </c>
    </row>
    <row r="101" spans="1:14" ht="45" x14ac:dyDescent="0.25">
      <c r="A101" s="31" t="str">
        <f>IF(ISNONTEXT(TR!K101),"",TR!K101)</f>
        <v/>
      </c>
      <c r="B101" s="32" t="str">
        <f>TR!A101</f>
        <v>TR-DSRSW-2483</v>
      </c>
      <c r="C101" s="31" t="b">
        <f>ISERROR(FIND("-",TR!B101))</f>
        <v>0</v>
      </c>
      <c r="D101" s="31">
        <f>SetIndent(E101,(TR!C101-1)*2)</f>
        <v>6</v>
      </c>
      <c r="E101" s="38" t="str">
        <f>IF(ISERROR(FIND("-",TR!B101)),TR!B101&amp;" "&amp;TR!D101,TR!D101)</f>
        <v>The product SHALL discard the code download in the event of power loss.</v>
      </c>
      <c r="F101" s="31" t="str">
        <f>TR!E101</f>
        <v>Req</v>
      </c>
      <c r="G101" s="31" t="str">
        <f>IF(ISERROR(FIND("Adara",TR!F101)),"","Adara ")</f>
        <v xml:space="preserve">Adara </v>
      </c>
      <c r="H101" s="31" t="str">
        <f>IF(ISERROR(FIND("Copernicus",TR!F101)),"","Copernicus ")</f>
        <v xml:space="preserve">Copernicus </v>
      </c>
      <c r="I101" s="31" t="str">
        <f>IF(ISERROR(FIND("Deneb",TR!F101)),"","Deneb ")</f>
        <v xml:space="preserve">Deneb </v>
      </c>
      <c r="J101" s="37" t="str">
        <f t="shared" si="1"/>
        <v xml:space="preserve">Adara Copernicus Deneb </v>
      </c>
      <c r="K101" s="31" t="str">
        <f>IF(ISBLANK(TR!G101),"",TR!G101)</f>
        <v/>
      </c>
      <c r="L101" s="31" t="str">
        <f>IF(ISBLANK(TR!H101),"",TR!H101)</f>
        <v>FR-DSRSW-1485</v>
      </c>
      <c r="M101" s="30" t="str">
        <f>TR!J101</f>
        <v>Approved</v>
      </c>
      <c r="N101" s="31" t="str">
        <f>IF(OR(M101="Modified",M101="Cosmetic"),VLOOKUP(B101,PrevPFS!B$1:E$833,4,FALSE),"")</f>
        <v/>
      </c>
    </row>
    <row r="102" spans="1:14" ht="45" x14ac:dyDescent="0.25">
      <c r="A102" s="31" t="str">
        <f>IF(ISNONTEXT(TR!K102),"",TR!K102)</f>
        <v/>
      </c>
      <c r="B102" s="32" t="str">
        <f>TR!A102</f>
        <v>TR-DSRSW-2411</v>
      </c>
      <c r="C102" s="31" t="b">
        <f>ISERROR(FIND("-",TR!B102))</f>
        <v>0</v>
      </c>
      <c r="D102" s="31">
        <f>SetIndent(E102,(TR!C102-1)*2)</f>
        <v>6</v>
      </c>
      <c r="E102" s="38" t="str">
        <f>IF(ISERROR(FIND("-",TR!B102)),TR!B102&amp;" "&amp;TR!D102,TR!D102)</f>
        <v>The product SHALL provide an API to allow the application to determine when the code download is complete and the new code update is ready for activation.</v>
      </c>
      <c r="F102" s="31" t="str">
        <f>TR!E102</f>
        <v>Req</v>
      </c>
      <c r="G102" s="31" t="str">
        <f>IF(ISERROR(FIND("Adara",TR!F102)),"","Adara ")</f>
        <v xml:space="preserve">Adara </v>
      </c>
      <c r="H102" s="31" t="str">
        <f>IF(ISERROR(FIND("Copernicus",TR!F102)),"","Copernicus ")</f>
        <v xml:space="preserve">Copernicus </v>
      </c>
      <c r="I102" s="31" t="str">
        <f>IF(ISERROR(FIND("Deneb",TR!F102)),"","Deneb ")</f>
        <v xml:space="preserve">Deneb </v>
      </c>
      <c r="J102" s="37" t="str">
        <f t="shared" si="1"/>
        <v xml:space="preserve">Adara Copernicus Deneb </v>
      </c>
      <c r="K102" s="31" t="str">
        <f>IF(ISBLANK(TR!G102),"",TR!G102)</f>
        <v/>
      </c>
      <c r="L102" s="31" t="str">
        <f>IF(ISBLANK(TR!H102),"",TR!H102)</f>
        <v>FR-DSRSW-1485</v>
      </c>
      <c r="M102" s="30" t="str">
        <f>TR!J102</f>
        <v>Approved</v>
      </c>
      <c r="N102" s="31" t="str">
        <f>IF(OR(M102="Modified",M102="Cosmetic"),VLOOKUP(B102,PrevPFS!B$1:E$833,4,FALSE),"")</f>
        <v/>
      </c>
    </row>
    <row r="103" spans="1:14" ht="45" x14ac:dyDescent="0.25">
      <c r="A103" s="31" t="str">
        <f>IF(ISNONTEXT(TR!K103),"",TR!K103)</f>
        <v/>
      </c>
      <c r="B103" s="32" t="str">
        <f>TR!A103</f>
        <v>TR-DSRSW-2412</v>
      </c>
      <c r="C103" s="31" t="b">
        <f>ISERROR(FIND("-",TR!B103))</f>
        <v>0</v>
      </c>
      <c r="D103" s="31">
        <f>SetIndent(E103,(TR!C103-1)*2)</f>
        <v>6</v>
      </c>
      <c r="E103" s="38" t="str">
        <f>IF(ISERROR(FIND("-",TR!B103)),TR!B103&amp;" "&amp;TR!D103,TR!D103)</f>
        <v>The product SHALL provide an API to allow the application to activate the code update. (the application will reboot the STB to activate the code update)</v>
      </c>
      <c r="F103" s="31" t="str">
        <f>TR!E103</f>
        <v>Req</v>
      </c>
      <c r="G103" s="31" t="str">
        <f>IF(ISERROR(FIND("Adara",TR!F103)),"","Adara ")</f>
        <v xml:space="preserve">Adara </v>
      </c>
      <c r="H103" s="31" t="str">
        <f>IF(ISERROR(FIND("Copernicus",TR!F103)),"","Copernicus ")</f>
        <v xml:space="preserve">Copernicus </v>
      </c>
      <c r="I103" s="31" t="str">
        <f>IF(ISERROR(FIND("Deneb",TR!F103)),"","Deneb ")</f>
        <v xml:space="preserve">Deneb </v>
      </c>
      <c r="J103" s="37" t="str">
        <f t="shared" si="1"/>
        <v xml:space="preserve">Adara Copernicus Deneb </v>
      </c>
      <c r="K103" s="31" t="str">
        <f>IF(ISBLANK(TR!G103),"",TR!G103)</f>
        <v/>
      </c>
      <c r="L103" s="31" t="str">
        <f>IF(ISBLANK(TR!H103),"",TR!H103)</f>
        <v>FR-DSRSW-1485</v>
      </c>
      <c r="M103" s="30" t="str">
        <f>TR!J103</f>
        <v>Approved</v>
      </c>
      <c r="N103" s="31" t="str">
        <f>IF(OR(M103="Modified",M103="Cosmetic"),VLOOKUP(B103,PrevPFS!B$1:E$833,4,FALSE),"")</f>
        <v/>
      </c>
    </row>
    <row r="104" spans="1:14" ht="45" x14ac:dyDescent="0.25">
      <c r="A104" s="31" t="str">
        <f>IF(ISNONTEXT(TR!K104),"",TR!K104)</f>
        <v/>
      </c>
      <c r="B104" s="32" t="str">
        <f>TR!A104</f>
        <v>TR-DSRSW-1401</v>
      </c>
      <c r="C104" s="31" t="b">
        <f>ISERROR(FIND("-",TR!B104))</f>
        <v>1</v>
      </c>
      <c r="D104" s="31">
        <f>SetIndent(E104,(TR!C104-1)*2)</f>
        <v>2</v>
      </c>
      <c r="E104" s="34" t="str">
        <f>IF(ISERROR(FIND("-",TR!B104)),TR!B104&amp;" "&amp;TR!D104,TR!D104)</f>
        <v>8.7 Standard Download Screen</v>
      </c>
      <c r="F104" s="31" t="str">
        <f>TR!E104</f>
        <v>Hdr</v>
      </c>
      <c r="G104" s="31" t="str">
        <f>IF(ISERROR(FIND("Adara",TR!F104)),"","Adara ")</f>
        <v xml:space="preserve">Adara </v>
      </c>
      <c r="H104" s="31" t="str">
        <f>IF(ISERROR(FIND("Copernicus",TR!F104)),"","Copernicus ")</f>
        <v xml:space="preserve">Copernicus </v>
      </c>
      <c r="I104" s="31" t="str">
        <f>IF(ISERROR(FIND("Deneb",TR!F104)),"","Deneb ")</f>
        <v xml:space="preserve">Deneb </v>
      </c>
      <c r="J104" s="37" t="str">
        <f t="shared" si="1"/>
        <v xml:space="preserve">Adara Copernicus Deneb </v>
      </c>
      <c r="K104" s="31" t="str">
        <f>IF(ISBLANK(TR!G104),"",TR!G104)</f>
        <v/>
      </c>
      <c r="L104" s="31" t="str">
        <f>IF(ISBLANK(TR!H104),"",TR!H104)</f>
        <v>FR-DSRSW-1336</v>
      </c>
      <c r="M104" s="30" t="str">
        <f>TR!J104</f>
        <v>Approved</v>
      </c>
      <c r="N104" s="31" t="str">
        <f>IF(OR(M104="Modified",M104="Cosmetic"),VLOOKUP(B104,PrevPFS!B$1:E$833,4,FALSE),"")</f>
        <v/>
      </c>
    </row>
    <row r="105" spans="1:14" ht="45" x14ac:dyDescent="0.25">
      <c r="A105" s="31" t="str">
        <f>IF(ISNONTEXT(TR!K105),"",TR!K105)</f>
        <v/>
      </c>
      <c r="B105" s="32" t="str">
        <f>TR!A105</f>
        <v>TR-DSRSW-2438</v>
      </c>
      <c r="C105" s="31" t="b">
        <f>ISERROR(FIND("-",TR!B105))</f>
        <v>0</v>
      </c>
      <c r="D105" s="31">
        <f>SetIndent(E105,(TR!C105-1)*2)</f>
        <v>4</v>
      </c>
      <c r="E105" s="35" t="str">
        <f>IF(ISERROR(FIND("-",TR!B105)),TR!B105&amp;" "&amp;TR!D105,TR!D105)</f>
        <v>The Standard Download Screen is in the Shaw app domain.  However, Neptune does need to provide API that reports the download status.</v>
      </c>
      <c r="F105" s="31" t="str">
        <f>TR!E105</f>
        <v>Com</v>
      </c>
      <c r="G105" s="31" t="str">
        <f>IF(ISERROR(FIND("Adara",TR!F105)),"","Adara ")</f>
        <v xml:space="preserve">Adara </v>
      </c>
      <c r="H105" s="31" t="str">
        <f>IF(ISERROR(FIND("Copernicus",TR!F105)),"","Copernicus ")</f>
        <v xml:space="preserve">Copernicus </v>
      </c>
      <c r="I105" s="31" t="str">
        <f>IF(ISERROR(FIND("Deneb",TR!F105)),"","Deneb ")</f>
        <v xml:space="preserve">Deneb </v>
      </c>
      <c r="J105" s="37" t="str">
        <f t="shared" si="1"/>
        <v xml:space="preserve">Adara Copernicus Deneb </v>
      </c>
      <c r="K105" s="31" t="str">
        <f>IF(ISBLANK(TR!G105),"",TR!G105)</f>
        <v/>
      </c>
      <c r="L105" s="31" t="str">
        <f>IF(ISBLANK(TR!H105),"",TR!H105)</f>
        <v>FR-DSRSW-1336</v>
      </c>
      <c r="M105" s="30" t="str">
        <f>TR!J105</f>
        <v>Approved</v>
      </c>
      <c r="N105" s="31" t="str">
        <f>IF(OR(M105="Modified",M105="Cosmetic"),VLOOKUP(B105,PrevPFS!B$1:E$833,4,FALSE),"")</f>
        <v/>
      </c>
    </row>
    <row r="106" spans="1:14" ht="45" x14ac:dyDescent="0.25">
      <c r="A106" s="31" t="str">
        <f>IF(ISNONTEXT(TR!K106),"",TR!K106)</f>
        <v>TR-0-DL-IUM-1671</v>
      </c>
      <c r="B106" s="32" t="str">
        <f>TR!A106</f>
        <v>TR-DSRSW-1405</v>
      </c>
      <c r="C106" s="31" t="b">
        <f>ISERROR(FIND("-",TR!B106))</f>
        <v>0</v>
      </c>
      <c r="D106" s="31">
        <f>SetIndent(E106,(TR!C106-1)*2)</f>
        <v>4</v>
      </c>
      <c r="E106" s="35" t="str">
        <f>IF(ISERROR(FIND("-",TR!B106)),TR!B106&amp;" "&amp;TR!D106,TR!D106)</f>
        <v>The product SHALL display a timer that indicates the amount of time since code download started on the Standard Download Screen.</v>
      </c>
      <c r="F106" s="31" t="str">
        <f>TR!E106</f>
        <v>Req</v>
      </c>
      <c r="G106" s="31" t="str">
        <f>IF(ISERROR(FIND("Adara",TR!F106)),"","Adara ")</f>
        <v xml:space="preserve">Adara </v>
      </c>
      <c r="H106" s="31" t="str">
        <f>IF(ISERROR(FIND("Copernicus",TR!F106)),"","Copernicus ")</f>
        <v xml:space="preserve">Copernicus </v>
      </c>
      <c r="I106" s="31" t="str">
        <f>IF(ISERROR(FIND("Deneb",TR!F106)),"","Deneb ")</f>
        <v xml:space="preserve">Deneb </v>
      </c>
      <c r="J106" s="37" t="str">
        <f t="shared" si="1"/>
        <v xml:space="preserve">Adara Copernicus Deneb </v>
      </c>
      <c r="K106" s="31" t="str">
        <f>IF(ISBLANK(TR!G106),"",TR!G106)</f>
        <v/>
      </c>
      <c r="L106" s="31" t="str">
        <f>IF(ISBLANK(TR!H106),"",TR!H106)</f>
        <v>FR-DSRSW-1336</v>
      </c>
      <c r="M106" s="30" t="str">
        <f>TR!J106</f>
        <v>Approved</v>
      </c>
      <c r="N106" s="31" t="str">
        <f>IF(OR(M106="Modified",M106="Cosmetic"),VLOOKUP(B106,PrevPFS!B$1:E$833,4,FALSE),"")</f>
        <v/>
      </c>
    </row>
    <row r="107" spans="1:14" ht="45" x14ac:dyDescent="0.25">
      <c r="A107" s="31" t="str">
        <f>IF(ISNONTEXT(TR!K107),"",TR!K107)</f>
        <v>TR-0-DL-IUM-1673</v>
      </c>
      <c r="B107" s="32" t="str">
        <f>TR!A107</f>
        <v>TR-DSRSW-1407</v>
      </c>
      <c r="C107" s="31" t="b">
        <f>ISERROR(FIND("-",TR!B107))</f>
        <v>0</v>
      </c>
      <c r="D107" s="31">
        <f>SetIndent(E107,(TR!C107-1)*2)</f>
        <v>4</v>
      </c>
      <c r="E107" s="35" t="str">
        <f>IF(ISERROR(FIND("-",TR!B107)),TR!B107&amp;" "&amp;TR!D107,TR!D107)</f>
        <v>The product SHALL display the current "in unit" version of Neptune in the Standard Download Screen.</v>
      </c>
      <c r="F107" s="31" t="str">
        <f>TR!E107</f>
        <v>Req</v>
      </c>
      <c r="G107" s="31" t="str">
        <f>IF(ISERROR(FIND("Adara",TR!F107)),"","Adara ")</f>
        <v xml:space="preserve">Adara </v>
      </c>
      <c r="H107" s="31" t="str">
        <f>IF(ISERROR(FIND("Copernicus",TR!F107)),"","Copernicus ")</f>
        <v xml:space="preserve">Copernicus </v>
      </c>
      <c r="I107" s="31" t="str">
        <f>IF(ISERROR(FIND("Deneb",TR!F107)),"","Deneb ")</f>
        <v xml:space="preserve">Deneb </v>
      </c>
      <c r="J107" s="37" t="str">
        <f t="shared" si="1"/>
        <v xml:space="preserve">Adara Copernicus Deneb </v>
      </c>
      <c r="K107" s="31" t="str">
        <f>IF(ISBLANK(TR!G107),"",TR!G107)</f>
        <v/>
      </c>
      <c r="L107" s="31" t="str">
        <f>IF(ISBLANK(TR!H107),"",TR!H107)</f>
        <v>FR-DSRSW-1336</v>
      </c>
      <c r="M107" s="30" t="str">
        <f>TR!J107</f>
        <v>Approved</v>
      </c>
      <c r="N107" s="31" t="str">
        <f>IF(OR(M107="Modified",M107="Cosmetic"),VLOOKUP(B107,PrevPFS!B$1:E$833,4,FALSE),"")</f>
        <v/>
      </c>
    </row>
    <row r="108" spans="1:14" ht="45" x14ac:dyDescent="0.25">
      <c r="A108" s="31" t="str">
        <f>IF(ISNONTEXT(TR!K108),"",TR!K108)</f>
        <v>TR-0-DL-IUM-1674</v>
      </c>
      <c r="B108" s="32" t="str">
        <f>TR!A108</f>
        <v>TR-DSRSW-1408</v>
      </c>
      <c r="C108" s="31" t="b">
        <f>ISERROR(FIND("-",TR!B108))</f>
        <v>0</v>
      </c>
      <c r="D108" s="31">
        <f>SetIndent(E108,(TR!C108-1)*2)</f>
        <v>4</v>
      </c>
      <c r="E108" s="35" t="str">
        <f>IF(ISERROR(FIND("-",TR!B108)),TR!B108&amp;" "&amp;TR!D108,TR!D108)</f>
        <v>The product SHALL display the current "in unit" versions of Packing List in the Standard Download Screen.</v>
      </c>
      <c r="F108" s="31" t="str">
        <f>TR!E108</f>
        <v>Req</v>
      </c>
      <c r="G108" s="31" t="str">
        <f>IF(ISERROR(FIND("Adara",TR!F108)),"","Adara ")</f>
        <v xml:space="preserve">Adara </v>
      </c>
      <c r="H108" s="31" t="str">
        <f>IF(ISERROR(FIND("Copernicus",TR!F108)),"","Copernicus ")</f>
        <v xml:space="preserve">Copernicus </v>
      </c>
      <c r="I108" s="31" t="str">
        <f>IF(ISERROR(FIND("Deneb",TR!F108)),"","Deneb ")</f>
        <v xml:space="preserve">Deneb </v>
      </c>
      <c r="J108" s="37" t="str">
        <f t="shared" si="1"/>
        <v xml:space="preserve">Adara Copernicus Deneb </v>
      </c>
      <c r="K108" s="31" t="str">
        <f>IF(ISBLANK(TR!G108),"",TR!G108)</f>
        <v/>
      </c>
      <c r="L108" s="31" t="str">
        <f>IF(ISBLANK(TR!H108),"",TR!H108)</f>
        <v>FR-DSRSW-1336</v>
      </c>
      <c r="M108" s="30" t="str">
        <f>TR!J108</f>
        <v>Approved</v>
      </c>
      <c r="N108" s="31" t="str">
        <f>IF(OR(M108="Modified",M108="Cosmetic"),VLOOKUP(B108,PrevPFS!B$1:E$833,4,FALSE),"")</f>
        <v/>
      </c>
    </row>
    <row r="109" spans="1:14" ht="45" x14ac:dyDescent="0.25">
      <c r="A109" s="31" t="str">
        <f>IF(ISNONTEXT(TR!K109),"",TR!K109)</f>
        <v>TR-0-DL-IUM-1680</v>
      </c>
      <c r="B109" s="32" t="str">
        <f>TR!A109</f>
        <v>TR-DSRSW-1414</v>
      </c>
      <c r="C109" s="31" t="b">
        <f>ISERROR(FIND("-",TR!B109))</f>
        <v>0</v>
      </c>
      <c r="D109" s="31">
        <f>SetIndent(E109,(TR!C109-1)*2)</f>
        <v>4</v>
      </c>
      <c r="E109" s="35" t="str">
        <f>IF(ISERROR(FIND("-",TR!B109)),TR!B109&amp;" "&amp;TR!D109,TR!D109)</f>
        <v>The product SHALL display the current "in unit" BSP version in the Standard Download Screen.</v>
      </c>
      <c r="F109" s="31" t="str">
        <f>TR!E109</f>
        <v>Req</v>
      </c>
      <c r="G109" s="31" t="str">
        <f>IF(ISERROR(FIND("Adara",TR!F109)),"","Adara ")</f>
        <v xml:space="preserve">Adara </v>
      </c>
      <c r="H109" s="31" t="str">
        <f>IF(ISERROR(FIND("Copernicus",TR!F109)),"","Copernicus ")</f>
        <v xml:space="preserve">Copernicus </v>
      </c>
      <c r="I109" s="31" t="str">
        <f>IF(ISERROR(FIND("Deneb",TR!F109)),"","Deneb ")</f>
        <v xml:space="preserve">Deneb </v>
      </c>
      <c r="J109" s="37" t="str">
        <f t="shared" si="1"/>
        <v xml:space="preserve">Adara Copernicus Deneb </v>
      </c>
      <c r="K109" s="31" t="str">
        <f>IF(ISBLANK(TR!G109),"",TR!G109)</f>
        <v/>
      </c>
      <c r="L109" s="31" t="str">
        <f>IF(ISBLANK(TR!H109),"",TR!H109)</f>
        <v>FR-DSRSW-1336</v>
      </c>
      <c r="M109" s="30" t="str">
        <f>TR!J109</f>
        <v>Approved</v>
      </c>
      <c r="N109" s="31" t="str">
        <f>IF(OR(M109="Modified",M109="Cosmetic"),VLOOKUP(B109,PrevPFS!B$1:E$833,4,FALSE),"")</f>
        <v/>
      </c>
    </row>
    <row r="110" spans="1:14" ht="45" x14ac:dyDescent="0.25">
      <c r="A110" s="31" t="str">
        <f>IF(ISNONTEXT(TR!K110),"",TR!K110)</f>
        <v>TR-0-DL-IUM-1677</v>
      </c>
      <c r="B110" s="32" t="str">
        <f>TR!A110</f>
        <v>TR-DSRSW-1411</v>
      </c>
      <c r="C110" s="31" t="b">
        <f>ISERROR(FIND("-",TR!B110))</f>
        <v>0</v>
      </c>
      <c r="D110" s="31">
        <f>SetIndent(E110,(TR!C110-1)*2)</f>
        <v>4</v>
      </c>
      <c r="E110" s="35" t="str">
        <f>IF(ISERROR(FIND("-",TR!B110)),TR!B110&amp;" "&amp;TR!D110,TR!D110)</f>
        <v>The product SHALL display the current "target" version of Neptune in the Standard Download Screen.</v>
      </c>
      <c r="F110" s="31" t="str">
        <f>TR!E110</f>
        <v>Req</v>
      </c>
      <c r="G110" s="31" t="str">
        <f>IF(ISERROR(FIND("Adara",TR!F110)),"","Adara ")</f>
        <v xml:space="preserve">Adara </v>
      </c>
      <c r="H110" s="31" t="str">
        <f>IF(ISERROR(FIND("Copernicus",TR!F110)),"","Copernicus ")</f>
        <v xml:space="preserve">Copernicus </v>
      </c>
      <c r="I110" s="31" t="str">
        <f>IF(ISERROR(FIND("Deneb",TR!F110)),"","Deneb ")</f>
        <v xml:space="preserve">Deneb </v>
      </c>
      <c r="J110" s="37" t="str">
        <f t="shared" si="1"/>
        <v xml:space="preserve">Adara Copernicus Deneb </v>
      </c>
      <c r="K110" s="31" t="str">
        <f>IF(ISBLANK(TR!G110),"",TR!G110)</f>
        <v/>
      </c>
      <c r="L110" s="31" t="str">
        <f>IF(ISBLANK(TR!H110),"",TR!H110)</f>
        <v>FR-DSRSW-1336</v>
      </c>
      <c r="M110" s="30" t="str">
        <f>TR!J110</f>
        <v>Approved</v>
      </c>
      <c r="N110" s="31" t="str">
        <f>IF(OR(M110="Modified",M110="Cosmetic"),VLOOKUP(B110,PrevPFS!B$1:E$833,4,FALSE),"")</f>
        <v/>
      </c>
    </row>
    <row r="111" spans="1:14" ht="45" x14ac:dyDescent="0.25">
      <c r="A111" s="31" t="str">
        <f>IF(ISNONTEXT(TR!K111),"",TR!K111)</f>
        <v>TR-0-DL-IUM-1678</v>
      </c>
      <c r="B111" s="32" t="str">
        <f>TR!A111</f>
        <v>TR-DSRSW-1412</v>
      </c>
      <c r="C111" s="31" t="b">
        <f>ISERROR(FIND("-",TR!B111))</f>
        <v>0</v>
      </c>
      <c r="D111" s="31">
        <f>SetIndent(E111,(TR!C111-1)*2)</f>
        <v>4</v>
      </c>
      <c r="E111" s="35" t="str">
        <f>IF(ISERROR(FIND("-",TR!B111)),TR!B111&amp;" "&amp;TR!D111,TR!D111)</f>
        <v>The product SHALL display the current "target" version of Packing List in the Standard Download Screen.</v>
      </c>
      <c r="F111" s="31" t="str">
        <f>TR!E111</f>
        <v>Req</v>
      </c>
      <c r="G111" s="31" t="str">
        <f>IF(ISERROR(FIND("Adara",TR!F111)),"","Adara ")</f>
        <v xml:space="preserve">Adara </v>
      </c>
      <c r="H111" s="31" t="str">
        <f>IF(ISERROR(FIND("Copernicus",TR!F111)),"","Copernicus ")</f>
        <v xml:space="preserve">Copernicus </v>
      </c>
      <c r="I111" s="31" t="str">
        <f>IF(ISERROR(FIND("Deneb",TR!F111)),"","Deneb ")</f>
        <v xml:space="preserve">Deneb </v>
      </c>
      <c r="J111" s="37" t="str">
        <f t="shared" si="1"/>
        <v xml:space="preserve">Adara Copernicus Deneb </v>
      </c>
      <c r="K111" s="31" t="str">
        <f>IF(ISBLANK(TR!G111),"",TR!G111)</f>
        <v/>
      </c>
      <c r="L111" s="31" t="str">
        <f>IF(ISBLANK(TR!H111),"",TR!H111)</f>
        <v>FR-DSRSW-1336</v>
      </c>
      <c r="M111" s="30" t="str">
        <f>TR!J111</f>
        <v>Approved</v>
      </c>
      <c r="N111" s="31" t="str">
        <f>IF(OR(M111="Modified",M111="Cosmetic"),VLOOKUP(B111,PrevPFS!B$1:E$833,4,FALSE),"")</f>
        <v/>
      </c>
    </row>
    <row r="112" spans="1:14" ht="45" x14ac:dyDescent="0.25">
      <c r="A112" s="31" t="str">
        <f>IF(ISNONTEXT(TR!K112),"",TR!K112)</f>
        <v/>
      </c>
      <c r="B112" s="32" t="str">
        <f>TR!A112</f>
        <v>TR-DSRSW-2439</v>
      </c>
      <c r="C112" s="31" t="b">
        <f>ISERROR(FIND("-",TR!B112))</f>
        <v>0</v>
      </c>
      <c r="D112" s="31">
        <f>SetIndent(E112,(TR!C112-1)*2)</f>
        <v>4</v>
      </c>
      <c r="E112" s="35" t="str">
        <f>IF(ISERROR(FIND("-",TR!B112)),TR!B112&amp;" "&amp;TR!D112,TR!D112)</f>
        <v>The product SHALL display the current "target" BSP version in the Standard Download Screen.</v>
      </c>
      <c r="F112" s="31" t="str">
        <f>TR!E112</f>
        <v>Req</v>
      </c>
      <c r="G112" s="31" t="str">
        <f>IF(ISERROR(FIND("Adara",TR!F112)),"","Adara ")</f>
        <v xml:space="preserve">Adara </v>
      </c>
      <c r="H112" s="31" t="str">
        <f>IF(ISERROR(FIND("Copernicus",TR!F112)),"","Copernicus ")</f>
        <v xml:space="preserve">Copernicus </v>
      </c>
      <c r="I112" s="31" t="str">
        <f>IF(ISERROR(FIND("Deneb",TR!F112)),"","Deneb ")</f>
        <v xml:space="preserve">Deneb </v>
      </c>
      <c r="J112" s="37" t="str">
        <f t="shared" si="1"/>
        <v xml:space="preserve">Adara Copernicus Deneb </v>
      </c>
      <c r="K112" s="31" t="str">
        <f>IF(ISBLANK(TR!G112),"",TR!G112)</f>
        <v/>
      </c>
      <c r="L112" s="31" t="str">
        <f>IF(ISBLANK(TR!H112),"",TR!H112)</f>
        <v>FR-DSRSW-1336</v>
      </c>
      <c r="M112" s="30" t="str">
        <f>TR!J112</f>
        <v>Approved</v>
      </c>
      <c r="N112" s="31" t="str">
        <f>IF(OR(M112="Modified",M112="Cosmetic"),VLOOKUP(B112,PrevPFS!B$1:E$833,4,FALSE),"")</f>
        <v/>
      </c>
    </row>
    <row r="113" spans="1:14" ht="45" x14ac:dyDescent="0.25">
      <c r="A113" s="31" t="str">
        <f>IF(ISNONTEXT(TR!K113),"",TR!K113)</f>
        <v>TR-0-DL-IUM-1681</v>
      </c>
      <c r="B113" s="32" t="str">
        <f>TR!A113</f>
        <v>TR-DSRSW-1415</v>
      </c>
      <c r="C113" s="31" t="b">
        <f>ISERROR(FIND("-",TR!B113))</f>
        <v>0</v>
      </c>
      <c r="D113" s="31">
        <f>SetIndent(E113,(TR!C113-1)*2)</f>
        <v>4</v>
      </c>
      <c r="E113" s="35" t="str">
        <f>IF(ISERROR(FIND("-",TR!B113)),TR!B113&amp;" "&amp;TR!D113,TR!D113)</f>
        <v>The product SHALL display the preamble/network PID in the Standard Download Screen.</v>
      </c>
      <c r="F113" s="31" t="str">
        <f>TR!E113</f>
        <v>Req</v>
      </c>
      <c r="G113" s="31" t="str">
        <f>IF(ISERROR(FIND("Adara",TR!F113)),"","Adara ")</f>
        <v xml:space="preserve">Adara </v>
      </c>
      <c r="H113" s="31" t="str">
        <f>IF(ISERROR(FIND("Copernicus",TR!F113)),"","Copernicus ")</f>
        <v xml:space="preserve">Copernicus </v>
      </c>
      <c r="I113" s="31" t="str">
        <f>IF(ISERROR(FIND("Deneb",TR!F113)),"","Deneb ")</f>
        <v xml:space="preserve">Deneb </v>
      </c>
      <c r="J113" s="37" t="str">
        <f t="shared" si="1"/>
        <v xml:space="preserve">Adara Copernicus Deneb </v>
      </c>
      <c r="K113" s="31" t="str">
        <f>IF(ISBLANK(TR!G113),"",TR!G113)</f>
        <v/>
      </c>
      <c r="L113" s="31" t="str">
        <f>IF(ISBLANK(TR!H113),"",TR!H113)</f>
        <v>FR-DSRSW-1336</v>
      </c>
      <c r="M113" s="30" t="str">
        <f>TR!J113</f>
        <v>Approved</v>
      </c>
      <c r="N113" s="31" t="str">
        <f>IF(OR(M113="Modified",M113="Cosmetic"),VLOOKUP(B113,PrevPFS!B$1:E$833,4,FALSE),"")</f>
        <v/>
      </c>
    </row>
    <row r="114" spans="1:14" ht="45" x14ac:dyDescent="0.25">
      <c r="A114" s="31" t="str">
        <f>IF(ISNONTEXT(TR!K114),"",TR!K114)</f>
        <v>TR-0-DL-IUM-1702</v>
      </c>
      <c r="B114" s="32" t="str">
        <f>TR!A114</f>
        <v>TR-DSRSW-1416</v>
      </c>
      <c r="C114" s="31" t="b">
        <f>ISERROR(FIND("-",TR!B114))</f>
        <v>0</v>
      </c>
      <c r="D114" s="31">
        <f>SetIndent(E114,(TR!C114-1)*2)</f>
        <v>4</v>
      </c>
      <c r="E114" s="35" t="str">
        <f>IF(ISERROR(FIND("-",TR!B114)),TR!B114&amp;" "&amp;TR!D114,TR!D114)</f>
        <v>The product SHALL display the Download PID in the Standard Download Screen.</v>
      </c>
      <c r="F114" s="31" t="str">
        <f>TR!E114</f>
        <v>Req</v>
      </c>
      <c r="G114" s="31" t="str">
        <f>IF(ISERROR(FIND("Adara",TR!F114)),"","Adara ")</f>
        <v xml:space="preserve">Adara </v>
      </c>
      <c r="H114" s="31" t="str">
        <f>IF(ISERROR(FIND("Copernicus",TR!F114)),"","Copernicus ")</f>
        <v xml:space="preserve">Copernicus </v>
      </c>
      <c r="I114" s="31" t="str">
        <f>IF(ISERROR(FIND("Deneb",TR!F114)),"","Deneb ")</f>
        <v xml:space="preserve">Deneb </v>
      </c>
      <c r="J114" s="37" t="str">
        <f t="shared" si="1"/>
        <v xml:space="preserve">Adara Copernicus Deneb </v>
      </c>
      <c r="K114" s="31" t="str">
        <f>IF(ISBLANK(TR!G114),"",TR!G114)</f>
        <v/>
      </c>
      <c r="L114" s="31" t="str">
        <f>IF(ISBLANK(TR!H114),"",TR!H114)</f>
        <v>FR-DSRSW-1336</v>
      </c>
      <c r="M114" s="30" t="str">
        <f>TR!J114</f>
        <v>Approved</v>
      </c>
      <c r="N114" s="31" t="str">
        <f>IF(OR(M114="Modified",M114="Cosmetic"),VLOOKUP(B114,PrevPFS!B$1:E$833,4,FALSE),"")</f>
        <v/>
      </c>
    </row>
    <row r="115" spans="1:14" ht="45" x14ac:dyDescent="0.25">
      <c r="A115" s="31" t="str">
        <f>IF(ISNONTEXT(TR!K115),"",TR!K115)</f>
        <v>TR-0-DL-IUM-1682</v>
      </c>
      <c r="B115" s="32" t="str">
        <f>TR!A115</f>
        <v>TR-DSRSW-1417</v>
      </c>
      <c r="C115" s="31" t="b">
        <f>ISERROR(FIND("-",TR!B115))</f>
        <v>0</v>
      </c>
      <c r="D115" s="31">
        <f>SetIndent(E115,(TR!C115-1)*2)</f>
        <v>4</v>
      </c>
      <c r="E115" s="35" t="str">
        <f>IF(ISERROR(FIND("-",TR!B115)),TR!B115&amp;" "&amp;TR!D115,TR!D115)</f>
        <v>The product SHALL display the Download Channel Number in the Standard Download Screen.</v>
      </c>
      <c r="F115" s="31" t="str">
        <f>TR!E115</f>
        <v>Req</v>
      </c>
      <c r="G115" s="31" t="str">
        <f>IF(ISERROR(FIND("Adara",TR!F115)),"","Adara ")</f>
        <v xml:space="preserve">Adara </v>
      </c>
      <c r="H115" s="31" t="str">
        <f>IF(ISERROR(FIND("Copernicus",TR!F115)),"","Copernicus ")</f>
        <v xml:space="preserve">Copernicus </v>
      </c>
      <c r="I115" s="31" t="str">
        <f>IF(ISERROR(FIND("Deneb",TR!F115)),"","Deneb ")</f>
        <v xml:space="preserve">Deneb </v>
      </c>
      <c r="J115" s="37" t="str">
        <f t="shared" si="1"/>
        <v xml:space="preserve">Adara Copernicus Deneb </v>
      </c>
      <c r="K115" s="31" t="str">
        <f>IF(ISBLANK(TR!G115),"",TR!G115)</f>
        <v/>
      </c>
      <c r="L115" s="31" t="str">
        <f>IF(ISBLANK(TR!H115),"",TR!H115)</f>
        <v>FR-DSRSW-1336</v>
      </c>
      <c r="M115" s="30" t="str">
        <f>TR!J115</f>
        <v>Approved</v>
      </c>
      <c r="N115" s="31" t="str">
        <f>IF(OR(M115="Modified",M115="Cosmetic"),VLOOKUP(B115,PrevPFS!B$1:E$833,4,FALSE),"")</f>
        <v/>
      </c>
    </row>
    <row r="116" spans="1:14" ht="45" x14ac:dyDescent="0.25">
      <c r="A116" s="31" t="str">
        <f>IF(ISNONTEXT(TR!K116),"",TR!K116)</f>
        <v>TR-0-DL-IUM-1683</v>
      </c>
      <c r="B116" s="32" t="str">
        <f>TR!A116</f>
        <v>TR-DSRSW-1418</v>
      </c>
      <c r="C116" s="31" t="b">
        <f>ISERROR(FIND("-",TR!B116))</f>
        <v>0</v>
      </c>
      <c r="D116" s="31">
        <f>SetIndent(E116,(TR!C116-1)*2)</f>
        <v>4</v>
      </c>
      <c r="E116" s="35" t="str">
        <f>IF(ISERROR(FIND("-",TR!B116)),TR!B116&amp;" "&amp;TR!D116,TR!D116)</f>
        <v>The product SHALL display the Transport Locked State in the Standard Download Screen.</v>
      </c>
      <c r="F116" s="31" t="str">
        <f>TR!E116</f>
        <v>Req</v>
      </c>
      <c r="G116" s="31" t="str">
        <f>IF(ISERROR(FIND("Adara",TR!F116)),"","Adara ")</f>
        <v xml:space="preserve">Adara </v>
      </c>
      <c r="H116" s="31" t="str">
        <f>IF(ISERROR(FIND("Copernicus",TR!F116)),"","Copernicus ")</f>
        <v xml:space="preserve">Copernicus </v>
      </c>
      <c r="I116" s="31" t="str">
        <f>IF(ISERROR(FIND("Deneb",TR!F116)),"","Deneb ")</f>
        <v xml:space="preserve">Deneb </v>
      </c>
      <c r="J116" s="37" t="str">
        <f t="shared" si="1"/>
        <v xml:space="preserve">Adara Copernicus Deneb </v>
      </c>
      <c r="K116" s="31" t="str">
        <f>IF(ISBLANK(TR!G116),"",TR!G116)</f>
        <v/>
      </c>
      <c r="L116" s="31" t="str">
        <f>IF(ISBLANK(TR!H116),"",TR!H116)</f>
        <v>FR-DSRSW-1336</v>
      </c>
      <c r="M116" s="30" t="str">
        <f>TR!J116</f>
        <v>Approved</v>
      </c>
      <c r="N116" s="31" t="str">
        <f>IF(OR(M116="Modified",M116="Cosmetic"),VLOOKUP(B116,PrevPFS!B$1:E$833,4,FALSE),"")</f>
        <v/>
      </c>
    </row>
    <row r="117" spans="1:14" ht="45" x14ac:dyDescent="0.25">
      <c r="A117" s="31" t="str">
        <f>IF(ISNONTEXT(TR!K117),"",TR!K117)</f>
        <v>TR-0-DL-IUM-1684</v>
      </c>
      <c r="B117" s="32" t="str">
        <f>TR!A117</f>
        <v>TR-DSRSW-1419</v>
      </c>
      <c r="C117" s="31" t="b">
        <f>ISERROR(FIND("-",TR!B117))</f>
        <v>0</v>
      </c>
      <c r="D117" s="31">
        <f>SetIndent(E117,(TR!C117-1)*2)</f>
        <v>4</v>
      </c>
      <c r="E117" s="35" t="str">
        <f>IF(ISERROR(FIND("-",TR!B117)),TR!B117&amp;" "&amp;TR!D117,TR!D117)</f>
        <v>The product SHALL display the Signal Level in the Standard Download Screen.</v>
      </c>
      <c r="F117" s="31" t="str">
        <f>TR!E117</f>
        <v>Req</v>
      </c>
      <c r="G117" s="31" t="str">
        <f>IF(ISERROR(FIND("Adara",TR!F117)),"","Adara ")</f>
        <v xml:space="preserve">Adara </v>
      </c>
      <c r="H117" s="31" t="str">
        <f>IF(ISERROR(FIND("Copernicus",TR!F117)),"","Copernicus ")</f>
        <v xml:space="preserve">Copernicus </v>
      </c>
      <c r="I117" s="31" t="str">
        <f>IF(ISERROR(FIND("Deneb",TR!F117)),"","Deneb ")</f>
        <v xml:space="preserve">Deneb </v>
      </c>
      <c r="J117" s="37" t="str">
        <f t="shared" si="1"/>
        <v xml:space="preserve">Adara Copernicus Deneb </v>
      </c>
      <c r="K117" s="31" t="str">
        <f>IF(ISBLANK(TR!G117),"",TR!G117)</f>
        <v/>
      </c>
      <c r="L117" s="31" t="str">
        <f>IF(ISBLANK(TR!H117),"",TR!H117)</f>
        <v>FR-DSRSW-1336</v>
      </c>
      <c r="M117" s="30" t="str">
        <f>TR!J117</f>
        <v>Approved</v>
      </c>
      <c r="N117" s="31" t="str">
        <f>IF(OR(M117="Modified",M117="Cosmetic"),VLOOKUP(B117,PrevPFS!B$1:E$833,4,FALSE),"")</f>
        <v/>
      </c>
    </row>
    <row r="118" spans="1:14" ht="45" x14ac:dyDescent="0.25">
      <c r="A118" s="31" t="str">
        <f>IF(ISNONTEXT(TR!K118),"",TR!K118)</f>
        <v>TR-0-DL-IUM-1685</v>
      </c>
      <c r="B118" s="32" t="str">
        <f>TR!A118</f>
        <v>TR-DSRSW-1420</v>
      </c>
      <c r="C118" s="31" t="b">
        <f>ISERROR(FIND("-",TR!B118))</f>
        <v>0</v>
      </c>
      <c r="D118" s="31">
        <f>SetIndent(E118,(TR!C118-1)*2)</f>
        <v>4</v>
      </c>
      <c r="E118" s="35" t="str">
        <f>IF(ISERROR(FIND("-",TR!B118)),TR!B118&amp;" "&amp;TR!D118,TR!D118)</f>
        <v>The product SHALL display the VCT ID in the Standard Download Screen.</v>
      </c>
      <c r="F118" s="31" t="str">
        <f>TR!E118</f>
        <v>Req</v>
      </c>
      <c r="G118" s="31" t="str">
        <f>IF(ISERROR(FIND("Adara",TR!F118)),"","Adara ")</f>
        <v xml:space="preserve">Adara </v>
      </c>
      <c r="H118" s="31" t="str">
        <f>IF(ISERROR(FIND("Copernicus",TR!F118)),"","Copernicus ")</f>
        <v xml:space="preserve">Copernicus </v>
      </c>
      <c r="I118" s="31" t="str">
        <f>IF(ISERROR(FIND("Deneb",TR!F118)),"","Deneb ")</f>
        <v xml:space="preserve">Deneb </v>
      </c>
      <c r="J118" s="37" t="str">
        <f t="shared" si="1"/>
        <v xml:space="preserve">Adara Copernicus Deneb </v>
      </c>
      <c r="K118" s="31" t="str">
        <f>IF(ISBLANK(TR!G118),"",TR!G118)</f>
        <v/>
      </c>
      <c r="L118" s="31" t="str">
        <f>IF(ISBLANK(TR!H118),"",TR!H118)</f>
        <v>FR-DSRSW-1336</v>
      </c>
      <c r="M118" s="30" t="str">
        <f>TR!J118</f>
        <v>Approved</v>
      </c>
      <c r="N118" s="31" t="str">
        <f>IF(OR(M118="Modified",M118="Cosmetic"),VLOOKUP(B118,PrevPFS!B$1:E$833,4,FALSE),"")</f>
        <v/>
      </c>
    </row>
    <row r="119" spans="1:14" ht="45" x14ac:dyDescent="0.25">
      <c r="A119" s="31" t="str">
        <f>IF(ISNONTEXT(TR!K119),"",TR!K119)</f>
        <v>TR-0-DL-IUM-1686</v>
      </c>
      <c r="B119" s="32" t="str">
        <f>TR!A119</f>
        <v>TR-DSRSW-1421</v>
      </c>
      <c r="C119" s="31" t="b">
        <f>ISERROR(FIND("-",TR!B119))</f>
        <v>0</v>
      </c>
      <c r="D119" s="31">
        <f>SetIndent(E119,(TR!C119-1)*2)</f>
        <v>4</v>
      </c>
      <c r="E119" s="35" t="str">
        <f>IF(ISERROR(FIND("-",TR!B119)),TR!B119&amp;" "&amp;TR!D119,TR!D119)</f>
        <v>The product SHALL display the download channel Frequency in the Standard Download Screen.</v>
      </c>
      <c r="F119" s="31" t="str">
        <f>TR!E119</f>
        <v>Req</v>
      </c>
      <c r="G119" s="31" t="str">
        <f>IF(ISERROR(FIND("Adara",TR!F119)),"","Adara ")</f>
        <v xml:space="preserve">Adara </v>
      </c>
      <c r="H119" s="31" t="str">
        <f>IF(ISERROR(FIND("Copernicus",TR!F119)),"","Copernicus ")</f>
        <v xml:space="preserve">Copernicus </v>
      </c>
      <c r="I119" s="31" t="str">
        <f>IF(ISERROR(FIND("Deneb",TR!F119)),"","Deneb ")</f>
        <v xml:space="preserve">Deneb </v>
      </c>
      <c r="J119" s="37" t="str">
        <f t="shared" si="1"/>
        <v xml:space="preserve">Adara Copernicus Deneb </v>
      </c>
      <c r="K119" s="31" t="str">
        <f>IF(ISBLANK(TR!G119),"",TR!G119)</f>
        <v/>
      </c>
      <c r="L119" s="31" t="str">
        <f>IF(ISBLANK(TR!H119),"",TR!H119)</f>
        <v>FR-DSRSW-1336</v>
      </c>
      <c r="M119" s="30" t="str">
        <f>TR!J119</f>
        <v>Approved</v>
      </c>
      <c r="N119" s="31" t="str">
        <f>IF(OR(M119="Modified",M119="Cosmetic"),VLOOKUP(B119,PrevPFS!B$1:E$833,4,FALSE),"")</f>
        <v/>
      </c>
    </row>
    <row r="120" spans="1:14" ht="45" x14ac:dyDescent="0.25">
      <c r="A120" s="31" t="str">
        <f>IF(ISNONTEXT(TR!K120),"",TR!K120)</f>
        <v>TR-0-DL-IUM-1687</v>
      </c>
      <c r="B120" s="32" t="str">
        <f>TR!A120</f>
        <v>TR-DSRSW-1422</v>
      </c>
      <c r="C120" s="31" t="b">
        <f>ISERROR(FIND("-",TR!B120))</f>
        <v>0</v>
      </c>
      <c r="D120" s="31">
        <f>SetIndent(E120,(TR!C120-1)*2)</f>
        <v>4</v>
      </c>
      <c r="E120" s="35" t="str">
        <f>IF(ISERROR(FIND("-",TR!B120)),TR!B120&amp;" "&amp;TR!D120,TR!D120)</f>
        <v>The product SHALL display the download channel Code Rate in the Standard Download Screen.</v>
      </c>
      <c r="F120" s="31" t="str">
        <f>TR!E120</f>
        <v>Req</v>
      </c>
      <c r="G120" s="31" t="str">
        <f>IF(ISERROR(FIND("Adara",TR!F120)),"","Adara ")</f>
        <v xml:space="preserve">Adara </v>
      </c>
      <c r="H120" s="31" t="str">
        <f>IF(ISERROR(FIND("Copernicus",TR!F120)),"","Copernicus ")</f>
        <v xml:space="preserve">Copernicus </v>
      </c>
      <c r="I120" s="31" t="str">
        <f>IF(ISERROR(FIND("Deneb",TR!F120)),"","Deneb ")</f>
        <v xml:space="preserve">Deneb </v>
      </c>
      <c r="J120" s="37" t="str">
        <f t="shared" si="1"/>
        <v xml:space="preserve">Adara Copernicus Deneb </v>
      </c>
      <c r="K120" s="31" t="str">
        <f>IF(ISBLANK(TR!G120),"",TR!G120)</f>
        <v/>
      </c>
      <c r="L120" s="31" t="str">
        <f>IF(ISBLANK(TR!H120),"",TR!H120)</f>
        <v>FR-DSRSW-1336</v>
      </c>
      <c r="M120" s="30" t="str">
        <f>TR!J120</f>
        <v>Approved</v>
      </c>
      <c r="N120" s="31" t="str">
        <f>IF(OR(M120="Modified",M120="Cosmetic"),VLOOKUP(B120,PrevPFS!B$1:E$833,4,FALSE),"")</f>
        <v/>
      </c>
    </row>
    <row r="121" spans="1:14" ht="45" x14ac:dyDescent="0.25">
      <c r="A121" s="31" t="str">
        <f>IF(ISNONTEXT(TR!K121),"",TR!K121)</f>
        <v>TR-0-DL-IUM-1688</v>
      </c>
      <c r="B121" s="32" t="str">
        <f>TR!A121</f>
        <v>TR-DSRSW-1423</v>
      </c>
      <c r="C121" s="31" t="b">
        <f>ISERROR(FIND("-",TR!B121))</f>
        <v>0</v>
      </c>
      <c r="D121" s="31">
        <f>SetIndent(E121,(TR!C121-1)*2)</f>
        <v>4</v>
      </c>
      <c r="E121" s="35" t="str">
        <f>IF(ISERROR(FIND("-",TR!B121)),TR!B121&amp;" "&amp;TR!D121,TR!D121)</f>
        <v>The product SHALL display the download channel Symbol Rate in the Standard Download Screen.</v>
      </c>
      <c r="F121" s="31" t="str">
        <f>TR!E121</f>
        <v>Req</v>
      </c>
      <c r="G121" s="31" t="str">
        <f>IF(ISERROR(FIND("Adara",TR!F121)),"","Adara ")</f>
        <v xml:space="preserve">Adara </v>
      </c>
      <c r="H121" s="31" t="str">
        <f>IF(ISERROR(FIND("Copernicus",TR!F121)),"","Copernicus ")</f>
        <v xml:space="preserve">Copernicus </v>
      </c>
      <c r="I121" s="31" t="str">
        <f>IF(ISERROR(FIND("Deneb",TR!F121)),"","Deneb ")</f>
        <v xml:space="preserve">Deneb </v>
      </c>
      <c r="J121" s="37" t="str">
        <f t="shared" si="1"/>
        <v xml:space="preserve">Adara Copernicus Deneb </v>
      </c>
      <c r="K121" s="31" t="str">
        <f>IF(ISBLANK(TR!G121),"",TR!G121)</f>
        <v/>
      </c>
      <c r="L121" s="31" t="str">
        <f>IF(ISBLANK(TR!H121),"",TR!H121)</f>
        <v>FR-DSRSW-1336</v>
      </c>
      <c r="M121" s="30" t="str">
        <f>TR!J121</f>
        <v>Approved</v>
      </c>
      <c r="N121" s="31" t="str">
        <f>IF(OR(M121="Modified",M121="Cosmetic"),VLOOKUP(B121,PrevPFS!B$1:E$833,4,FALSE),"")</f>
        <v/>
      </c>
    </row>
    <row r="122" spans="1:14" ht="45" x14ac:dyDescent="0.25">
      <c r="A122" s="31" t="str">
        <f>IF(ISNONTEXT(TR!K122),"",TR!K122)</f>
        <v>TR-0-DL-IUM-1689</v>
      </c>
      <c r="B122" s="32" t="str">
        <f>TR!A122</f>
        <v>TR-DSRSW-1424</v>
      </c>
      <c r="C122" s="31" t="b">
        <f>ISERROR(FIND("-",TR!B122))</f>
        <v>0</v>
      </c>
      <c r="D122" s="31">
        <f>SetIndent(E122,(TR!C122-1)*2)</f>
        <v>4</v>
      </c>
      <c r="E122" s="35" t="str">
        <f>IF(ISERROR(FIND("-",TR!B122)),TR!B122&amp;" "&amp;TR!D122,TR!D122)</f>
        <v>The product SHALL display the download state in the Standard Download Screen.</v>
      </c>
      <c r="F122" s="31" t="str">
        <f>TR!E122</f>
        <v>Req</v>
      </c>
      <c r="G122" s="31" t="str">
        <f>IF(ISERROR(FIND("Adara",TR!F122)),"","Adara ")</f>
        <v xml:space="preserve">Adara </v>
      </c>
      <c r="H122" s="31" t="str">
        <f>IF(ISERROR(FIND("Copernicus",TR!F122)),"","Copernicus ")</f>
        <v xml:space="preserve">Copernicus </v>
      </c>
      <c r="I122" s="31" t="str">
        <f>IF(ISERROR(FIND("Deneb",TR!F122)),"","Deneb ")</f>
        <v xml:space="preserve">Deneb </v>
      </c>
      <c r="J122" s="37" t="str">
        <f t="shared" si="1"/>
        <v xml:space="preserve">Adara Copernicus Deneb </v>
      </c>
      <c r="K122" s="31" t="str">
        <f>IF(ISBLANK(TR!G122),"",TR!G122)</f>
        <v/>
      </c>
      <c r="L122" s="31" t="str">
        <f>IF(ISBLANK(TR!H122),"",TR!H122)</f>
        <v>FR-DSRSW-1336</v>
      </c>
      <c r="M122" s="30" t="str">
        <f>TR!J122</f>
        <v>Approved</v>
      </c>
      <c r="N122" s="31" t="str">
        <f>IF(OR(M122="Modified",M122="Cosmetic"),VLOOKUP(B122,PrevPFS!B$1:E$833,4,FALSE),"")</f>
        <v/>
      </c>
    </row>
    <row r="123" spans="1:14" ht="45" x14ac:dyDescent="0.25">
      <c r="A123" s="31" t="str">
        <f>IF(ISNONTEXT(TR!K123),"",TR!K123)</f>
        <v>TR-0-DL-IUM-1690</v>
      </c>
      <c r="B123" s="32" t="str">
        <f>TR!A123</f>
        <v>TR-DSRSW-1425</v>
      </c>
      <c r="C123" s="31" t="b">
        <f>ISERROR(FIND("-",TR!B123))</f>
        <v>0</v>
      </c>
      <c r="D123" s="31">
        <f>SetIndent(E123,(TR!C123-1)*2)</f>
        <v>4</v>
      </c>
      <c r="E123" s="35" t="str">
        <f>IF(ISERROR(FIND("-",TR!B123)),TR!B123&amp;" "&amp;TR!D123,TR!D123)</f>
        <v>The product SHALL display the Total Files Collected in the Standard Download Screen.</v>
      </c>
      <c r="F123" s="31" t="str">
        <f>TR!E123</f>
        <v>Req</v>
      </c>
      <c r="G123" s="31" t="str">
        <f>IF(ISERROR(FIND("Adara",TR!F123)),"","Adara ")</f>
        <v xml:space="preserve">Adara </v>
      </c>
      <c r="H123" s="31" t="str">
        <f>IF(ISERROR(FIND("Copernicus",TR!F123)),"","Copernicus ")</f>
        <v xml:space="preserve">Copernicus </v>
      </c>
      <c r="I123" s="31" t="str">
        <f>IF(ISERROR(FIND("Deneb",TR!F123)),"","Deneb ")</f>
        <v xml:space="preserve">Deneb </v>
      </c>
      <c r="J123" s="37" t="str">
        <f t="shared" si="1"/>
        <v xml:space="preserve">Adara Copernicus Deneb </v>
      </c>
      <c r="K123" s="31" t="str">
        <f>IF(ISBLANK(TR!G123),"",TR!G123)</f>
        <v/>
      </c>
      <c r="L123" s="31" t="str">
        <f>IF(ISBLANK(TR!H123),"",TR!H123)</f>
        <v>FR-DSRSW-1336</v>
      </c>
      <c r="M123" s="30" t="str">
        <f>TR!J123</f>
        <v>Approved</v>
      </c>
      <c r="N123" s="31" t="str">
        <f>IF(OR(M123="Modified",M123="Cosmetic"),VLOOKUP(B123,PrevPFS!B$1:E$833,4,FALSE),"")</f>
        <v/>
      </c>
    </row>
    <row r="124" spans="1:14" ht="45" x14ac:dyDescent="0.25">
      <c r="A124" s="31" t="str">
        <f>IF(ISNONTEXT(TR!K124),"",TR!K124)</f>
        <v>TR-0-DL-IUM-1691</v>
      </c>
      <c r="B124" s="32" t="str">
        <f>TR!A124</f>
        <v>TR-DSRSW-1426</v>
      </c>
      <c r="C124" s="31" t="b">
        <f>ISERROR(FIND("-",TR!B124))</f>
        <v>0</v>
      </c>
      <c r="D124" s="31">
        <f>SetIndent(E124,(TR!C124-1)*2)</f>
        <v>4</v>
      </c>
      <c r="E124" s="35" t="str">
        <f>IF(ISERROR(FIND("-",TR!B124)),TR!B124&amp;" "&amp;TR!D124,TR!D124)</f>
        <v>The product SHALL display the Total Number of Files in the Standard Download Screen.</v>
      </c>
      <c r="F124" s="31" t="str">
        <f>TR!E124</f>
        <v>Req</v>
      </c>
      <c r="G124" s="31" t="str">
        <f>IF(ISERROR(FIND("Adara",TR!F124)),"","Adara ")</f>
        <v xml:space="preserve">Adara </v>
      </c>
      <c r="H124" s="31" t="str">
        <f>IF(ISERROR(FIND("Copernicus",TR!F124)),"","Copernicus ")</f>
        <v xml:space="preserve">Copernicus </v>
      </c>
      <c r="I124" s="31" t="str">
        <f>IF(ISERROR(FIND("Deneb",TR!F124)),"","Deneb ")</f>
        <v xml:space="preserve">Deneb </v>
      </c>
      <c r="J124" s="37" t="str">
        <f t="shared" si="1"/>
        <v xml:space="preserve">Adara Copernicus Deneb </v>
      </c>
      <c r="K124" s="31" t="str">
        <f>IF(ISBLANK(TR!G124),"",TR!G124)</f>
        <v/>
      </c>
      <c r="L124" s="31" t="str">
        <f>IF(ISBLANK(TR!H124),"",TR!H124)</f>
        <v>FR-DSRSW-1336</v>
      </c>
      <c r="M124" s="30" t="str">
        <f>TR!J124</f>
        <v>Approved</v>
      </c>
      <c r="N124" s="31" t="str">
        <f>IF(OR(M124="Modified",M124="Cosmetic"),VLOOKUP(B124,PrevPFS!B$1:E$833,4,FALSE),"")</f>
        <v/>
      </c>
    </row>
    <row r="125" spans="1:14" ht="45" x14ac:dyDescent="0.25">
      <c r="A125" s="31" t="str">
        <f>IF(ISNONTEXT(TR!K125),"",TR!K125)</f>
        <v>TR-0-DL-IUM-1692</v>
      </c>
      <c r="B125" s="32" t="str">
        <f>TR!A125</f>
        <v>TR-DSRSW-1427</v>
      </c>
      <c r="C125" s="31" t="b">
        <f>ISERROR(FIND("-",TR!B125))</f>
        <v>0</v>
      </c>
      <c r="D125" s="31">
        <f>SetIndent(E125,(TR!C125-1)*2)</f>
        <v>4</v>
      </c>
      <c r="E125" s="35" t="str">
        <f>IF(ISERROR(FIND("-",TR!B125)),TR!B125&amp;" "&amp;TR!D125,TR!D125)</f>
        <v>The product SHALL which indicate which files are collected with a "1" in the Standard Download Screen.</v>
      </c>
      <c r="F125" s="31" t="str">
        <f>TR!E125</f>
        <v>Req</v>
      </c>
      <c r="G125" s="31" t="str">
        <f>IF(ISERROR(FIND("Adara",TR!F125)),"","Adara ")</f>
        <v xml:space="preserve">Adara </v>
      </c>
      <c r="H125" s="31" t="str">
        <f>IF(ISERROR(FIND("Copernicus",TR!F125)),"","Copernicus ")</f>
        <v xml:space="preserve">Copernicus </v>
      </c>
      <c r="I125" s="31" t="str">
        <f>IF(ISERROR(FIND("Deneb",TR!F125)),"","Deneb ")</f>
        <v xml:space="preserve">Deneb </v>
      </c>
      <c r="J125" s="37" t="str">
        <f t="shared" si="1"/>
        <v xml:space="preserve">Adara Copernicus Deneb </v>
      </c>
      <c r="K125" s="31" t="str">
        <f>IF(ISBLANK(TR!G125),"",TR!G125)</f>
        <v/>
      </c>
      <c r="L125" s="31" t="str">
        <f>IF(ISBLANK(TR!H125),"",TR!H125)</f>
        <v>FR-DSRSW-1336</v>
      </c>
      <c r="M125" s="30" t="str">
        <f>TR!J125</f>
        <v>Approved</v>
      </c>
      <c r="N125" s="31" t="str">
        <f>IF(OR(M125="Modified",M125="Cosmetic"),VLOOKUP(B125,PrevPFS!B$1:E$833,4,FALSE),"")</f>
        <v/>
      </c>
    </row>
    <row r="126" spans="1:14" ht="45" x14ac:dyDescent="0.25">
      <c r="A126" s="31" t="str">
        <f>IF(ISNONTEXT(TR!K126),"",TR!K126)</f>
        <v>TR-0-DL-IUM-1693</v>
      </c>
      <c r="B126" s="32" t="str">
        <f>TR!A126</f>
        <v>TR-DSRSW-1428</v>
      </c>
      <c r="C126" s="31" t="b">
        <f>ISERROR(FIND("-",TR!B126))</f>
        <v>0</v>
      </c>
      <c r="D126" s="31">
        <f>SetIndent(E126,(TR!C126-1)*2)</f>
        <v>4</v>
      </c>
      <c r="E126" s="35" t="str">
        <f>IF(ISERROR(FIND("-",TR!B126)),TR!B126&amp;" "&amp;TR!D126,TR!D126)</f>
        <v>The product SHALL which indicate which files have not been collected with a "0" in the Standard Download Screen.</v>
      </c>
      <c r="F126" s="31" t="str">
        <f>TR!E126</f>
        <v>Req</v>
      </c>
      <c r="G126" s="31" t="str">
        <f>IF(ISERROR(FIND("Adara",TR!F126)),"","Adara ")</f>
        <v xml:space="preserve">Adara </v>
      </c>
      <c r="H126" s="31" t="str">
        <f>IF(ISERROR(FIND("Copernicus",TR!F126)),"","Copernicus ")</f>
        <v xml:space="preserve">Copernicus </v>
      </c>
      <c r="I126" s="31" t="str">
        <f>IF(ISERROR(FIND("Deneb",TR!F126)),"","Deneb ")</f>
        <v xml:space="preserve">Deneb </v>
      </c>
      <c r="J126" s="37" t="str">
        <f t="shared" si="1"/>
        <v xml:space="preserve">Adara Copernicus Deneb </v>
      </c>
      <c r="K126" s="31" t="str">
        <f>IF(ISBLANK(TR!G126),"",TR!G126)</f>
        <v/>
      </c>
      <c r="L126" s="31" t="str">
        <f>IF(ISBLANK(TR!H126),"",TR!H126)</f>
        <v>FR-DSRSW-1336</v>
      </c>
      <c r="M126" s="30" t="str">
        <f>TR!J126</f>
        <v>Approved</v>
      </c>
      <c r="N126" s="31" t="str">
        <f>IF(OR(M126="Modified",M126="Cosmetic"),VLOOKUP(B126,PrevPFS!B$1:E$833,4,FALSE),"")</f>
        <v/>
      </c>
    </row>
    <row r="127" spans="1:14" ht="45" x14ac:dyDescent="0.25">
      <c r="A127" s="31" t="str">
        <f>IF(ISNONTEXT(TR!K127),"",TR!K127)</f>
        <v>TR-0-DL-IUM-1694</v>
      </c>
      <c r="B127" s="32" t="str">
        <f>TR!A127</f>
        <v>TR-DSRSW-1429</v>
      </c>
      <c r="C127" s="31" t="b">
        <f>ISERROR(FIND("-",TR!B127))</f>
        <v>0</v>
      </c>
      <c r="D127" s="31">
        <f>SetIndent(E127,(TR!C127-1)*2)</f>
        <v>4</v>
      </c>
      <c r="E127" s="35" t="str">
        <f>IF(ISERROR(FIND("-",TR!B127)),TR!B127&amp;" "&amp;TR!D127,TR!D127)</f>
        <v>The product SHALL, in the Standard Download Screen, display the  Download Preamble Filter State (0,1,2) where 0 = no request, 1= waiting on PAT, 2=received.</v>
      </c>
      <c r="F127" s="31" t="str">
        <f>TR!E127</f>
        <v>Req</v>
      </c>
      <c r="G127" s="31" t="str">
        <f>IF(ISERROR(FIND("Adara",TR!F127)),"","Adara ")</f>
        <v xml:space="preserve">Adara </v>
      </c>
      <c r="H127" s="31" t="str">
        <f>IF(ISERROR(FIND("Copernicus",TR!F127)),"","Copernicus ")</f>
        <v xml:space="preserve">Copernicus </v>
      </c>
      <c r="I127" s="31" t="str">
        <f>IF(ISERROR(FIND("Deneb",TR!F127)),"","Deneb ")</f>
        <v xml:space="preserve">Deneb </v>
      </c>
      <c r="J127" s="37" t="str">
        <f t="shared" si="1"/>
        <v xml:space="preserve">Adara Copernicus Deneb </v>
      </c>
      <c r="K127" s="31" t="str">
        <f>IF(ISBLANK(TR!G127),"",TR!G127)</f>
        <v/>
      </c>
      <c r="L127" s="31" t="str">
        <f>IF(ISBLANK(TR!H127),"",TR!H127)</f>
        <v>FR-DSRSW-1336</v>
      </c>
      <c r="M127" s="30" t="str">
        <f>TR!J127</f>
        <v>Approved</v>
      </c>
      <c r="N127" s="31" t="str">
        <f>IF(OR(M127="Modified",M127="Cosmetic"),VLOOKUP(B127,PrevPFS!B$1:E$833,4,FALSE),"")</f>
        <v/>
      </c>
    </row>
    <row r="128" spans="1:14" ht="45" x14ac:dyDescent="0.25">
      <c r="A128" s="31" t="str">
        <f>IF(ISNONTEXT(TR!K128),"",TR!K128)</f>
        <v>TR-0-DL-IUM-1695</v>
      </c>
      <c r="B128" s="32" t="str">
        <f>TR!A128</f>
        <v>TR-DSRSW-1430</v>
      </c>
      <c r="C128" s="31" t="b">
        <f>ISERROR(FIND("-",TR!B128))</f>
        <v>0</v>
      </c>
      <c r="D128" s="31">
        <f>SetIndent(E128,(TR!C128-1)*2)</f>
        <v>4</v>
      </c>
      <c r="E128" s="35" t="str">
        <f>IF(ISERROR(FIND("-",TR!B128)),TR!B128&amp;" "&amp;TR!D128,TR!D128)</f>
        <v>The product SHALL, in the Standard Download Screen, display the Download Msg Filter State (0,1,2) 0=no request, 1=waiting on PMT/SMAP, 2=Messages being received.</v>
      </c>
      <c r="F128" s="31" t="str">
        <f>TR!E128</f>
        <v>Req</v>
      </c>
      <c r="G128" s="31" t="str">
        <f>IF(ISERROR(FIND("Adara",TR!F128)),"","Adara ")</f>
        <v xml:space="preserve">Adara </v>
      </c>
      <c r="H128" s="31" t="str">
        <f>IF(ISERROR(FIND("Copernicus",TR!F128)),"","Copernicus ")</f>
        <v xml:space="preserve">Copernicus </v>
      </c>
      <c r="I128" s="31" t="str">
        <f>IF(ISERROR(FIND("Deneb",TR!F128)),"","Deneb ")</f>
        <v xml:space="preserve">Deneb </v>
      </c>
      <c r="J128" s="37" t="str">
        <f t="shared" si="1"/>
        <v xml:space="preserve">Adara Copernicus Deneb </v>
      </c>
      <c r="K128" s="31" t="str">
        <f>IF(ISBLANK(TR!G128),"",TR!G128)</f>
        <v/>
      </c>
      <c r="L128" s="31" t="str">
        <f>IF(ISBLANK(TR!H128),"",TR!H128)</f>
        <v>FR-DSRSW-1336</v>
      </c>
      <c r="M128" s="30" t="str">
        <f>TR!J128</f>
        <v>Approved</v>
      </c>
      <c r="N128" s="31" t="str">
        <f>IF(OR(M128="Modified",M128="Cosmetic"),VLOOKUP(B128,PrevPFS!B$1:E$833,4,FALSE),"")</f>
        <v/>
      </c>
    </row>
    <row r="129" spans="1:14" ht="45" x14ac:dyDescent="0.25">
      <c r="A129" s="31" t="str">
        <f>IF(ISNONTEXT(TR!K129),"",TR!K129)</f>
        <v>TR-0-DL-IUM-1696</v>
      </c>
      <c r="B129" s="32" t="str">
        <f>TR!A129</f>
        <v>TR-DSRSW-1431</v>
      </c>
      <c r="C129" s="31" t="b">
        <f>ISERROR(FIND("-",TR!B129))</f>
        <v>0</v>
      </c>
      <c r="D129" s="31">
        <f>SetIndent(E129,(TR!C129-1)*2)</f>
        <v>4</v>
      </c>
      <c r="E129" s="35" t="str">
        <f>IF(ISERROR(FIND("-",TR!B129)),TR!B129&amp;" "&amp;TR!D129,TR!D129)</f>
        <v>The product SHALL, in the Standard Download Screen, display the Download Channel Tune State (0,1,2) 0=no tune request, 1=tuned no lock, 2, tuned and locked.</v>
      </c>
      <c r="F129" s="31" t="str">
        <f>TR!E129</f>
        <v>Req</v>
      </c>
      <c r="G129" s="31" t="str">
        <f>IF(ISERROR(FIND("Adara",TR!F129)),"","Adara ")</f>
        <v xml:space="preserve">Adara </v>
      </c>
      <c r="H129" s="31" t="str">
        <f>IF(ISERROR(FIND("Copernicus",TR!F129)),"","Copernicus ")</f>
        <v xml:space="preserve">Copernicus </v>
      </c>
      <c r="I129" s="31" t="str">
        <f>IF(ISERROR(FIND("Deneb",TR!F129)),"","Deneb ")</f>
        <v xml:space="preserve">Deneb </v>
      </c>
      <c r="J129" s="37" t="str">
        <f t="shared" si="1"/>
        <v xml:space="preserve">Adara Copernicus Deneb </v>
      </c>
      <c r="K129" s="31" t="str">
        <f>IF(ISBLANK(TR!G129),"",TR!G129)</f>
        <v/>
      </c>
      <c r="L129" s="31" t="str">
        <f>IF(ISBLANK(TR!H129),"",TR!H129)</f>
        <v>FR-DSRSW-1336</v>
      </c>
      <c r="M129" s="30" t="str">
        <f>TR!J129</f>
        <v>Approved</v>
      </c>
      <c r="N129" s="31" t="str">
        <f>IF(OR(M129="Modified",M129="Cosmetic"),VLOOKUP(B129,PrevPFS!B$1:E$833,4,FALSE),"")</f>
        <v/>
      </c>
    </row>
    <row r="130" spans="1:14" ht="45" x14ac:dyDescent="0.25">
      <c r="A130" s="31" t="str">
        <f>IF(ISNONTEXT(TR!K130),"",TR!K130)</f>
        <v>TR-0-DL-IUM-1698</v>
      </c>
      <c r="B130" s="32" t="str">
        <f>TR!A130</f>
        <v>TR-DSRSW-1433</v>
      </c>
      <c r="C130" s="31" t="b">
        <f>ISERROR(FIND("-",TR!B130))</f>
        <v>0</v>
      </c>
      <c r="D130" s="31">
        <f>SetIndent(E130,(TR!C130-1)*2)</f>
        <v>4</v>
      </c>
      <c r="E130" s="35" t="str">
        <f>IF(ISERROR(FIND("-",TR!B130)),TR!B130&amp;" "&amp;TR!D130,TR!D130)</f>
        <v>The product SHALL, in the Standard Download Screen, display the Last Section Number.</v>
      </c>
      <c r="F130" s="31" t="str">
        <f>TR!E130</f>
        <v>Req</v>
      </c>
      <c r="G130" s="31" t="str">
        <f>IF(ISERROR(FIND("Adara",TR!F130)),"","Adara ")</f>
        <v xml:space="preserve">Adara </v>
      </c>
      <c r="H130" s="31" t="str">
        <f>IF(ISERROR(FIND("Copernicus",TR!F130)),"","Copernicus ")</f>
        <v xml:space="preserve">Copernicus </v>
      </c>
      <c r="I130" s="31" t="str">
        <f>IF(ISERROR(FIND("Deneb",TR!F130)),"","Deneb ")</f>
        <v xml:space="preserve">Deneb </v>
      </c>
      <c r="J130" s="37" t="str">
        <f t="shared" si="1"/>
        <v xml:space="preserve">Adara Copernicus Deneb </v>
      </c>
      <c r="K130" s="31" t="str">
        <f>IF(ISBLANK(TR!G130),"",TR!G130)</f>
        <v/>
      </c>
      <c r="L130" s="31" t="str">
        <f>IF(ISBLANK(TR!H130),"",TR!H130)</f>
        <v>FR-DSRSW-1336</v>
      </c>
      <c r="M130" s="30" t="str">
        <f>TR!J130</f>
        <v>Approved</v>
      </c>
      <c r="N130" s="31" t="str">
        <f>IF(OR(M130="Modified",M130="Cosmetic"),VLOOKUP(B130,PrevPFS!B$1:E$833,4,FALSE),"")</f>
        <v/>
      </c>
    </row>
    <row r="131" spans="1:14" ht="45" x14ac:dyDescent="0.25">
      <c r="A131" s="31" t="str">
        <f>IF(ISNONTEXT(TR!K131),"",TR!K131)</f>
        <v>TR-0-DL-IUM-1699</v>
      </c>
      <c r="B131" s="32" t="str">
        <f>TR!A131</f>
        <v>TR-DSRSW-1434</v>
      </c>
      <c r="C131" s="31" t="b">
        <f>ISERROR(FIND("-",TR!B131))</f>
        <v>0</v>
      </c>
      <c r="D131" s="31">
        <f>SetIndent(E131,(TR!C131-1)*2)</f>
        <v>4</v>
      </c>
      <c r="E131" s="35" t="str">
        <f>IF(ISERROR(FIND("-",TR!B131)),TR!B131&amp;" "&amp;TR!D131,TR!D131)</f>
        <v>The product SHALL, in the Standard Download Screen, display the Remaining Section Count.</v>
      </c>
      <c r="F131" s="31" t="str">
        <f>TR!E131</f>
        <v>Req</v>
      </c>
      <c r="G131" s="31" t="str">
        <f>IF(ISERROR(FIND("Adara",TR!F131)),"","Adara ")</f>
        <v xml:space="preserve">Adara </v>
      </c>
      <c r="H131" s="31" t="str">
        <f>IF(ISERROR(FIND("Copernicus",TR!F131)),"","Copernicus ")</f>
        <v xml:space="preserve">Copernicus </v>
      </c>
      <c r="I131" s="31" t="str">
        <f>IF(ISERROR(FIND("Deneb",TR!F131)),"","Deneb ")</f>
        <v xml:space="preserve">Deneb </v>
      </c>
      <c r="J131" s="37" t="str">
        <f t="shared" ref="J131:J194" si="2">G131&amp;H131&amp;I131</f>
        <v xml:space="preserve">Adara Copernicus Deneb </v>
      </c>
      <c r="K131" s="31" t="str">
        <f>IF(ISBLANK(TR!G131),"",TR!G131)</f>
        <v/>
      </c>
      <c r="L131" s="31" t="str">
        <f>IF(ISBLANK(TR!H131),"",TR!H131)</f>
        <v>FR-DSRSW-1336</v>
      </c>
      <c r="M131" s="30" t="str">
        <f>TR!J131</f>
        <v>Approved</v>
      </c>
      <c r="N131" s="31" t="str">
        <f>IF(OR(M131="Modified",M131="Cosmetic"),VLOOKUP(B131,PrevPFS!B$1:E$833,4,FALSE),"")</f>
        <v/>
      </c>
    </row>
    <row r="132" spans="1:14" ht="45" x14ac:dyDescent="0.25">
      <c r="A132" s="31" t="str">
        <f>IF(ISNONTEXT(TR!K132),"",TR!K132)</f>
        <v>TR-0-DL-IUM-1700</v>
      </c>
      <c r="B132" s="32" t="str">
        <f>TR!A132</f>
        <v>TR-DSRSW-1435</v>
      </c>
      <c r="C132" s="31" t="b">
        <f>ISERROR(FIND("-",TR!B132))</f>
        <v>0</v>
      </c>
      <c r="D132" s="31">
        <f>SetIndent(E132,(TR!C132-1)*2)</f>
        <v>4</v>
      </c>
      <c r="E132" s="35" t="str">
        <f>IF(ISERROR(FIND("-",TR!B132)),TR!B132&amp;" "&amp;TR!D132,TR!D132)</f>
        <v>The product SHALL, in the Standard Download Screen, display the Current Section Number.</v>
      </c>
      <c r="F132" s="31" t="str">
        <f>TR!E132</f>
        <v>Req</v>
      </c>
      <c r="G132" s="31" t="str">
        <f>IF(ISERROR(FIND("Adara",TR!F132)),"","Adara ")</f>
        <v xml:space="preserve">Adara </v>
      </c>
      <c r="H132" s="31" t="str">
        <f>IF(ISERROR(FIND("Copernicus",TR!F132)),"","Copernicus ")</f>
        <v xml:space="preserve">Copernicus </v>
      </c>
      <c r="I132" s="31" t="str">
        <f>IF(ISERROR(FIND("Deneb",TR!F132)),"","Deneb ")</f>
        <v xml:space="preserve">Deneb </v>
      </c>
      <c r="J132" s="37" t="str">
        <f t="shared" si="2"/>
        <v xml:space="preserve">Adara Copernicus Deneb </v>
      </c>
      <c r="K132" s="31" t="str">
        <f>IF(ISBLANK(TR!G132),"",TR!G132)</f>
        <v/>
      </c>
      <c r="L132" s="31" t="str">
        <f>IF(ISBLANK(TR!H132),"",TR!H132)</f>
        <v>FR-DSRSW-1336</v>
      </c>
      <c r="M132" s="30" t="str">
        <f>TR!J132</f>
        <v>Approved</v>
      </c>
      <c r="N132" s="31" t="str">
        <f>IF(OR(M132="Modified",M132="Cosmetic"),VLOOKUP(B132,PrevPFS!B$1:E$833,4,FALSE),"")</f>
        <v/>
      </c>
    </row>
    <row r="133" spans="1:14" ht="45" x14ac:dyDescent="0.25">
      <c r="A133" s="31" t="str">
        <f>IF(ISNONTEXT(TR!K133),"",TR!K133)</f>
        <v/>
      </c>
      <c r="B133" s="32" t="str">
        <f>TR!A133</f>
        <v>TR-DSRSW-1436</v>
      </c>
      <c r="C133" s="31" t="b">
        <f>ISERROR(FIND("-",TR!B133))</f>
        <v>1</v>
      </c>
      <c r="D133" s="31">
        <f>SetIndent(E133,(TR!C133-1)*2)</f>
        <v>0</v>
      </c>
      <c r="E133" s="33" t="str">
        <f>IF(ISERROR(FIND("-",TR!B133)),TR!B133&amp;" "&amp;TR!D133,TR!D133)</f>
        <v>9 Boot</v>
      </c>
      <c r="F133" s="31" t="str">
        <f>TR!E133</f>
        <v>Hdr</v>
      </c>
      <c r="G133" s="31" t="str">
        <f>IF(ISERROR(FIND("Adara",TR!F133)),"","Adara ")</f>
        <v xml:space="preserve">Adara </v>
      </c>
      <c r="H133" s="31" t="str">
        <f>IF(ISERROR(FIND("Copernicus",TR!F133)),"","Copernicus ")</f>
        <v xml:space="preserve">Copernicus </v>
      </c>
      <c r="I133" s="31" t="str">
        <f>IF(ISERROR(FIND("Deneb",TR!F133)),"","Deneb ")</f>
        <v xml:space="preserve">Deneb </v>
      </c>
      <c r="J133" s="37" t="str">
        <f t="shared" si="2"/>
        <v xml:space="preserve">Adara Copernicus Deneb </v>
      </c>
      <c r="K133" s="31" t="str">
        <f>IF(ISBLANK(TR!G133),"",TR!G133)</f>
        <v/>
      </c>
      <c r="L133" s="31" t="str">
        <f>IF(ISBLANK(TR!H133),"",TR!H133)</f>
        <v>FR-DSRSW-1339</v>
      </c>
      <c r="M133" s="30" t="str">
        <f>TR!J133</f>
        <v>Approved</v>
      </c>
      <c r="N133" s="31" t="str">
        <f>IF(OR(M133="Modified",M133="Cosmetic"),VLOOKUP(B133,PrevPFS!B$1:E$833,4,FALSE),"")</f>
        <v/>
      </c>
    </row>
    <row r="134" spans="1:14" ht="45" x14ac:dyDescent="0.25">
      <c r="A134" s="31" t="str">
        <f>IF(ISNONTEXT(TR!K134),"",TR!K134)</f>
        <v/>
      </c>
      <c r="B134" s="32" t="str">
        <f>TR!A134</f>
        <v>TR-DSRSW-1437</v>
      </c>
      <c r="C134" s="31" t="b">
        <f>ISERROR(FIND("-",TR!B134))</f>
        <v>1</v>
      </c>
      <c r="D134" s="31">
        <f>SetIndent(E134,(TR!C134-1)*2)</f>
        <v>2</v>
      </c>
      <c r="E134" s="34" t="str">
        <f>IF(ISERROR(FIND("-",TR!B134)),TR!B134&amp;" "&amp;TR!D134,TR!D134)</f>
        <v>9.1 Boot Code</v>
      </c>
      <c r="F134" s="31" t="str">
        <f>TR!E134</f>
        <v>Hdr</v>
      </c>
      <c r="G134" s="31" t="str">
        <f>IF(ISERROR(FIND("Adara",TR!F134)),"","Adara ")</f>
        <v xml:space="preserve">Adara </v>
      </c>
      <c r="H134" s="31" t="str">
        <f>IF(ISERROR(FIND("Copernicus",TR!F134)),"","Copernicus ")</f>
        <v xml:space="preserve">Copernicus </v>
      </c>
      <c r="I134" s="31" t="str">
        <f>IF(ISERROR(FIND("Deneb",TR!F134)),"","Deneb ")</f>
        <v xml:space="preserve">Deneb </v>
      </c>
      <c r="J134" s="37" t="str">
        <f t="shared" si="2"/>
        <v xml:space="preserve">Adara Copernicus Deneb </v>
      </c>
      <c r="K134" s="31" t="str">
        <f>IF(ISBLANK(TR!G134),"",TR!G134)</f>
        <v/>
      </c>
      <c r="L134" s="31" t="str">
        <f>IF(ISBLANK(TR!H134),"",TR!H134)</f>
        <v>FR-DSRSW-1339</v>
      </c>
      <c r="M134" s="30" t="str">
        <f>TR!J134</f>
        <v>Approved</v>
      </c>
      <c r="N134" s="31" t="str">
        <f>IF(OR(M134="Modified",M134="Cosmetic"),VLOOKUP(B134,PrevPFS!B$1:E$833,4,FALSE),"")</f>
        <v/>
      </c>
    </row>
    <row r="135" spans="1:14" ht="45" x14ac:dyDescent="0.25">
      <c r="A135" s="31" t="str">
        <f>IF(ISNONTEXT(TR!K135),"",TR!K135)</f>
        <v>FR-BOOT-1035</v>
      </c>
      <c r="B135" s="32" t="str">
        <f>TR!A135</f>
        <v>TR-DSRSW-1438</v>
      </c>
      <c r="C135" s="31" t="b">
        <f>ISERROR(FIND("-",TR!B135))</f>
        <v>0</v>
      </c>
      <c r="D135" s="31">
        <f>SetIndent(E135,(TR!C135-1)*2)</f>
        <v>4</v>
      </c>
      <c r="E135" s="35" t="str">
        <f>IF(ISERROR(FIND("-",TR!B135)),TR!B135&amp;" "&amp;TR!D135,TR!D135)</f>
        <v>The product SHALL provide boot code capable of authenticating a platform software image.</v>
      </c>
      <c r="F135" s="31" t="str">
        <f>TR!E135</f>
        <v>Req</v>
      </c>
      <c r="G135" s="31" t="str">
        <f>IF(ISERROR(FIND("Adara",TR!F135)),"","Adara ")</f>
        <v xml:space="preserve">Adara </v>
      </c>
      <c r="H135" s="31" t="str">
        <f>IF(ISERROR(FIND("Copernicus",TR!F135)),"","Copernicus ")</f>
        <v xml:space="preserve">Copernicus </v>
      </c>
      <c r="I135" s="31" t="str">
        <f>IF(ISERROR(FIND("Deneb",TR!F135)),"","Deneb ")</f>
        <v xml:space="preserve">Deneb </v>
      </c>
      <c r="J135" s="37" t="str">
        <f t="shared" si="2"/>
        <v xml:space="preserve">Adara Copernicus Deneb </v>
      </c>
      <c r="K135" s="31" t="str">
        <f>IF(ISBLANK(TR!G135),"",TR!G135)</f>
        <v/>
      </c>
      <c r="L135" s="31" t="str">
        <f>IF(ISBLANK(TR!H135),"",TR!H135)</f>
        <v>FR-DSRSW-1339</v>
      </c>
      <c r="M135" s="30" t="str">
        <f>TR!J135</f>
        <v>Approved</v>
      </c>
      <c r="N135" s="31" t="str">
        <f>IF(OR(M135="Modified",M135="Cosmetic"),VLOOKUP(B135,PrevPFS!B$1:E$833,4,FALSE),"")</f>
        <v/>
      </c>
    </row>
    <row r="136" spans="1:14" ht="45" x14ac:dyDescent="0.25">
      <c r="A136" s="31" t="str">
        <f>IF(ISNONTEXT(TR!K136),"",TR!K136)</f>
        <v>TR-0-ROMLESS-1021</v>
      </c>
      <c r="B136" s="32" t="str">
        <f>TR!A136</f>
        <v>TR-DSRSW-1439</v>
      </c>
      <c r="C136" s="31" t="b">
        <f>ISERROR(FIND("-",TR!B136))</f>
        <v>0</v>
      </c>
      <c r="D136" s="31">
        <f>SetIndent(E136,(TR!C136-1)*2)</f>
        <v>4</v>
      </c>
      <c r="E136" s="35" t="str">
        <f>IF(ISERROR(FIND("-",TR!B136)),TR!B136&amp;" "&amp;TR!D136,TR!D136)</f>
        <v>The product SHALL authenticate a Platform Object prior to enabling it at the completion of a download.</v>
      </c>
      <c r="F136" s="31" t="str">
        <f>TR!E136</f>
        <v>Req</v>
      </c>
      <c r="G136" s="31" t="str">
        <f>IF(ISERROR(FIND("Adara",TR!F136)),"","Adara ")</f>
        <v xml:space="preserve">Adara </v>
      </c>
      <c r="H136" s="31" t="str">
        <f>IF(ISERROR(FIND("Copernicus",TR!F136)),"","Copernicus ")</f>
        <v xml:space="preserve">Copernicus </v>
      </c>
      <c r="I136" s="31" t="str">
        <f>IF(ISERROR(FIND("Deneb",TR!F136)),"","Deneb ")</f>
        <v xml:space="preserve">Deneb </v>
      </c>
      <c r="J136" s="37" t="str">
        <f t="shared" si="2"/>
        <v xml:space="preserve">Adara Copernicus Deneb </v>
      </c>
      <c r="K136" s="31" t="str">
        <f>IF(ISBLANK(TR!G136),"",TR!G136)</f>
        <v/>
      </c>
      <c r="L136" s="31" t="str">
        <f>IF(ISBLANK(TR!H136),"",TR!H136)</f>
        <v>FR-DSRSW-1339</v>
      </c>
      <c r="M136" s="30" t="str">
        <f>TR!J136</f>
        <v>Approved</v>
      </c>
      <c r="N136" s="31" t="str">
        <f>IF(OR(M136="Modified",M136="Cosmetic"),VLOOKUP(B136,PrevPFS!B$1:E$833,4,FALSE),"")</f>
        <v/>
      </c>
    </row>
    <row r="137" spans="1:14" ht="45" x14ac:dyDescent="0.25">
      <c r="A137" s="31" t="str">
        <f>IF(ISNONTEXT(TR!K137),"",TR!K137)</f>
        <v/>
      </c>
      <c r="B137" s="32" t="str">
        <f>TR!A137</f>
        <v>TR-DSRSW-1440</v>
      </c>
      <c r="C137" s="31" t="b">
        <f>ISERROR(FIND("-",TR!B137))</f>
        <v>0</v>
      </c>
      <c r="D137" s="31">
        <f>SetIndent(E137,(TR!C137-1)*2)</f>
        <v>4</v>
      </c>
      <c r="E137" s="35" t="str">
        <f>IF(ISERROR(FIND("-",TR!B137)),TR!B137&amp;" "&amp;TR!D137,TR!D137)</f>
        <v>Note:  The use of the term "authenticate" is intended to refer to any method of verification of the correct object.</v>
      </c>
      <c r="F137" s="31" t="str">
        <f>TR!E137</f>
        <v>Com</v>
      </c>
      <c r="G137" s="31" t="str">
        <f>IF(ISERROR(FIND("Adara",TR!F137)),"","Adara ")</f>
        <v xml:space="preserve">Adara </v>
      </c>
      <c r="H137" s="31" t="str">
        <f>IF(ISERROR(FIND("Copernicus",TR!F137)),"","Copernicus ")</f>
        <v xml:space="preserve">Copernicus </v>
      </c>
      <c r="I137" s="31" t="str">
        <f>IF(ISERROR(FIND("Deneb",TR!F137)),"","Deneb ")</f>
        <v xml:space="preserve">Deneb </v>
      </c>
      <c r="J137" s="37" t="str">
        <f t="shared" si="2"/>
        <v xml:space="preserve">Adara Copernicus Deneb </v>
      </c>
      <c r="K137" s="31" t="str">
        <f>IF(ISBLANK(TR!G137),"",TR!G137)</f>
        <v/>
      </c>
      <c r="L137" s="31" t="str">
        <f>IF(ISBLANK(TR!H137),"",TR!H137)</f>
        <v>FR-DSRSW-1339</v>
      </c>
      <c r="M137" s="30" t="str">
        <f>TR!J137</f>
        <v>Approved</v>
      </c>
      <c r="N137" s="31" t="str">
        <f>IF(OR(M137="Modified",M137="Cosmetic"),VLOOKUP(B137,PrevPFS!B$1:E$833,4,FALSE),"")</f>
        <v/>
      </c>
    </row>
    <row r="138" spans="1:14" ht="45" x14ac:dyDescent="0.25">
      <c r="A138" s="31" t="str">
        <f>IF(ISNONTEXT(TR!K138),"",TR!K138)</f>
        <v/>
      </c>
      <c r="B138" s="32" t="str">
        <f>TR!A138</f>
        <v>TR-DSRSW-1441</v>
      </c>
      <c r="C138" s="31" t="b">
        <f>ISERROR(FIND("-",TR!B138))</f>
        <v>1</v>
      </c>
      <c r="D138" s="31">
        <f>SetIndent(E138,(TR!C138-1)*2)</f>
        <v>2</v>
      </c>
      <c r="E138" s="34" t="str">
        <f>IF(ISERROR(FIND("-",TR!B138)),TR!B138&amp;" "&amp;TR!D138,TR!D138)</f>
        <v>9.2 Boot from FLASH</v>
      </c>
      <c r="F138" s="31" t="str">
        <f>TR!E138</f>
        <v>Hdr</v>
      </c>
      <c r="G138" s="31" t="str">
        <f>IF(ISERROR(FIND("Adara",TR!F138)),"","Adara ")</f>
        <v xml:space="preserve">Adara </v>
      </c>
      <c r="H138" s="31" t="str">
        <f>IF(ISERROR(FIND("Copernicus",TR!F138)),"","Copernicus ")</f>
        <v xml:space="preserve">Copernicus </v>
      </c>
      <c r="I138" s="31" t="str">
        <f>IF(ISERROR(FIND("Deneb",TR!F138)),"","Deneb ")</f>
        <v xml:space="preserve">Deneb </v>
      </c>
      <c r="J138" s="37" t="str">
        <f t="shared" si="2"/>
        <v xml:space="preserve">Adara Copernicus Deneb </v>
      </c>
      <c r="K138" s="31" t="str">
        <f>IF(ISBLANK(TR!G138),"",TR!G138)</f>
        <v/>
      </c>
      <c r="L138" s="31" t="str">
        <f>IF(ISBLANK(TR!H138),"",TR!H138)</f>
        <v>FR-DSRSW-1339</v>
      </c>
      <c r="M138" s="30" t="str">
        <f>TR!J138</f>
        <v>Approved</v>
      </c>
      <c r="N138" s="31" t="str">
        <f>IF(OR(M138="Modified",M138="Cosmetic"),VLOOKUP(B138,PrevPFS!B$1:E$833,4,FALSE),"")</f>
        <v/>
      </c>
    </row>
    <row r="139" spans="1:14" ht="45" x14ac:dyDescent="0.25">
      <c r="A139" s="31" t="str">
        <f>IF(ISNONTEXT(TR!K139),"",TR!K139)</f>
        <v>TR-PLATOS-1029</v>
      </c>
      <c r="B139" s="32" t="str">
        <f>TR!A139</f>
        <v>TR-DSRSW-1443</v>
      </c>
      <c r="C139" s="31" t="b">
        <f>ISERROR(FIND("-",TR!B139))</f>
        <v>0</v>
      </c>
      <c r="D139" s="31">
        <f>SetIndent(E139,(TR!C139-1)*2)</f>
        <v>4</v>
      </c>
      <c r="E139" s="35" t="str">
        <f>IF(ISERROR(FIND("-",TR!B139)),TR!B139&amp;" "&amp;TR!D139,TR!D139)</f>
        <v>The product SHALL be capable of booting from FLASH memory after an AC power cycle or reset.</v>
      </c>
      <c r="F139" s="31" t="str">
        <f>TR!E139</f>
        <v>Req</v>
      </c>
      <c r="G139" s="31" t="str">
        <f>IF(ISERROR(FIND("Adara",TR!F139)),"","Adara ")</f>
        <v xml:space="preserve">Adara </v>
      </c>
      <c r="H139" s="31" t="str">
        <f>IF(ISERROR(FIND("Copernicus",TR!F139)),"","Copernicus ")</f>
        <v xml:space="preserve">Copernicus </v>
      </c>
      <c r="I139" s="31" t="str">
        <f>IF(ISERROR(FIND("Deneb",TR!F139)),"","Deneb ")</f>
        <v xml:space="preserve">Deneb </v>
      </c>
      <c r="J139" s="37" t="str">
        <f t="shared" si="2"/>
        <v xml:space="preserve">Adara Copernicus Deneb </v>
      </c>
      <c r="K139" s="31" t="str">
        <f>IF(ISBLANK(TR!G139),"",TR!G139)</f>
        <v/>
      </c>
      <c r="L139" s="31" t="str">
        <f>IF(ISBLANK(TR!H139),"",TR!H139)</f>
        <v>FR-DSRSW-1341</v>
      </c>
      <c r="M139" s="30" t="str">
        <f>TR!J139</f>
        <v>Approved</v>
      </c>
      <c r="N139" s="31" t="str">
        <f>IF(OR(M139="Modified",M139="Cosmetic"),VLOOKUP(B139,PrevPFS!B$1:E$833,4,FALSE),"")</f>
        <v/>
      </c>
    </row>
    <row r="140" spans="1:14" ht="45" x14ac:dyDescent="0.25">
      <c r="A140" s="31" t="str">
        <f>IF(ISNONTEXT(TR!K140),"",TR!K140)</f>
        <v>FR-BOOT-1060</v>
      </c>
      <c r="B140" s="32" t="str">
        <f>TR!A140</f>
        <v>TR-DSRSW-1444</v>
      </c>
      <c r="C140" s="31" t="b">
        <f>ISERROR(FIND("-",TR!B140))</f>
        <v>1</v>
      </c>
      <c r="D140" s="31">
        <f>SetIndent(E140,(TR!C140-1)*2)</f>
        <v>2</v>
      </c>
      <c r="E140" s="34" t="str">
        <f>IF(ISERROR(FIND("-",TR!B140)),TR!B140&amp;" "&amp;TR!D140,TR!D140)</f>
        <v>9.3 Remote Control Reset Sequence</v>
      </c>
      <c r="F140" s="31" t="str">
        <f>TR!E140</f>
        <v>Hdr</v>
      </c>
      <c r="G140" s="31" t="str">
        <f>IF(ISERROR(FIND("Adara",TR!F140)),"","Adara ")</f>
        <v xml:space="preserve">Adara </v>
      </c>
      <c r="H140" s="31" t="str">
        <f>IF(ISERROR(FIND("Copernicus",TR!F140)),"","Copernicus ")</f>
        <v xml:space="preserve">Copernicus </v>
      </c>
      <c r="I140" s="31" t="str">
        <f>IF(ISERROR(FIND("Deneb",TR!F140)),"","Deneb ")</f>
        <v xml:space="preserve">Deneb </v>
      </c>
      <c r="J140" s="37" t="str">
        <f t="shared" si="2"/>
        <v xml:space="preserve">Adara Copernicus Deneb </v>
      </c>
      <c r="K140" s="31" t="str">
        <f>IF(ISBLANK(TR!G140),"",TR!G140)</f>
        <v/>
      </c>
      <c r="L140" s="31" t="str">
        <f>IF(ISBLANK(TR!H140),"",TR!H140)</f>
        <v>FR-DSRSW-1339</v>
      </c>
      <c r="M140" s="30" t="str">
        <f>TR!J140</f>
        <v>Approved</v>
      </c>
      <c r="N140" s="31" t="str">
        <f>IF(OR(M140="Modified",M140="Cosmetic"),VLOOKUP(B140,PrevPFS!B$1:E$833,4,FALSE),"")</f>
        <v/>
      </c>
    </row>
    <row r="141" spans="1:14" ht="45" x14ac:dyDescent="0.25">
      <c r="A141" s="31" t="str">
        <f>IF(ISNONTEXT(TR!K141),"",TR!K141)</f>
        <v>TR-PLATOS-1073</v>
      </c>
      <c r="B141" s="32" t="str">
        <f>TR!A141</f>
        <v>TR-DSRSW-1445</v>
      </c>
      <c r="C141" s="31" t="b">
        <f>ISERROR(FIND("-",TR!B141))</f>
        <v>0</v>
      </c>
      <c r="D141" s="31">
        <f>SetIndent(E141,(TR!C141-1)*2)</f>
        <v>4</v>
      </c>
      <c r="E141" s="35" t="str">
        <f>IF(ISERROR(FIND("-",TR!B141)),TR!B141&amp;" "&amp;TR!D141,TR!D141)</f>
        <v>The product SHALL invoke a system reset if the remote control button sequence, "HELP, OPTIONS, POWER," is received with less than 1 second between each button press, provided that the firmware is functioning properly (that is, not unresponsive or otherwise disabled).</v>
      </c>
      <c r="F141" s="31" t="str">
        <f>TR!E141</f>
        <v>Req</v>
      </c>
      <c r="G141" s="31" t="str">
        <f>IF(ISERROR(FIND("Adara",TR!F141)),"","Adara ")</f>
        <v xml:space="preserve">Adara </v>
      </c>
      <c r="H141" s="31" t="str">
        <f>IF(ISERROR(FIND("Copernicus",TR!F141)),"","Copernicus ")</f>
        <v xml:space="preserve">Copernicus </v>
      </c>
      <c r="I141" s="31" t="str">
        <f>IF(ISERROR(FIND("Deneb",TR!F141)),"","Deneb ")</f>
        <v xml:space="preserve">Deneb </v>
      </c>
      <c r="J141" s="37" t="str">
        <f t="shared" si="2"/>
        <v xml:space="preserve">Adara Copernicus Deneb </v>
      </c>
      <c r="K141" s="31" t="str">
        <f>IF(ISBLANK(TR!G141),"",TR!G141)</f>
        <v/>
      </c>
      <c r="L141" s="31" t="str">
        <f>IF(ISBLANK(TR!H141),"",TR!H141)</f>
        <v>FR-DSRSW-1342</v>
      </c>
      <c r="M141" s="30" t="str">
        <f>TR!J141</f>
        <v>Approved</v>
      </c>
      <c r="N141" s="31" t="str">
        <f>IF(OR(M141="Modified",M141="Cosmetic"),VLOOKUP(B141,PrevPFS!B$1:E$833,4,FALSE),"")</f>
        <v/>
      </c>
    </row>
    <row r="142" spans="1:14" ht="45" x14ac:dyDescent="0.25">
      <c r="A142" s="31" t="str">
        <f>IF(ISNONTEXT(TR!K142),"",TR!K142)</f>
        <v>FR-BOOT-1025</v>
      </c>
      <c r="B142" s="32" t="str">
        <f>TR!A142</f>
        <v>TR-DSRSW-1446</v>
      </c>
      <c r="C142" s="31" t="b">
        <f>ISERROR(FIND("-",TR!B142))</f>
        <v>1</v>
      </c>
      <c r="D142" s="31">
        <f>SetIndent(E142,(TR!C142-1)*2)</f>
        <v>2</v>
      </c>
      <c r="E142" s="34" t="str">
        <f>IF(ISERROR(FIND("-",TR!B142)),TR!B142&amp;" "&amp;TR!D142,TR!D142)</f>
        <v>9.4 Maximum Boot Time</v>
      </c>
      <c r="F142" s="31" t="str">
        <f>TR!E142</f>
        <v>Hdr</v>
      </c>
      <c r="G142" s="31" t="str">
        <f>IF(ISERROR(FIND("Adara",TR!F142)),"","Adara ")</f>
        <v xml:space="preserve">Adara </v>
      </c>
      <c r="H142" s="31" t="str">
        <f>IF(ISERROR(FIND("Copernicus",TR!F142)),"","Copernicus ")</f>
        <v xml:space="preserve">Copernicus </v>
      </c>
      <c r="I142" s="31" t="str">
        <f>IF(ISERROR(FIND("Deneb",TR!F142)),"","Deneb ")</f>
        <v xml:space="preserve">Deneb </v>
      </c>
      <c r="J142" s="37" t="str">
        <f t="shared" si="2"/>
        <v xml:space="preserve">Adara Copernicus Deneb </v>
      </c>
      <c r="K142" s="31" t="str">
        <f>IF(ISBLANK(TR!G142),"",TR!G142)</f>
        <v/>
      </c>
      <c r="L142" s="31" t="str">
        <f>IF(ISBLANK(TR!H142),"",TR!H142)</f>
        <v>FR-DSRSW-1339</v>
      </c>
      <c r="M142" s="30" t="str">
        <f>TR!J142</f>
        <v>Approved</v>
      </c>
      <c r="N142" s="31" t="str">
        <f>IF(OR(M142="Modified",M142="Cosmetic"),VLOOKUP(B142,PrevPFS!B$1:E$833,4,FALSE),"")</f>
        <v/>
      </c>
    </row>
    <row r="143" spans="1:14" ht="60" x14ac:dyDescent="0.25">
      <c r="A143" s="31" t="str">
        <f>IF(ISNONTEXT(TR!K143),"",TR!K143)</f>
        <v>TR-PLATOS-1039</v>
      </c>
      <c r="B143" s="32" t="str">
        <f>TR!A143</f>
        <v>TR-DSRSW-1447</v>
      </c>
      <c r="C143" s="31" t="b">
        <f>ISERROR(FIND("-",TR!B143))</f>
        <v>0</v>
      </c>
      <c r="D143" s="31">
        <f>SetIndent(E143,(TR!C143-1)*2)</f>
        <v>4</v>
      </c>
      <c r="E143" s="35" t="str">
        <f>IF(ISERROR(FIND("-",TR!B143)),TR!B143&amp;" "&amp;TR!D143,TR!D143)</f>
        <v>The product SHALL complete execution of the boot code and authentication of the platform image within 15 seconds after an AC power cycle. [The requirement ends with beginning of platform software execution and only applies to a boot from FLASH, not a boot from the HDD or the network.]</v>
      </c>
      <c r="F143" s="31" t="str">
        <f>TR!E143</f>
        <v>Req</v>
      </c>
      <c r="G143" s="31" t="str">
        <f>IF(ISERROR(FIND("Adara",TR!F143)),"","Adara ")</f>
        <v xml:space="preserve">Adara </v>
      </c>
      <c r="H143" s="31" t="str">
        <f>IF(ISERROR(FIND("Copernicus",TR!F143)),"","Copernicus ")</f>
        <v xml:space="preserve">Copernicus </v>
      </c>
      <c r="I143" s="31" t="str">
        <f>IF(ISERROR(FIND("Deneb",TR!F143)),"","Deneb ")</f>
        <v xml:space="preserve">Deneb </v>
      </c>
      <c r="J143" s="37" t="str">
        <f t="shared" si="2"/>
        <v xml:space="preserve">Adara Copernicus Deneb </v>
      </c>
      <c r="K143" s="31" t="str">
        <f>IF(ISBLANK(TR!G143),"",TR!G143)</f>
        <v/>
      </c>
      <c r="L143" s="31" t="str">
        <f>IF(ISBLANK(TR!H143),"",TR!H143)</f>
        <v>FR-DSRSW-1343</v>
      </c>
      <c r="M143" s="30" t="str">
        <f>TR!J143</f>
        <v>Approved</v>
      </c>
      <c r="N143" s="31" t="str">
        <f>IF(OR(M143="Modified",M143="Cosmetic"),VLOOKUP(B143,PrevPFS!B$1:E$833,4,FALSE),"")</f>
        <v/>
      </c>
    </row>
    <row r="144" spans="1:14" ht="45" x14ac:dyDescent="0.25">
      <c r="A144" s="31" t="str">
        <f>IF(ISNONTEXT(TR!K144),"",TR!K144)</f>
        <v/>
      </c>
      <c r="B144" s="32" t="str">
        <f>TR!A144</f>
        <v>TR-DSRSW-2232</v>
      </c>
      <c r="C144" s="31" t="b">
        <f>ISERROR(FIND("-",TR!B144))</f>
        <v>1</v>
      </c>
      <c r="D144" s="31">
        <f>SetIndent(E144,(TR!C144-1)*2)</f>
        <v>2</v>
      </c>
      <c r="E144" s="34" t="str">
        <f>IF(ISERROR(FIND("-",TR!B144)),TR!B144&amp;" "&amp;TR!D144,TR!D144)</f>
        <v>9.5 Synchronized Startup</v>
      </c>
      <c r="F144" s="31" t="str">
        <f>TR!E144</f>
        <v>Hdr</v>
      </c>
      <c r="G144" s="31" t="str">
        <f>IF(ISERROR(FIND("Adara",TR!F144)),"","Adara ")</f>
        <v xml:space="preserve">Adara </v>
      </c>
      <c r="H144" s="31" t="str">
        <f>IF(ISERROR(FIND("Copernicus",TR!F144)),"","Copernicus ")</f>
        <v xml:space="preserve">Copernicus </v>
      </c>
      <c r="I144" s="31" t="str">
        <f>IF(ISERROR(FIND("Deneb",TR!F144)),"","Deneb ")</f>
        <v xml:space="preserve">Deneb </v>
      </c>
      <c r="J144" s="37" t="str">
        <f t="shared" si="2"/>
        <v xml:space="preserve">Adara Copernicus Deneb </v>
      </c>
      <c r="K144" s="31" t="str">
        <f>IF(ISBLANK(TR!G144),"",TR!G144)</f>
        <v/>
      </c>
      <c r="L144" s="31" t="str">
        <f>IF(ISBLANK(TR!H144),"",TR!H144)</f>
        <v>FR-DSRSW-1472</v>
      </c>
      <c r="M144" s="30" t="str">
        <f>TR!J144</f>
        <v>Approved</v>
      </c>
      <c r="N144" s="31" t="str">
        <f>IF(OR(M144="Modified",M144="Cosmetic"),VLOOKUP(B144,PrevPFS!B$1:E$833,4,FALSE),"")</f>
        <v/>
      </c>
    </row>
    <row r="145" spans="1:14" ht="45" x14ac:dyDescent="0.25">
      <c r="A145" s="31" t="str">
        <f>IF(ISNONTEXT(TR!K145),"",TR!K145)</f>
        <v/>
      </c>
      <c r="B145" s="32" t="str">
        <f>TR!A145</f>
        <v>TR-DSRSW-2233</v>
      </c>
      <c r="C145" s="31" t="b">
        <f>ISERROR(FIND("-",TR!B145))</f>
        <v>0</v>
      </c>
      <c r="D145" s="31">
        <f>SetIndent(E145,(TR!C145-1)*2)</f>
        <v>4</v>
      </c>
      <c r="E145" s="35" t="str">
        <f>IF(ISERROR(FIND("-",TR!B145)),TR!B145&amp;" "&amp;TR!D145,TR!D145)</f>
        <v>The product SHALL start the Shaw application when the plaform layer is ready for use.</v>
      </c>
      <c r="F145" s="31" t="str">
        <f>TR!E145</f>
        <v>Req</v>
      </c>
      <c r="G145" s="31" t="str">
        <f>IF(ISERROR(FIND("Adara",TR!F145)),"","Adara ")</f>
        <v xml:space="preserve">Adara </v>
      </c>
      <c r="H145" s="31" t="str">
        <f>IF(ISERROR(FIND("Copernicus",TR!F145)),"","Copernicus ")</f>
        <v xml:space="preserve">Copernicus </v>
      </c>
      <c r="I145" s="31" t="str">
        <f>IF(ISERROR(FIND("Deneb",TR!F145)),"","Deneb ")</f>
        <v xml:space="preserve">Deneb </v>
      </c>
      <c r="J145" s="37" t="str">
        <f t="shared" si="2"/>
        <v xml:space="preserve">Adara Copernicus Deneb </v>
      </c>
      <c r="K145" s="31" t="str">
        <f>IF(ISBLANK(TR!G145),"",TR!G145)</f>
        <v/>
      </c>
      <c r="L145" s="31" t="str">
        <f>IF(ISBLANK(TR!H145),"",TR!H145)</f>
        <v>FR-DSRSW-1472</v>
      </c>
      <c r="M145" s="30" t="str">
        <f>TR!J145</f>
        <v>Approved</v>
      </c>
      <c r="N145" s="31" t="str">
        <f>IF(OR(M145="Modified",M145="Cosmetic"),VLOOKUP(B145,PrevPFS!B$1:E$833,4,FALSE),"")</f>
        <v/>
      </c>
    </row>
    <row r="146" spans="1:14" ht="45" x14ac:dyDescent="0.25">
      <c r="A146" s="31" t="str">
        <f>IF(ISNONTEXT(TR!K146),"",TR!K146)</f>
        <v/>
      </c>
      <c r="B146" s="32" t="str">
        <f>TR!A146</f>
        <v>TR-DSRSW-2234</v>
      </c>
      <c r="C146" s="31" t="b">
        <f>ISERROR(FIND("-",TR!B146))</f>
        <v>0</v>
      </c>
      <c r="D146" s="31">
        <f>SetIndent(E146,(TR!C146-1)*2)</f>
        <v>4</v>
      </c>
      <c r="E146" s="35" t="str">
        <f>IF(ISERROR(FIND("-",TR!B146)),TR!B146&amp;" "&amp;TR!D146,TR!D146)</f>
        <v>The product SHALL acheive a platform startup time that is less than the DSR6xx platform startup time.</v>
      </c>
      <c r="F146" s="31" t="str">
        <f>TR!E146</f>
        <v>Req</v>
      </c>
      <c r="G146" s="31" t="str">
        <f>IF(ISERROR(FIND("Adara",TR!F146)),"","Adara ")</f>
        <v xml:space="preserve">Adara </v>
      </c>
      <c r="H146" s="31" t="str">
        <f>IF(ISERROR(FIND("Copernicus",TR!F146)),"","Copernicus ")</f>
        <v xml:space="preserve">Copernicus </v>
      </c>
      <c r="I146" s="31" t="str">
        <f>IF(ISERROR(FIND("Deneb",TR!F146)),"","Deneb ")</f>
        <v xml:space="preserve">Deneb </v>
      </c>
      <c r="J146" s="37" t="str">
        <f t="shared" si="2"/>
        <v xml:space="preserve">Adara Copernicus Deneb </v>
      </c>
      <c r="K146" s="31" t="str">
        <f>IF(ISBLANK(TR!G146),"",TR!G146)</f>
        <v/>
      </c>
      <c r="L146" s="31" t="str">
        <f>IF(ISBLANK(TR!H146),"",TR!H146)</f>
        <v>FR-DSRSW-1472</v>
      </c>
      <c r="M146" s="30" t="str">
        <f>TR!J146</f>
        <v>Approved</v>
      </c>
      <c r="N146" s="31" t="str">
        <f>IF(OR(M146="Modified",M146="Cosmetic"),VLOOKUP(B146,PrevPFS!B$1:E$833,4,FALSE),"")</f>
        <v/>
      </c>
    </row>
    <row r="147" spans="1:14" ht="45" x14ac:dyDescent="0.25">
      <c r="A147" s="31" t="str">
        <f>IF(ISNONTEXT(TR!K147),"",TR!K147)</f>
        <v/>
      </c>
      <c r="B147" s="32" t="str">
        <f>TR!A147</f>
        <v>TR-DSRSW-2379</v>
      </c>
      <c r="C147" s="31" t="b">
        <f>ISERROR(FIND("-",TR!B147))</f>
        <v>1</v>
      </c>
      <c r="D147" s="31">
        <f>SetIndent(E147,(TR!C147-1)*2)</f>
        <v>0</v>
      </c>
      <c r="E147" s="33" t="str">
        <f>IF(ISERROR(FIND("-",TR!B147)),TR!B147&amp;" "&amp;TR!D147,TR!D147)</f>
        <v>10 Remote Control Interface</v>
      </c>
      <c r="F147" s="31" t="str">
        <f>TR!E147</f>
        <v>Hdr</v>
      </c>
      <c r="G147" s="31" t="str">
        <f>IF(ISERROR(FIND("Adara",TR!F147)),"","Adara ")</f>
        <v xml:space="preserve">Adara </v>
      </c>
      <c r="H147" s="31" t="str">
        <f>IF(ISERROR(FIND("Copernicus",TR!F147)),"","Copernicus ")</f>
        <v xml:space="preserve">Copernicus </v>
      </c>
      <c r="I147" s="31" t="str">
        <f>IF(ISERROR(FIND("Deneb",TR!F147)),"","Deneb ")</f>
        <v xml:space="preserve">Deneb </v>
      </c>
      <c r="J147" s="37" t="str">
        <f t="shared" si="2"/>
        <v xml:space="preserve">Adara Copernicus Deneb </v>
      </c>
      <c r="K147" s="31" t="str">
        <f>IF(ISBLANK(TR!G147),"",TR!G147)</f>
        <v/>
      </c>
      <c r="L147" s="31" t="str">
        <f>IF(ISBLANK(TR!H147),"",TR!H147)</f>
        <v>FR-DSRSW-1525</v>
      </c>
      <c r="M147" s="30" t="str">
        <f>TR!J147</f>
        <v>Approved</v>
      </c>
      <c r="N147" s="31" t="str">
        <f>IF(OR(M147="Modified",M147="Cosmetic"),VLOOKUP(B147,PrevPFS!B$1:E$833,4,FALSE),"")</f>
        <v/>
      </c>
    </row>
    <row r="148" spans="1:14" ht="45" x14ac:dyDescent="0.25">
      <c r="A148" s="31" t="str">
        <f>IF(ISNONTEXT(TR!K148),"",TR!K148)</f>
        <v/>
      </c>
      <c r="B148" s="32" t="str">
        <f>TR!A148</f>
        <v>TR-DSRSW-2380</v>
      </c>
      <c r="C148" s="31" t="b">
        <f>ISERROR(FIND("-",TR!B148))</f>
        <v>0</v>
      </c>
      <c r="D148" s="31">
        <f>SetIndent(E148,(TR!C148-1)*2)</f>
        <v>2</v>
      </c>
      <c r="E148" s="34" t="str">
        <f>IF(ISERROR(FIND("-",TR!B148)),TR!B148&amp;" "&amp;TR!D148,TR!D148)</f>
        <v>The product SHALL provide an API to set the Remote Control Unit (RCU) IR interface address to a value from 0 to 7.</v>
      </c>
      <c r="F148" s="31" t="str">
        <f>TR!E148</f>
        <v>Req</v>
      </c>
      <c r="G148" s="31" t="str">
        <f>IF(ISERROR(FIND("Adara",TR!F148)),"","Adara ")</f>
        <v xml:space="preserve">Adara </v>
      </c>
      <c r="H148" s="31" t="str">
        <f>IF(ISERROR(FIND("Copernicus",TR!F148)),"","Copernicus ")</f>
        <v xml:space="preserve">Copernicus </v>
      </c>
      <c r="I148" s="31" t="str">
        <f>IF(ISERROR(FIND("Deneb",TR!F148)),"","Deneb ")</f>
        <v xml:space="preserve">Deneb </v>
      </c>
      <c r="J148" s="37" t="str">
        <f t="shared" si="2"/>
        <v xml:space="preserve">Adara Copernicus Deneb </v>
      </c>
      <c r="K148" s="31" t="str">
        <f>IF(ISBLANK(TR!G148),"",TR!G148)</f>
        <v/>
      </c>
      <c r="L148" s="31" t="str">
        <f>IF(ISBLANK(TR!H148),"",TR!H148)</f>
        <v>FR-DSRSW-1525</v>
      </c>
      <c r="M148" s="30" t="str">
        <f>TR!J148</f>
        <v>Approved</v>
      </c>
      <c r="N148" s="31" t="str">
        <f>IF(OR(M148="Modified",M148="Cosmetic"),VLOOKUP(B148,PrevPFS!B$1:E$833,4,FALSE),"")</f>
        <v/>
      </c>
    </row>
    <row r="149" spans="1:14" ht="45" x14ac:dyDescent="0.25">
      <c r="A149" s="31" t="str">
        <f>IF(ISNONTEXT(TR!K149),"",TR!K149)</f>
        <v/>
      </c>
      <c r="B149" s="32" t="str">
        <f>TR!A149</f>
        <v>TR-DSRSW-2381</v>
      </c>
      <c r="C149" s="31" t="b">
        <f>ISERROR(FIND("-",TR!B149))</f>
        <v>0</v>
      </c>
      <c r="D149" s="31">
        <f>SetIndent(E149,(TR!C149-1)*2)</f>
        <v>2</v>
      </c>
      <c r="E149" s="34" t="str">
        <f>IF(ISERROR(FIND("-",TR!B149)),TR!B149&amp;" "&amp;TR!D149,TR!D149)</f>
        <v>The product SHALL, if the platform suppports a Remote Control Unit (RCU) UHF interface, provide an API to set the RCU UHF interface Address to a value from 0 to 7.</v>
      </c>
      <c r="F149" s="31" t="str">
        <f>TR!E149</f>
        <v>Req</v>
      </c>
      <c r="G149" s="31" t="str">
        <f>IF(ISERROR(FIND("Adara",TR!F149)),"","Adara ")</f>
        <v xml:space="preserve">Adara </v>
      </c>
      <c r="H149" s="31" t="str">
        <f>IF(ISERROR(FIND("Copernicus",TR!F149)),"","Copernicus ")</f>
        <v xml:space="preserve">Copernicus </v>
      </c>
      <c r="I149" s="31" t="str">
        <f>IF(ISERROR(FIND("Deneb",TR!F149)),"","Deneb ")</f>
        <v xml:space="preserve">Deneb </v>
      </c>
      <c r="J149" s="37" t="str">
        <f t="shared" si="2"/>
        <v xml:space="preserve">Adara Copernicus Deneb </v>
      </c>
      <c r="K149" s="31" t="str">
        <f>IF(ISBLANK(TR!G149),"",TR!G149)</f>
        <v/>
      </c>
      <c r="L149" s="31" t="str">
        <f>IF(ISBLANK(TR!H149),"",TR!H149)</f>
        <v>FR-DSRSW-1526</v>
      </c>
      <c r="M149" s="30" t="str">
        <f>TR!J149</f>
        <v>Approved</v>
      </c>
      <c r="N149" s="31" t="str">
        <f>IF(OR(M149="Modified",M149="Cosmetic"),VLOOKUP(B149,PrevPFS!B$1:E$833,4,FALSE),"")</f>
        <v/>
      </c>
    </row>
    <row r="150" spans="1:14" ht="45" x14ac:dyDescent="0.25">
      <c r="A150" s="31" t="str">
        <f>IF(ISNONTEXT(TR!K150),"",TR!K150)</f>
        <v/>
      </c>
      <c r="B150" s="32" t="str">
        <f>TR!A150</f>
        <v>TR-DSRSW-2384</v>
      </c>
      <c r="C150" s="31" t="b">
        <f>ISERROR(FIND("-",TR!B150))</f>
        <v>0</v>
      </c>
      <c r="D150" s="31">
        <f>SetIndent(E150,(TR!C150-1)*2)</f>
        <v>2</v>
      </c>
      <c r="E150" s="34" t="str">
        <f>IF(ISERROR(FIND("-",TR!B150)),TR!B150&amp;" "&amp;TR!D150,TR!D150)</f>
        <v>The product SHALLL, if the platform supports a Remote Control Unit (RCU) UHF interface, provide an API to enable/disable the UHF Remote Control interface.</v>
      </c>
      <c r="F150" s="31" t="str">
        <f>TR!E150</f>
        <v>Req</v>
      </c>
      <c r="G150" s="31" t="str">
        <f>IF(ISERROR(FIND("Adara",TR!F150)),"","Adara ")</f>
        <v xml:space="preserve">Adara </v>
      </c>
      <c r="H150" s="31" t="str">
        <f>IF(ISERROR(FIND("Copernicus",TR!F150)),"","Copernicus ")</f>
        <v xml:space="preserve">Copernicus </v>
      </c>
      <c r="I150" s="31" t="str">
        <f>IF(ISERROR(FIND("Deneb",TR!F150)),"","Deneb ")</f>
        <v xml:space="preserve">Deneb </v>
      </c>
      <c r="J150" s="37" t="str">
        <f t="shared" si="2"/>
        <v xml:space="preserve">Adara Copernicus Deneb </v>
      </c>
      <c r="K150" s="31" t="str">
        <f>IF(ISBLANK(TR!G150),"",TR!G150)</f>
        <v/>
      </c>
      <c r="L150" s="31" t="str">
        <f>IF(ISBLANK(TR!H150),"",TR!H150)</f>
        <v>FR-DSRSW-1526</v>
      </c>
      <c r="M150" s="30" t="str">
        <f>TR!J150</f>
        <v>Approved</v>
      </c>
      <c r="N150" s="31" t="str">
        <f>IF(OR(M150="Modified",M150="Cosmetic"),VLOOKUP(B150,PrevPFS!B$1:E$833,4,FALSE),"")</f>
        <v/>
      </c>
    </row>
    <row r="151" spans="1:14" ht="45" x14ac:dyDescent="0.25">
      <c r="A151" s="31" t="str">
        <f>IF(ISNONTEXT(TR!K151),"",TR!K151)</f>
        <v/>
      </c>
      <c r="B151" s="32" t="str">
        <f>TR!A151</f>
        <v>TR-DSRSW-2397</v>
      </c>
      <c r="C151" s="31" t="b">
        <f>ISERROR(FIND("-",TR!B151))</f>
        <v>0</v>
      </c>
      <c r="D151" s="31">
        <f>SetIndent(E151,(TR!C151-1)*2)</f>
        <v>2</v>
      </c>
      <c r="E151" s="34" t="str">
        <f>IF(ISERROR(FIND("-",TR!B151)),TR!B151&amp;" "&amp;TR!D151,TR!D151)</f>
        <v>The product SHALL provide an API to allow the appliaction to receive RCU IR commands for the selected RCU IR interface address.</v>
      </c>
      <c r="F151" s="31" t="str">
        <f>TR!E151</f>
        <v>Req</v>
      </c>
      <c r="G151" s="31" t="str">
        <f>IF(ISERROR(FIND("Adara",TR!F151)),"","Adara ")</f>
        <v xml:space="preserve">Adara </v>
      </c>
      <c r="H151" s="31" t="str">
        <f>IF(ISERROR(FIND("Copernicus",TR!F151)),"","Copernicus ")</f>
        <v xml:space="preserve">Copernicus </v>
      </c>
      <c r="I151" s="31" t="str">
        <f>IF(ISERROR(FIND("Deneb",TR!F151)),"","Deneb ")</f>
        <v xml:space="preserve">Deneb </v>
      </c>
      <c r="J151" s="37" t="str">
        <f t="shared" si="2"/>
        <v xml:space="preserve">Adara Copernicus Deneb </v>
      </c>
      <c r="K151" s="31" t="str">
        <f>IF(ISBLANK(TR!G151),"",TR!G151)</f>
        <v/>
      </c>
      <c r="L151" s="31" t="str">
        <f>IF(ISBLANK(TR!H151),"",TR!H151)</f>
        <v>FR-DSRSW-1525</v>
      </c>
      <c r="M151" s="30" t="str">
        <f>TR!J151</f>
        <v>Approved</v>
      </c>
      <c r="N151" s="31" t="str">
        <f>IF(OR(M151="Modified",M151="Cosmetic"),VLOOKUP(B151,PrevPFS!B$1:E$833,4,FALSE),"")</f>
        <v/>
      </c>
    </row>
    <row r="152" spans="1:14" ht="45" x14ac:dyDescent="0.25">
      <c r="A152" s="31" t="str">
        <f>IF(ISNONTEXT(TR!K152),"",TR!K152)</f>
        <v/>
      </c>
      <c r="B152" s="32" t="str">
        <f>TR!A152</f>
        <v>TR-DSRSW-2398</v>
      </c>
      <c r="C152" s="31" t="b">
        <f>ISERROR(FIND("-",TR!B152))</f>
        <v>0</v>
      </c>
      <c r="D152" s="31">
        <f>SetIndent(E152,(TR!C152-1)*2)</f>
        <v>2</v>
      </c>
      <c r="E152" s="34" t="str">
        <f>IF(ISERROR(FIND("-",TR!B152)),TR!B152&amp;" "&amp;TR!D152,TR!D152)</f>
        <v>The product SHALL provide an API to allow the appliaction to receive RCU UHF commands for the selected RCU UHF interface address.</v>
      </c>
      <c r="F152" s="31" t="str">
        <f>TR!E152</f>
        <v>Req</v>
      </c>
      <c r="G152" s="31" t="str">
        <f>IF(ISERROR(FIND("Adara",TR!F152)),"","Adara ")</f>
        <v xml:space="preserve">Adara </v>
      </c>
      <c r="H152" s="31" t="str">
        <f>IF(ISERROR(FIND("Copernicus",TR!F152)),"","Copernicus ")</f>
        <v xml:space="preserve">Copernicus </v>
      </c>
      <c r="I152" s="31" t="str">
        <f>IF(ISERROR(FIND("Deneb",TR!F152)),"","Deneb ")</f>
        <v xml:space="preserve">Deneb </v>
      </c>
      <c r="J152" s="37" t="str">
        <f t="shared" si="2"/>
        <v xml:space="preserve">Adara Copernicus Deneb </v>
      </c>
      <c r="K152" s="31" t="str">
        <f>IF(ISBLANK(TR!G152),"",TR!G152)</f>
        <v/>
      </c>
      <c r="L152" s="31" t="str">
        <f>IF(ISBLANK(TR!H152),"",TR!H152)</f>
        <v>FR-DSRSW-1526</v>
      </c>
      <c r="M152" s="30" t="str">
        <f>TR!J152</f>
        <v>Approved</v>
      </c>
      <c r="N152" s="31" t="str">
        <f>IF(OR(M152="Modified",M152="Cosmetic"),VLOOKUP(B152,PrevPFS!B$1:E$833,4,FALSE),"")</f>
        <v/>
      </c>
    </row>
    <row r="153" spans="1:14" ht="45" x14ac:dyDescent="0.25">
      <c r="A153" s="31" t="str">
        <f>IF(ISNONTEXT(TR!K153),"",TR!K153)</f>
        <v>TR-BUTTON-1073</v>
      </c>
      <c r="B153" s="32" t="str">
        <f>TR!A153</f>
        <v>TR-DSRSW-1684</v>
      </c>
      <c r="C153" s="31" t="b">
        <f>ISERROR(FIND("-",TR!B153))</f>
        <v>0</v>
      </c>
      <c r="D153" s="31">
        <f>SetIndent(E153,(TR!C153-1)*2)</f>
        <v>2</v>
      </c>
      <c r="E153" s="34" t="str">
        <f>IF(ISERROR(FIND("-",TR!B153)),TR!B153&amp;" "&amp;TR!D153,TR!D153)</f>
        <v>The product SHALL invoke a hardware reset if the user presses the remote control 3-key reset sequence (HELP-OPTIONS-POWER) within the time period of one second.</v>
      </c>
      <c r="F153" s="31" t="str">
        <f>TR!E153</f>
        <v>Req</v>
      </c>
      <c r="G153" s="31" t="str">
        <f>IF(ISERROR(FIND("Adara",TR!F153)),"","Adara ")</f>
        <v xml:space="preserve">Adara </v>
      </c>
      <c r="H153" s="31" t="str">
        <f>IF(ISERROR(FIND("Copernicus",TR!F153)),"","Copernicus ")</f>
        <v xml:space="preserve">Copernicus </v>
      </c>
      <c r="I153" s="31" t="str">
        <f>IF(ISERROR(FIND("Deneb",TR!F153)),"","Deneb ")</f>
        <v xml:space="preserve">Deneb </v>
      </c>
      <c r="J153" s="37" t="str">
        <f t="shared" si="2"/>
        <v xml:space="preserve">Adara Copernicus Deneb </v>
      </c>
      <c r="K153" s="31" t="str">
        <f>IF(ISBLANK(TR!G153),"",TR!G153)</f>
        <v/>
      </c>
      <c r="L153" s="31" t="str">
        <f>IF(ISBLANK(TR!H153),"",TR!H153)</f>
        <v>FR-DSRSW-1387</v>
      </c>
      <c r="M153" s="30" t="str">
        <f>TR!J153</f>
        <v>Approved</v>
      </c>
      <c r="N153" s="31" t="str">
        <f>IF(OR(M153="Modified",M153="Cosmetic"),VLOOKUP(B153,PrevPFS!B$1:E$833,4,FALSE),"")</f>
        <v/>
      </c>
    </row>
    <row r="154" spans="1:14" ht="45" x14ac:dyDescent="0.25">
      <c r="A154" s="31" t="str">
        <f>IF(ISNONTEXT(TR!K154),"",TR!K154)</f>
        <v/>
      </c>
      <c r="B154" s="32" t="str">
        <f>TR!A154</f>
        <v>TR-DSRSW-1451</v>
      </c>
      <c r="C154" s="31" t="b">
        <f>ISERROR(FIND("-",TR!B154))</f>
        <v>1</v>
      </c>
      <c r="D154" s="31">
        <f>SetIndent(E154,(TR!C154-1)*2)</f>
        <v>0</v>
      </c>
      <c r="E154" s="33" t="str">
        <f>IF(ISERROR(FIND("-",TR!B154)),TR!B154&amp;" "&amp;TR!D154,TR!D154)</f>
        <v>11 System Security and Robustness</v>
      </c>
      <c r="F154" s="31" t="str">
        <f>TR!E154</f>
        <v>Hdr</v>
      </c>
      <c r="G154" s="31" t="str">
        <f>IF(ISERROR(FIND("Adara",TR!F154)),"","Adara ")</f>
        <v xml:space="preserve">Adara </v>
      </c>
      <c r="H154" s="31" t="str">
        <f>IF(ISERROR(FIND("Copernicus",TR!F154)),"","Copernicus ")</f>
        <v xml:space="preserve">Copernicus </v>
      </c>
      <c r="I154" s="31" t="str">
        <f>IF(ISERROR(FIND("Deneb",TR!F154)),"","Deneb ")</f>
        <v xml:space="preserve">Deneb </v>
      </c>
      <c r="J154" s="37" t="str">
        <f t="shared" si="2"/>
        <v xml:space="preserve">Adara Copernicus Deneb </v>
      </c>
      <c r="K154" s="31" t="str">
        <f>IF(ISBLANK(TR!G154),"",TR!G154)</f>
        <v/>
      </c>
      <c r="L154" s="31" t="str">
        <f>IF(ISBLANK(TR!H154),"",TR!H154)</f>
        <v>FR-DSRSW-1346</v>
      </c>
      <c r="M154" s="30" t="str">
        <f>TR!J154</f>
        <v>Approved</v>
      </c>
      <c r="N154" s="31" t="str">
        <f>IF(OR(M154="Modified",M154="Cosmetic"),VLOOKUP(B154,PrevPFS!B$1:E$833,4,FALSE),"")</f>
        <v/>
      </c>
    </row>
    <row r="155" spans="1:14" ht="45" x14ac:dyDescent="0.25">
      <c r="A155" s="31" t="str">
        <f>IF(ISNONTEXT(TR!K155),"",TR!K155)</f>
        <v/>
      </c>
      <c r="B155" s="32" t="str">
        <f>TR!A155</f>
        <v>TR-DSRSW-1518</v>
      </c>
      <c r="C155" s="31" t="b">
        <f>ISERROR(FIND("-",TR!B155))</f>
        <v>1</v>
      </c>
      <c r="D155" s="31">
        <f>SetIndent(E155,(TR!C155-1)*2)</f>
        <v>2</v>
      </c>
      <c r="E155" s="34" t="str">
        <f>IF(ISERROR(FIND("-",TR!B155)),TR!B155&amp;" "&amp;TR!D155,TR!D155)</f>
        <v>11.1 MediaCipher</v>
      </c>
      <c r="F155" s="31" t="str">
        <f>TR!E155</f>
        <v>Hdr</v>
      </c>
      <c r="G155" s="31" t="str">
        <f>IF(ISERROR(FIND("Adara",TR!F155)),"","Adara ")</f>
        <v xml:space="preserve">Adara </v>
      </c>
      <c r="H155" s="31" t="str">
        <f>IF(ISERROR(FIND("Copernicus",TR!F155)),"","Copernicus ")</f>
        <v xml:space="preserve">Copernicus </v>
      </c>
      <c r="I155" s="31" t="str">
        <f>IF(ISERROR(FIND("Deneb",TR!F155)),"","Deneb ")</f>
        <v xml:space="preserve">Deneb </v>
      </c>
      <c r="J155" s="37" t="str">
        <f t="shared" si="2"/>
        <v xml:space="preserve">Adara Copernicus Deneb </v>
      </c>
      <c r="K155" s="31" t="str">
        <f>IF(ISBLANK(TR!G155),"",TR!G155)</f>
        <v/>
      </c>
      <c r="L155" s="31" t="str">
        <f>IF(ISBLANK(TR!H155),"",TR!H155)</f>
        <v>FR-DSRSW-1352</v>
      </c>
      <c r="M155" s="30" t="str">
        <f>TR!J155</f>
        <v>Approved</v>
      </c>
      <c r="N155" s="31" t="str">
        <f>IF(OR(M155="Modified",M155="Cosmetic"),VLOOKUP(B155,PrevPFS!B$1:E$833,4,FALSE),"")</f>
        <v/>
      </c>
    </row>
    <row r="156" spans="1:14" ht="45" x14ac:dyDescent="0.25">
      <c r="A156" s="31" t="str">
        <f>IF(ISNONTEXT(TR!K156),"",TR!K156)</f>
        <v/>
      </c>
      <c r="B156" s="32" t="str">
        <f>TR!A156</f>
        <v>TR-DSRSW-2176</v>
      </c>
      <c r="C156" s="31" t="b">
        <f>ISERROR(FIND("-",TR!B156))</f>
        <v>1</v>
      </c>
      <c r="D156" s="31">
        <f>SetIndent(E156,(TR!C156-1)*2)</f>
        <v>4</v>
      </c>
      <c r="E156" s="35" t="str">
        <f>IF(ISERROR(FIND("-",TR!B156)),TR!B156&amp;" "&amp;TR!D156,TR!D156)</f>
        <v>11.1.1 MediaCipher General Requirements</v>
      </c>
      <c r="F156" s="31" t="str">
        <f>TR!E156</f>
        <v>Hdr</v>
      </c>
      <c r="G156" s="31" t="str">
        <f>IF(ISERROR(FIND("Adara",TR!F156)),"","Adara ")</f>
        <v xml:space="preserve">Adara </v>
      </c>
      <c r="H156" s="31" t="str">
        <f>IF(ISERROR(FIND("Copernicus",TR!F156)),"","Copernicus ")</f>
        <v xml:space="preserve">Copernicus </v>
      </c>
      <c r="I156" s="31" t="str">
        <f>IF(ISERROR(FIND("Deneb",TR!F156)),"","Deneb ")</f>
        <v xml:space="preserve">Deneb </v>
      </c>
      <c r="J156" s="37" t="str">
        <f t="shared" si="2"/>
        <v xml:space="preserve">Adara Copernicus Deneb </v>
      </c>
      <c r="K156" s="31" t="str">
        <f>IF(ISBLANK(TR!G156),"",TR!G156)</f>
        <v/>
      </c>
      <c r="L156" s="31" t="str">
        <f>IF(ISBLANK(TR!H156),"",TR!H156)</f>
        <v>FR-DSRSW-1352</v>
      </c>
      <c r="M156" s="30" t="str">
        <f>TR!J156</f>
        <v>Approved</v>
      </c>
      <c r="N156" s="31" t="str">
        <f>IF(OR(M156="Modified",M156="Cosmetic"),VLOOKUP(B156,PrevPFS!B$1:E$833,4,FALSE),"")</f>
        <v/>
      </c>
    </row>
    <row r="157" spans="1:14" ht="45" x14ac:dyDescent="0.25">
      <c r="A157" s="31" t="str">
        <f>IF(ISNONTEXT(TR!K157),"",TR!K157)</f>
        <v/>
      </c>
      <c r="B157" s="32" t="str">
        <f>TR!A157</f>
        <v>TR-DSRSW-1522</v>
      </c>
      <c r="C157" s="31" t="b">
        <f>ISERROR(FIND("-",TR!B157))</f>
        <v>0</v>
      </c>
      <c r="D157" s="31">
        <f>SetIndent(E157,(TR!C157-1)*2)</f>
        <v>6</v>
      </c>
      <c r="E157" s="38" t="str">
        <f>IF(ISERROR(FIND("-",TR!B157)),TR!B157&amp;" "&amp;TR!D157,TR!D157)</f>
        <v>The product SHALL encrypt the interface between the MediaCipher processor and the SoC.</v>
      </c>
      <c r="F157" s="31" t="str">
        <f>TR!E157</f>
        <v>Com</v>
      </c>
      <c r="G157" s="31" t="str">
        <f>IF(ISERROR(FIND("Adara",TR!F157)),"","Adara ")</f>
        <v xml:space="preserve">Adara </v>
      </c>
      <c r="H157" s="31" t="str">
        <f>IF(ISERROR(FIND("Copernicus",TR!F157)),"","Copernicus ")</f>
        <v xml:space="preserve">Copernicus </v>
      </c>
      <c r="I157" s="31" t="str">
        <f>IF(ISERROR(FIND("Deneb",TR!F157)),"","Deneb ")</f>
        <v xml:space="preserve">Deneb </v>
      </c>
      <c r="J157" s="37" t="str">
        <f t="shared" si="2"/>
        <v xml:space="preserve">Adara Copernicus Deneb </v>
      </c>
      <c r="K157" s="31" t="str">
        <f>IF(ISBLANK(TR!G157),"",TR!G157)</f>
        <v/>
      </c>
      <c r="L157" s="31" t="str">
        <f>IF(ISBLANK(TR!H157),"",TR!H157)</f>
        <v>FR-DSRSW-1352</v>
      </c>
      <c r="M157" s="30" t="str">
        <f>TR!J157</f>
        <v>Approved</v>
      </c>
      <c r="N157" s="31" t="str">
        <f>IF(OR(M157="Modified",M157="Cosmetic"),VLOOKUP(B157,PrevPFS!B$1:E$833,4,FALSE),"")</f>
        <v/>
      </c>
    </row>
    <row r="158" spans="1:14" ht="45" x14ac:dyDescent="0.25">
      <c r="A158" s="31" t="str">
        <f>IF(ISNONTEXT(TR!K158),"",TR!K158)</f>
        <v>FR-MCIPH-1007</v>
      </c>
      <c r="B158" s="32" t="str">
        <f>TR!A158</f>
        <v>TR-DSRSW-1519</v>
      </c>
      <c r="C158" s="31" t="b">
        <f>ISERROR(FIND("-",TR!B158))</f>
        <v>0</v>
      </c>
      <c r="D158" s="31">
        <f>SetIndent(E158,(TR!C158-1)*2)</f>
        <v>6</v>
      </c>
      <c r="E158" s="38" t="str">
        <f>IF(ISERROR(FIND("-",TR!B158)),TR!B158&amp;" "&amp;TR!D158,TR!D158)</f>
        <v>The product SHALL provide an embedded MediaCipher security element for Embedded CA factory option.</v>
      </c>
      <c r="F158" s="31" t="str">
        <f>TR!E158</f>
        <v>Req</v>
      </c>
      <c r="G158" s="31" t="str">
        <f>IF(ISERROR(FIND("Adara",TR!F158)),"","Adara ")</f>
        <v xml:space="preserve">Adara </v>
      </c>
      <c r="H158" s="31" t="str">
        <f>IF(ISERROR(FIND("Copernicus",TR!F158)),"","Copernicus ")</f>
        <v xml:space="preserve">Copernicus </v>
      </c>
      <c r="I158" s="31" t="str">
        <f>IF(ISERROR(FIND("Deneb",TR!F158)),"","Deneb ")</f>
        <v xml:space="preserve">Deneb </v>
      </c>
      <c r="J158" s="37" t="str">
        <f t="shared" si="2"/>
        <v xml:space="preserve">Adara Copernicus Deneb </v>
      </c>
      <c r="K158" s="31" t="str">
        <f>IF(ISBLANK(TR!G158),"",TR!G158)</f>
        <v/>
      </c>
      <c r="L158" s="31" t="str">
        <f>IF(ISBLANK(TR!H158),"",TR!H158)</f>
        <v>FR-DSRSW-1352</v>
      </c>
      <c r="M158" s="30" t="str">
        <f>TR!J158</f>
        <v>Approved</v>
      </c>
      <c r="N158" s="31" t="str">
        <f>IF(OR(M158="Modified",M158="Cosmetic"),VLOOKUP(B158,PrevPFS!B$1:E$833,4,FALSE),"")</f>
        <v/>
      </c>
    </row>
    <row r="159" spans="1:14" ht="45" x14ac:dyDescent="0.25">
      <c r="A159" s="31" t="str">
        <f>IF(ISNONTEXT(TR!K159),"",TR!K159)</f>
        <v>TR-0-MCIPHER-SES-1049</v>
      </c>
      <c r="B159" s="32" t="str">
        <f>TR!A159</f>
        <v>TR-DSRSW-1520</v>
      </c>
      <c r="C159" s="31" t="b">
        <f>ISERROR(FIND("-",TR!B159))</f>
        <v>0</v>
      </c>
      <c r="D159" s="31">
        <f>SetIndent(E159,(TR!C159-1)*2)</f>
        <v>6</v>
      </c>
      <c r="E159" s="38" t="str">
        <f>IF(ISERROR(FIND("-",TR!B159)),TR!B159&amp;" "&amp;TR!D159,TR!D159)</f>
        <v xml:space="preserve">The product SHALL receive a service if the product possesses any of the subscription tiers, for the current category, on which the service is offered. </v>
      </c>
      <c r="F159" s="31" t="str">
        <f>TR!E159</f>
        <v>Req</v>
      </c>
      <c r="G159" s="31" t="str">
        <f>IF(ISERROR(FIND("Adara",TR!F159)),"","Adara ")</f>
        <v xml:space="preserve">Adara </v>
      </c>
      <c r="H159" s="31" t="str">
        <f>IF(ISERROR(FIND("Copernicus",TR!F159)),"","Copernicus ")</f>
        <v xml:space="preserve">Copernicus </v>
      </c>
      <c r="I159" s="31" t="str">
        <f>IF(ISERROR(FIND("Deneb",TR!F159)),"","Deneb ")</f>
        <v xml:space="preserve">Deneb </v>
      </c>
      <c r="J159" s="37" t="str">
        <f t="shared" si="2"/>
        <v xml:space="preserve">Adara Copernicus Deneb </v>
      </c>
      <c r="K159" s="31" t="str">
        <f>IF(ISBLANK(TR!G159),"",TR!G159)</f>
        <v/>
      </c>
      <c r="L159" s="31" t="str">
        <f>IF(ISBLANK(TR!H159),"",TR!H159)</f>
        <v>FR-DSRSW-1352</v>
      </c>
      <c r="M159" s="30" t="str">
        <f>TR!J159</f>
        <v>Approved</v>
      </c>
      <c r="N159" s="31" t="str">
        <f>IF(OR(M159="Modified",M159="Cosmetic"),VLOOKUP(B159,PrevPFS!B$1:E$833,4,FALSE),"")</f>
        <v/>
      </c>
    </row>
    <row r="160" spans="1:14" ht="45" x14ac:dyDescent="0.25">
      <c r="A160" s="31" t="str">
        <f>IF(ISNONTEXT(TR!K160),"",TR!K160)</f>
        <v>TR-0-MCIPHER-SES-1049</v>
      </c>
      <c r="B160" s="32" t="str">
        <f>TR!A160</f>
        <v>TR-DSRSW-2467</v>
      </c>
      <c r="C160" s="31" t="b">
        <f>ISERROR(FIND("-",TR!B160))</f>
        <v>0</v>
      </c>
      <c r="D160" s="31">
        <f>SetIndent(E160,(TR!C160-1)*2)</f>
        <v>6</v>
      </c>
      <c r="E160" s="38" t="str">
        <f>IF(ISERROR(FIND("-",TR!B160)),TR!B160&amp;" "&amp;TR!D160,TR!D160)</f>
        <v>The product SHALL support storage of 2,048 MediaCipher permanent tiers numbered from 0 to 2,047.</v>
      </c>
      <c r="F160" s="31" t="str">
        <f>TR!E160</f>
        <v>Req</v>
      </c>
      <c r="G160" s="31" t="str">
        <f>IF(ISERROR(FIND("Adara",TR!F160)),"","Adara ")</f>
        <v xml:space="preserve">Adara </v>
      </c>
      <c r="H160" s="31" t="str">
        <f>IF(ISERROR(FIND("Copernicus",TR!F160)),"","Copernicus ")</f>
        <v xml:space="preserve">Copernicus </v>
      </c>
      <c r="I160" s="31" t="str">
        <f>IF(ISERROR(FIND("Deneb",TR!F160)),"","Deneb ")</f>
        <v xml:space="preserve">Deneb </v>
      </c>
      <c r="J160" s="37" t="str">
        <f t="shared" si="2"/>
        <v xml:space="preserve">Adara Copernicus Deneb </v>
      </c>
      <c r="K160" s="31" t="str">
        <f>IF(ISBLANK(TR!G160),"",TR!G160)</f>
        <v/>
      </c>
      <c r="L160" s="31" t="str">
        <f>IF(ISBLANK(TR!H160),"",TR!H160)</f>
        <v>FR-DSRSW-1352</v>
      </c>
      <c r="M160" s="30" t="str">
        <f>TR!J160</f>
        <v>Approved</v>
      </c>
      <c r="N160" s="31" t="str">
        <f>IF(OR(M160="Modified",M160="Cosmetic"),VLOOKUP(B160,PrevPFS!B$1:E$833,4,FALSE),"")</f>
        <v/>
      </c>
    </row>
    <row r="161" spans="1:14" ht="45" x14ac:dyDescent="0.25">
      <c r="A161" s="31" t="str">
        <f>IF(ISNONTEXT(TR!K161),"",TR!K161)</f>
        <v>TR-0-MCIPHER-SES-1049</v>
      </c>
      <c r="B161" s="32" t="str">
        <f>TR!A161</f>
        <v>TR-DSRSW-2468</v>
      </c>
      <c r="C161" s="31" t="b">
        <f>ISERROR(FIND("-",TR!B161))</f>
        <v>0</v>
      </c>
      <c r="D161" s="31">
        <f>SetIndent(E161,(TR!C161-1)*2)</f>
        <v>6</v>
      </c>
      <c r="E161" s="38" t="str">
        <f>IF(ISERROR(FIND("-",TR!B161)),TR!B161&amp;" "&amp;TR!D161,TR!D161)</f>
        <v xml:space="preserve">The product SHALL support storage of 32 MediaCipher temporary tiers, numbered from 65,536 to 16,777,215. </v>
      </c>
      <c r="F161" s="31" t="str">
        <f>TR!E161</f>
        <v>Req</v>
      </c>
      <c r="G161" s="31" t="str">
        <f>IF(ISERROR(FIND("Adara",TR!F161)),"","Adara ")</f>
        <v xml:space="preserve">Adara </v>
      </c>
      <c r="H161" s="31" t="str">
        <f>IF(ISERROR(FIND("Copernicus",TR!F161)),"","Copernicus ")</f>
        <v xml:space="preserve">Copernicus </v>
      </c>
      <c r="I161" s="31" t="str">
        <f>IF(ISERROR(FIND("Deneb",TR!F161)),"","Deneb ")</f>
        <v xml:space="preserve">Deneb </v>
      </c>
      <c r="J161" s="37" t="str">
        <f t="shared" si="2"/>
        <v xml:space="preserve">Adara Copernicus Deneb </v>
      </c>
      <c r="K161" s="31" t="str">
        <f>IF(ISBLANK(TR!G161),"",TR!G161)</f>
        <v/>
      </c>
      <c r="L161" s="31" t="str">
        <f>IF(ISBLANK(TR!H161),"",TR!H161)</f>
        <v>FR-DSRSW-1352</v>
      </c>
      <c r="M161" s="30" t="str">
        <f>TR!J161</f>
        <v>Approved</v>
      </c>
      <c r="N161" s="31" t="str">
        <f>IF(OR(M161="Modified",M161="Cosmetic"),VLOOKUP(B161,PrevPFS!B$1:E$833,4,FALSE),"")</f>
        <v/>
      </c>
    </row>
    <row r="162" spans="1:14" ht="45" x14ac:dyDescent="0.25">
      <c r="A162" s="31" t="str">
        <f>IF(ISNONTEXT(TR!K162),"",TR!K162)</f>
        <v/>
      </c>
      <c r="B162" s="32" t="str">
        <f>TR!A162</f>
        <v>TR-DSRSW-2466</v>
      </c>
      <c r="C162" s="31" t="b">
        <f>ISERROR(FIND("-",TR!B162))</f>
        <v>1</v>
      </c>
      <c r="D162" s="31">
        <f>SetIndent(E162,(TR!C162-1)*2)</f>
        <v>4</v>
      </c>
      <c r="E162" s="35" t="str">
        <f>IF(ISERROR(FIND("-",TR!B162)),TR!B162&amp;" "&amp;TR!D162,TR!D162)</f>
        <v>11.1.2 EMM Stream Search</v>
      </c>
      <c r="F162" s="31" t="str">
        <f>TR!E162</f>
        <v>Hdr</v>
      </c>
      <c r="G162" s="31" t="str">
        <f>IF(ISERROR(FIND("Adara",TR!F162)),"","Adara ")</f>
        <v xml:space="preserve">Adara </v>
      </c>
      <c r="H162" s="31" t="str">
        <f>IF(ISERROR(FIND("Copernicus",TR!F162)),"","Copernicus ")</f>
        <v xml:space="preserve">Copernicus </v>
      </c>
      <c r="I162" s="31" t="str">
        <f>IF(ISERROR(FIND("Deneb",TR!F162)),"","Deneb ")</f>
        <v xml:space="preserve">Deneb </v>
      </c>
      <c r="J162" s="37" t="str">
        <f t="shared" si="2"/>
        <v xml:space="preserve">Adara Copernicus Deneb </v>
      </c>
      <c r="K162" s="31" t="str">
        <f>IF(ISBLANK(TR!G162),"",TR!G162)</f>
        <v/>
      </c>
      <c r="L162" s="31" t="str">
        <f>IF(ISBLANK(TR!H162),"",TR!H162)</f>
        <v>FR-DSRSW-1352</v>
      </c>
      <c r="M162" s="30" t="str">
        <f>TR!J162</f>
        <v>Approved</v>
      </c>
      <c r="N162" s="31" t="str">
        <f>IF(OR(M162="Modified",M162="Cosmetic"),VLOOKUP(B162,PrevPFS!B$1:E$833,4,FALSE),"")</f>
        <v/>
      </c>
    </row>
    <row r="163" spans="1:14" ht="45" x14ac:dyDescent="0.25">
      <c r="A163" s="31" t="str">
        <f>IF(ISNONTEXT(TR!K163),"",TR!K163)</f>
        <v>TR-0-MCIPHER-SES-1046</v>
      </c>
      <c r="B163" s="32" t="str">
        <f>TR!A163</f>
        <v>TR-DSRSW-1523</v>
      </c>
      <c r="C163" s="31" t="b">
        <f>ISERROR(FIND("-",TR!B163))</f>
        <v>0</v>
      </c>
      <c r="D163" s="31">
        <f>SetIndent(E163,(TR!C163-1)*2)</f>
        <v>6</v>
      </c>
      <c r="E163" s="38" t="str">
        <f>IF(ISERROR(FIND("-",TR!B163)),TR!B163&amp;" "&amp;TR!D163,TR!D163)</f>
        <v>The product SHALL enter the EMM stream search after an Authorization Reset.</v>
      </c>
      <c r="F163" s="31" t="str">
        <f>TR!E163</f>
        <v>Req</v>
      </c>
      <c r="G163" s="31" t="str">
        <f>IF(ISERROR(FIND("Adara",TR!F163)),"","Adara ")</f>
        <v xml:space="preserve">Adara </v>
      </c>
      <c r="H163" s="31" t="str">
        <f>IF(ISERROR(FIND("Copernicus",TR!F163)),"","Copernicus ")</f>
        <v xml:space="preserve">Copernicus </v>
      </c>
      <c r="I163" s="31" t="str">
        <f>IF(ISERROR(FIND("Deneb",TR!F163)),"","Deneb ")</f>
        <v xml:space="preserve">Deneb </v>
      </c>
      <c r="J163" s="37" t="str">
        <f t="shared" si="2"/>
        <v xml:space="preserve">Adara Copernicus Deneb </v>
      </c>
      <c r="K163" s="31" t="str">
        <f>IF(ISBLANK(TR!G163),"",TR!G163)</f>
        <v/>
      </c>
      <c r="L163" s="31" t="str">
        <f>IF(ISBLANK(TR!H163),"",TR!H163)</f>
        <v>FR-DSRSW-1352</v>
      </c>
      <c r="M163" s="30" t="str">
        <f>TR!J163</f>
        <v>Approved</v>
      </c>
      <c r="N163" s="31" t="str">
        <f>IF(OR(M163="Modified",M163="Cosmetic"),VLOOKUP(B163,PrevPFS!B$1:E$833,4,FALSE),"")</f>
        <v/>
      </c>
    </row>
    <row r="164" spans="1:14" ht="45" x14ac:dyDescent="0.25">
      <c r="A164" s="31" t="str">
        <f>IF(ISNONTEXT(TR!K164),"",TR!K164)</f>
        <v>TR-0-MCIPHER-SES-1047</v>
      </c>
      <c r="B164" s="32" t="str">
        <f>TR!A164</f>
        <v>TR-DSRSW-1524</v>
      </c>
      <c r="C164" s="31" t="b">
        <f>ISERROR(FIND("-",TR!B164))</f>
        <v>0</v>
      </c>
      <c r="D164" s="31">
        <f>SetIndent(E164,(TR!C164-1)*2)</f>
        <v>6</v>
      </c>
      <c r="E164" s="38" t="str">
        <f>IF(ISERROR(FIND("-",TR!B164)),TR!B164&amp;" "&amp;TR!D164,TR!D164)</f>
        <v>The product SHALL enter the EMM stream search after an Factory Reset.</v>
      </c>
      <c r="F164" s="31" t="str">
        <f>TR!E164</f>
        <v>Req</v>
      </c>
      <c r="G164" s="31" t="str">
        <f>IF(ISERROR(FIND("Adara",TR!F164)),"","Adara ")</f>
        <v xml:space="preserve">Adara </v>
      </c>
      <c r="H164" s="31" t="str">
        <f>IF(ISERROR(FIND("Copernicus",TR!F164)),"","Copernicus ")</f>
        <v xml:space="preserve">Copernicus </v>
      </c>
      <c r="I164" s="31" t="str">
        <f>IF(ISERROR(FIND("Deneb",TR!F164)),"","Deneb ")</f>
        <v xml:space="preserve">Deneb </v>
      </c>
      <c r="J164" s="37" t="str">
        <f t="shared" si="2"/>
        <v xml:space="preserve">Adara Copernicus Deneb </v>
      </c>
      <c r="K164" s="31" t="str">
        <f>IF(ISBLANK(TR!G164),"",TR!G164)</f>
        <v/>
      </c>
      <c r="L164" s="31" t="str">
        <f>IF(ISBLANK(TR!H164),"",TR!H164)</f>
        <v>FR-DSRSW-1352</v>
      </c>
      <c r="M164" s="30" t="str">
        <f>TR!J164</f>
        <v>Approved</v>
      </c>
      <c r="N164" s="31" t="str">
        <f>IF(OR(M164="Modified",M164="Cosmetic"),VLOOKUP(B164,PrevPFS!B$1:E$833,4,FALSE),"")</f>
        <v/>
      </c>
    </row>
    <row r="165" spans="1:14" ht="45" x14ac:dyDescent="0.25">
      <c r="A165" s="31" t="str">
        <f>IF(ISNONTEXT(TR!K165),"",TR!K165)</f>
        <v>TR-0-MCIPHER-SES-1048</v>
      </c>
      <c r="B165" s="32" t="str">
        <f>TR!A165</f>
        <v>TR-DSRSW-1525</v>
      </c>
      <c r="C165" s="31" t="b">
        <f>ISERROR(FIND("-",TR!B165))</f>
        <v>0</v>
      </c>
      <c r="D165" s="31">
        <f>SetIndent(E165,(TR!C165-1)*2)</f>
        <v>6</v>
      </c>
      <c r="E165" s="38" t="str">
        <f>IF(ISERROR(FIND("-",TR!B165)),TR!B165&amp;" "&amp;TR!D165,TR!D165)</f>
        <v>The product SHALL monitor the first 5 GI EMM streams in the CAT list during the EMM stream search until the product receives an EMM with a unit address that matches the product's unit address.</v>
      </c>
      <c r="F165" s="31" t="str">
        <f>TR!E165</f>
        <v>Req</v>
      </c>
      <c r="G165" s="31" t="str">
        <f>IF(ISERROR(FIND("Adara",TR!F165)),"","Adara ")</f>
        <v xml:space="preserve">Adara </v>
      </c>
      <c r="H165" s="31" t="str">
        <f>IF(ISERROR(FIND("Copernicus",TR!F165)),"","Copernicus ")</f>
        <v xml:space="preserve">Copernicus </v>
      </c>
      <c r="I165" s="31" t="str">
        <f>IF(ISERROR(FIND("Deneb",TR!F165)),"","Deneb ")</f>
        <v xml:space="preserve">Deneb </v>
      </c>
      <c r="J165" s="37" t="str">
        <f t="shared" si="2"/>
        <v xml:space="preserve">Adara Copernicus Deneb </v>
      </c>
      <c r="K165" s="31" t="str">
        <f>IF(ISBLANK(TR!G165),"",TR!G165)</f>
        <v/>
      </c>
      <c r="L165" s="31" t="str">
        <f>IF(ISBLANK(TR!H165),"",TR!H165)</f>
        <v>FR-DSRSW-1352</v>
      </c>
      <c r="M165" s="30" t="str">
        <f>TR!J165</f>
        <v>Approved</v>
      </c>
      <c r="N165" s="31" t="str">
        <f>IF(OR(M165="Modified",M165="Cosmetic"),VLOOKUP(B165,PrevPFS!B$1:E$833,4,FALSE),"")</f>
        <v/>
      </c>
    </row>
    <row r="166" spans="1:14" ht="45" x14ac:dyDescent="0.25">
      <c r="A166" s="31" t="str">
        <f>IF(ISNONTEXT(TR!K166),"",TR!K166)</f>
        <v>TR-0-MCIPHER-SES-1100</v>
      </c>
      <c r="B166" s="32" t="str">
        <f>TR!A166</f>
        <v>TR-DSRSW-1526</v>
      </c>
      <c r="C166" s="31" t="b">
        <f>ISERROR(FIND("-",TR!B166))</f>
        <v>0</v>
      </c>
      <c r="D166" s="31">
        <f>SetIndent(E166,(TR!C166-1)*2)</f>
        <v>6</v>
      </c>
      <c r="E166" s="38" t="str">
        <f>IF(ISERROR(FIND("-",TR!B166)),TR!B166&amp;" "&amp;TR!D166,TR!D166)</f>
        <v>The product SHALL store the EMM Provider ID of the unit addressed EMM found in the EMM Stream Search.</v>
      </c>
      <c r="F166" s="31" t="str">
        <f>TR!E166</f>
        <v>Req</v>
      </c>
      <c r="G166" s="31" t="str">
        <f>IF(ISERROR(FIND("Adara",TR!F166)),"","Adara ")</f>
        <v xml:space="preserve">Adara </v>
      </c>
      <c r="H166" s="31" t="str">
        <f>IF(ISERROR(FIND("Copernicus",TR!F166)),"","Copernicus ")</f>
        <v xml:space="preserve">Copernicus </v>
      </c>
      <c r="I166" s="31" t="str">
        <f>IF(ISERROR(FIND("Deneb",TR!F166)),"","Deneb ")</f>
        <v xml:space="preserve">Deneb </v>
      </c>
      <c r="J166" s="37" t="str">
        <f t="shared" si="2"/>
        <v xml:space="preserve">Adara Copernicus Deneb </v>
      </c>
      <c r="K166" s="31" t="str">
        <f>IF(ISBLANK(TR!G166),"",TR!G166)</f>
        <v/>
      </c>
      <c r="L166" s="31" t="str">
        <f>IF(ISBLANK(TR!H166),"",TR!H166)</f>
        <v>FR-DSRSW-1352</v>
      </c>
      <c r="M166" s="30" t="str">
        <f>TR!J166</f>
        <v>Approved</v>
      </c>
      <c r="N166" s="31" t="str">
        <f>IF(OR(M166="Modified",M166="Cosmetic"),VLOOKUP(B166,PrevPFS!B$1:E$833,4,FALSE),"")</f>
        <v/>
      </c>
    </row>
    <row r="167" spans="1:14" ht="45" x14ac:dyDescent="0.25">
      <c r="A167" s="31" t="str">
        <f>IF(ISNONTEXT(TR!K167),"",TR!K167)</f>
        <v>TR-0-MCIPHER-SES-1101</v>
      </c>
      <c r="B167" s="32" t="str">
        <f>TR!A167</f>
        <v>TR-DSRSW-1527</v>
      </c>
      <c r="C167" s="31" t="b">
        <f>ISERROR(FIND("-",TR!B167))</f>
        <v>0</v>
      </c>
      <c r="D167" s="31">
        <f>SetIndent(E167,(TR!C167-1)*2)</f>
        <v>6</v>
      </c>
      <c r="E167" s="38" t="str">
        <f>IF(ISERROR(FIND("-",TR!B167)),TR!B167&amp;" "&amp;TR!D167,TR!D167)</f>
        <v>The product SHALL monitor the EMM PID as defined in the CAT for the EMM Provider found in the EMM stream search.</v>
      </c>
      <c r="F167" s="31" t="str">
        <f>TR!E167</f>
        <v>Req</v>
      </c>
      <c r="G167" s="31" t="str">
        <f>IF(ISERROR(FIND("Adara",TR!F167)),"","Adara ")</f>
        <v xml:space="preserve">Adara </v>
      </c>
      <c r="H167" s="31" t="str">
        <f>IF(ISERROR(FIND("Copernicus",TR!F167)),"","Copernicus ")</f>
        <v xml:space="preserve">Copernicus </v>
      </c>
      <c r="I167" s="31" t="str">
        <f>IF(ISERROR(FIND("Deneb",TR!F167)),"","Deneb ")</f>
        <v xml:space="preserve">Deneb </v>
      </c>
      <c r="J167" s="37" t="str">
        <f t="shared" si="2"/>
        <v xml:space="preserve">Adara Copernicus Deneb </v>
      </c>
      <c r="K167" s="31" t="str">
        <f>IF(ISBLANK(TR!G167),"",TR!G167)</f>
        <v/>
      </c>
      <c r="L167" s="31" t="str">
        <f>IF(ISBLANK(TR!H167),"",TR!H167)</f>
        <v>FR-DSRSW-1352</v>
      </c>
      <c r="M167" s="30" t="str">
        <f>TR!J167</f>
        <v>Approved</v>
      </c>
      <c r="N167" s="31" t="str">
        <f>IF(OR(M167="Modified",M167="Cosmetic"),VLOOKUP(B167,PrevPFS!B$1:E$833,4,FALSE),"")</f>
        <v/>
      </c>
    </row>
    <row r="168" spans="1:14" ht="45" x14ac:dyDescent="0.25">
      <c r="A168" s="31" t="str">
        <f>IF(ISNONTEXT(TR!K168),"",TR!K168)</f>
        <v>TR-0-MCIPHER-SES-1102</v>
      </c>
      <c r="B168" s="32" t="str">
        <f>TR!A168</f>
        <v>TR-DSRSW-1528</v>
      </c>
      <c r="C168" s="31" t="b">
        <f>ISERROR(FIND("-",TR!B168))</f>
        <v>0</v>
      </c>
      <c r="D168" s="31">
        <f>SetIndent(E168,(TR!C168-1)*2)</f>
        <v>6</v>
      </c>
      <c r="E168" s="38" t="str">
        <f>IF(ISERROR(FIND("-",TR!B168)),TR!B168&amp;" "&amp;TR!D168,TR!D168)</f>
        <v>The product SHALL retain the EMM Provider in non-volatile memory.</v>
      </c>
      <c r="F168" s="31" t="str">
        <f>TR!E168</f>
        <v>Req</v>
      </c>
      <c r="G168" s="31" t="str">
        <f>IF(ISERROR(FIND("Adara",TR!F168)),"","Adara ")</f>
        <v xml:space="preserve">Adara </v>
      </c>
      <c r="H168" s="31" t="str">
        <f>IF(ISERROR(FIND("Copernicus",TR!F168)),"","Copernicus ")</f>
        <v xml:space="preserve">Copernicus </v>
      </c>
      <c r="I168" s="31" t="str">
        <f>IF(ISERROR(FIND("Deneb",TR!F168)),"","Deneb ")</f>
        <v xml:space="preserve">Deneb </v>
      </c>
      <c r="J168" s="37" t="str">
        <f t="shared" si="2"/>
        <v xml:space="preserve">Adara Copernicus Deneb </v>
      </c>
      <c r="K168" s="31" t="str">
        <f>IF(ISBLANK(TR!G168),"",TR!G168)</f>
        <v/>
      </c>
      <c r="L168" s="31" t="str">
        <f>IF(ISBLANK(TR!H168),"",TR!H168)</f>
        <v>FR-DSRSW-1352</v>
      </c>
      <c r="M168" s="30" t="str">
        <f>TR!J168</f>
        <v>Approved</v>
      </c>
      <c r="N168" s="31" t="str">
        <f>IF(OR(M168="Modified",M168="Cosmetic"),VLOOKUP(B168,PrevPFS!B$1:E$833,4,FALSE),"")</f>
        <v/>
      </c>
    </row>
    <row r="169" spans="1:14" ht="45" x14ac:dyDescent="0.25">
      <c r="A169" s="31" t="str">
        <f>IF(ISNONTEXT(TR!K169),"",TR!K169)</f>
        <v>TR-0-MCIPHER-SES-1102</v>
      </c>
      <c r="B169" s="32" t="str">
        <f>TR!A169</f>
        <v>TR-DSRSW-2471</v>
      </c>
      <c r="C169" s="31" t="b">
        <f>ISERROR(FIND("-",TR!B169))</f>
        <v>0</v>
      </c>
      <c r="D169" s="31">
        <f>SetIndent(E169,(TR!C169-1)*2)</f>
        <v>6</v>
      </c>
      <c r="E169" s="38" t="str">
        <f>IF(ISERROR(FIND("-",TR!B169)),TR!B169&amp;" "&amp;TR!D169,TR!D169)</f>
        <v>The product SHALL, while in standby mode, continue to support EMM message handling.</v>
      </c>
      <c r="F169" s="31" t="str">
        <f>TR!E169</f>
        <v>Req</v>
      </c>
      <c r="G169" s="31" t="str">
        <f>IF(ISERROR(FIND("Adara",TR!F169)),"","Adara ")</f>
        <v xml:space="preserve">Adara </v>
      </c>
      <c r="H169" s="31" t="str">
        <f>IF(ISERROR(FIND("Copernicus",TR!F169)),"","Copernicus ")</f>
        <v xml:space="preserve">Copernicus </v>
      </c>
      <c r="I169" s="31" t="str">
        <f>IF(ISERROR(FIND("Deneb",TR!F169)),"","Deneb ")</f>
        <v xml:space="preserve">Deneb </v>
      </c>
      <c r="J169" s="37" t="str">
        <f t="shared" si="2"/>
        <v xml:space="preserve">Adara Copernicus Deneb </v>
      </c>
      <c r="K169" s="31" t="str">
        <f>IF(ISBLANK(TR!G169),"",TR!G169)</f>
        <v/>
      </c>
      <c r="L169" s="31" t="str">
        <f>IF(ISBLANK(TR!H169),"",TR!H169)</f>
        <v>FR-DSRSW-1352</v>
      </c>
      <c r="M169" s="30" t="str">
        <f>TR!J169</f>
        <v>Approved</v>
      </c>
      <c r="N169" s="31" t="str">
        <f>IF(OR(M169="Modified",M169="Cosmetic"),VLOOKUP(B169,PrevPFS!B$1:E$833,4,FALSE),"")</f>
        <v/>
      </c>
    </row>
    <row r="170" spans="1:14" ht="45" x14ac:dyDescent="0.25">
      <c r="A170" s="31" t="str">
        <f>IF(ISNONTEXT(TR!K170),"",TR!K170)</f>
        <v/>
      </c>
      <c r="B170" s="32" t="str">
        <f>TR!A170</f>
        <v>TR-DSRSW-1529</v>
      </c>
      <c r="C170" s="31" t="b">
        <f>ISERROR(FIND("-",TR!B170))</f>
        <v>1</v>
      </c>
      <c r="D170" s="31">
        <f>SetIndent(E170,(TR!C170-1)*2)</f>
        <v>4</v>
      </c>
      <c r="E170" s="35" t="str">
        <f>IF(ISERROR(FIND("-",TR!B170)),TR!B170&amp;" "&amp;TR!D170,TR!D170)</f>
        <v>11.1.3 CA Processing</v>
      </c>
      <c r="F170" s="31" t="str">
        <f>TR!E170</f>
        <v>Hdr</v>
      </c>
      <c r="G170" s="31" t="str">
        <f>IF(ISERROR(FIND("Adara",TR!F170)),"","Adara ")</f>
        <v xml:space="preserve">Adara </v>
      </c>
      <c r="H170" s="31" t="str">
        <f>IF(ISERROR(FIND("Copernicus",TR!F170)),"","Copernicus ")</f>
        <v xml:space="preserve">Copernicus </v>
      </c>
      <c r="I170" s="31" t="str">
        <f>IF(ISERROR(FIND("Deneb",TR!F170)),"","Deneb ")</f>
        <v xml:space="preserve">Deneb </v>
      </c>
      <c r="J170" s="37" t="str">
        <f t="shared" si="2"/>
        <v xml:space="preserve">Adara Copernicus Deneb </v>
      </c>
      <c r="K170" s="31" t="str">
        <f>IF(ISBLANK(TR!G170),"",TR!G170)</f>
        <v/>
      </c>
      <c r="L170" s="31" t="str">
        <f>IF(ISBLANK(TR!H170),"",TR!H170)</f>
        <v>FR-DSRSW-1352</v>
      </c>
      <c r="M170" s="30" t="str">
        <f>TR!J170</f>
        <v>Approved</v>
      </c>
      <c r="N170" s="31" t="str">
        <f>IF(OR(M170="Modified",M170="Cosmetic"),VLOOKUP(B170,PrevPFS!B$1:E$833,4,FALSE),"")</f>
        <v/>
      </c>
    </row>
    <row r="171" spans="1:14" ht="45" x14ac:dyDescent="0.25">
      <c r="A171" s="31" t="str">
        <f>IF(ISNONTEXT(TR!K171),"",TR!K171)</f>
        <v>TR-0-MCIPHER-SES-1053</v>
      </c>
      <c r="B171" s="32" t="str">
        <f>TR!A171</f>
        <v>TR-DSRSW-1530</v>
      </c>
      <c r="C171" s="31" t="b">
        <f>ISERROR(FIND("-",TR!B171))</f>
        <v>0</v>
      </c>
      <c r="D171" s="31">
        <f>SetIndent(E171,(TR!C171-1)*2)</f>
        <v>6</v>
      </c>
      <c r="E171" s="38" t="str">
        <f>IF(ISERROR(FIND("-",TR!B171)),TR!B171&amp;" "&amp;TR!D171,TR!D171)</f>
        <v>The product SHALL maintain the current and next DCII category keys in non-volatile memory, as received in the last received EMM message.</v>
      </c>
      <c r="F171" s="31" t="str">
        <f>TR!E171</f>
        <v>Req</v>
      </c>
      <c r="G171" s="31" t="str">
        <f>IF(ISERROR(FIND("Adara",TR!F171)),"","Adara ")</f>
        <v xml:space="preserve">Adara </v>
      </c>
      <c r="H171" s="31" t="str">
        <f>IF(ISERROR(FIND("Copernicus",TR!F171)),"","Copernicus ")</f>
        <v xml:space="preserve">Copernicus </v>
      </c>
      <c r="I171" s="31" t="str">
        <f>IF(ISERROR(FIND("Deneb",TR!F171)),"","Deneb ")</f>
        <v xml:space="preserve">Deneb </v>
      </c>
      <c r="J171" s="37" t="str">
        <f t="shared" si="2"/>
        <v xml:space="preserve">Adara Copernicus Deneb </v>
      </c>
      <c r="K171" s="31" t="str">
        <f>IF(ISBLANK(TR!G171),"",TR!G171)</f>
        <v/>
      </c>
      <c r="L171" s="31" t="str">
        <f>IF(ISBLANK(TR!H171),"",TR!H171)</f>
        <v>FR-DSRSW-1352</v>
      </c>
      <c r="M171" s="30" t="str">
        <f>TR!J171</f>
        <v>Approved</v>
      </c>
      <c r="N171" s="31" t="str">
        <f>IF(OR(M171="Modified",M171="Cosmetic"),VLOOKUP(B171,PrevPFS!B$1:E$833,4,FALSE),"")</f>
        <v/>
      </c>
    </row>
    <row r="172" spans="1:14" ht="45" x14ac:dyDescent="0.25">
      <c r="A172" s="31" t="str">
        <f>IF(ISNONTEXT(TR!K172),"",TR!K172)</f>
        <v>TR-0-MCIPHER-SES-1054</v>
      </c>
      <c r="B172" s="32" t="str">
        <f>TR!A172</f>
        <v>TR-DSRSW-1531</v>
      </c>
      <c r="C172" s="31" t="b">
        <f>ISERROR(FIND("-",TR!B172))</f>
        <v>0</v>
      </c>
      <c r="D172" s="31">
        <f>SetIndent(E172,(TR!C172-1)*2)</f>
        <v>6</v>
      </c>
      <c r="E172" s="38" t="str">
        <f>IF(ISERROR(FIND("-",TR!B172)),TR!B172&amp;" "&amp;TR!D172,TR!D172)</f>
        <v>The product SHALL decrypt authorized programs under either the current or next category key.</v>
      </c>
      <c r="F172" s="31" t="str">
        <f>TR!E172</f>
        <v>Req</v>
      </c>
      <c r="G172" s="31" t="str">
        <f>IF(ISERROR(FIND("Adara",TR!F172)),"","Adara ")</f>
        <v xml:space="preserve">Adara </v>
      </c>
      <c r="H172" s="31" t="str">
        <f>IF(ISERROR(FIND("Copernicus",TR!F172)),"","Copernicus ")</f>
        <v xml:space="preserve">Copernicus </v>
      </c>
      <c r="I172" s="31" t="str">
        <f>IF(ISERROR(FIND("Deneb",TR!F172)),"","Deneb ")</f>
        <v xml:space="preserve">Deneb </v>
      </c>
      <c r="J172" s="37" t="str">
        <f t="shared" si="2"/>
        <v xml:space="preserve">Adara Copernicus Deneb </v>
      </c>
      <c r="K172" s="31" t="str">
        <f>IF(ISBLANK(TR!G172),"",TR!G172)</f>
        <v/>
      </c>
      <c r="L172" s="31" t="str">
        <f>IF(ISBLANK(TR!H172),"",TR!H172)</f>
        <v>FR-DSRSW-1352</v>
      </c>
      <c r="M172" s="30" t="str">
        <f>TR!J172</f>
        <v>Approved</v>
      </c>
      <c r="N172" s="31" t="str">
        <f>IF(OR(M172="Modified",M172="Cosmetic"),VLOOKUP(B172,PrevPFS!B$1:E$833,4,FALSE),"")</f>
        <v/>
      </c>
    </row>
    <row r="173" spans="1:14" ht="45" x14ac:dyDescent="0.25">
      <c r="A173" s="31" t="str">
        <f>IF(ISNONTEXT(TR!K173),"",TR!K173)</f>
        <v>TR-0-MCIPHER-SES-1054</v>
      </c>
      <c r="B173" s="32" t="str">
        <f>TR!A173</f>
        <v>TR-DSRSW-2473</v>
      </c>
      <c r="C173" s="31" t="b">
        <f>ISERROR(FIND("-",TR!B173))</f>
        <v>0</v>
      </c>
      <c r="D173" s="31">
        <f>SetIndent(E173,(TR!C173-1)*2)</f>
        <v>6</v>
      </c>
      <c r="E173" s="38" t="str">
        <f>IF(ISERROR(FIND("-",TR!B173)),TR!B173&amp;" "&amp;TR!D173,TR!D173)</f>
        <v>The product SHALL, while in standby mode, continue to support Conditional Access control message handling.</v>
      </c>
      <c r="F173" s="31" t="str">
        <f>TR!E173</f>
        <v>Req</v>
      </c>
      <c r="G173" s="31" t="str">
        <f>IF(ISERROR(FIND("Adara",TR!F173)),"","Adara ")</f>
        <v xml:space="preserve">Adara </v>
      </c>
      <c r="H173" s="31" t="str">
        <f>IF(ISERROR(FIND("Copernicus",TR!F173)),"","Copernicus ")</f>
        <v xml:space="preserve">Copernicus </v>
      </c>
      <c r="I173" s="31" t="str">
        <f>IF(ISERROR(FIND("Deneb",TR!F173)),"","Deneb ")</f>
        <v xml:space="preserve">Deneb </v>
      </c>
      <c r="J173" s="37" t="str">
        <f t="shared" si="2"/>
        <v xml:space="preserve">Adara Copernicus Deneb </v>
      </c>
      <c r="K173" s="31" t="str">
        <f>IF(ISBLANK(TR!G173),"",TR!G173)</f>
        <v/>
      </c>
      <c r="L173" s="31" t="str">
        <f>IF(ISBLANK(TR!H173),"",TR!H173)</f>
        <v>FR-DSRSW-1352</v>
      </c>
      <c r="M173" s="30" t="str">
        <f>TR!J173</f>
        <v>Approved</v>
      </c>
      <c r="N173" s="31" t="str">
        <f>IF(OR(M173="Modified",M173="Cosmetic"),VLOOKUP(B173,PrevPFS!B$1:E$833,4,FALSE),"")</f>
        <v/>
      </c>
    </row>
    <row r="174" spans="1:14" ht="45" x14ac:dyDescent="0.25">
      <c r="A174" s="31" t="str">
        <f>IF(ISNONTEXT(TR!K174),"",TR!K174)</f>
        <v/>
      </c>
      <c r="B174" s="32" t="str">
        <f>TR!A174</f>
        <v>TR-DSRSW-1532</v>
      </c>
      <c r="C174" s="31" t="b">
        <f>ISERROR(FIND("-",TR!B174))</f>
        <v>1</v>
      </c>
      <c r="D174" s="31">
        <f>SetIndent(E174,(TR!C174-1)*2)</f>
        <v>4</v>
      </c>
      <c r="E174" s="35" t="str">
        <f>IF(ISERROR(FIND("-",TR!B174)),TR!B174&amp;" "&amp;TR!D174,TR!D174)</f>
        <v>11.1.4 Regional, Circular, and Spotbeam Blackouts</v>
      </c>
      <c r="F174" s="31" t="str">
        <f>TR!E174</f>
        <v>Hdr</v>
      </c>
      <c r="G174" s="31" t="str">
        <f>IF(ISERROR(FIND("Adara",TR!F174)),"","Adara ")</f>
        <v xml:space="preserve">Adara </v>
      </c>
      <c r="H174" s="31" t="str">
        <f>IF(ISERROR(FIND("Copernicus",TR!F174)),"","Copernicus ")</f>
        <v xml:space="preserve">Copernicus </v>
      </c>
      <c r="I174" s="31" t="str">
        <f>IF(ISERROR(FIND("Deneb",TR!F174)),"","Deneb ")</f>
        <v xml:space="preserve">Deneb </v>
      </c>
      <c r="J174" s="37" t="str">
        <f t="shared" si="2"/>
        <v xml:space="preserve">Adara Copernicus Deneb </v>
      </c>
      <c r="K174" s="31" t="str">
        <f>IF(ISBLANK(TR!G174),"",TR!G174)</f>
        <v/>
      </c>
      <c r="L174" s="31" t="str">
        <f>IF(ISBLANK(TR!H174),"",TR!H174)</f>
        <v>FR-DSRSW-1352</v>
      </c>
      <c r="M174" s="30" t="str">
        <f>TR!J174</f>
        <v>Approved</v>
      </c>
      <c r="N174" s="31" t="str">
        <f>IF(OR(M174="Modified",M174="Cosmetic"),VLOOKUP(B174,PrevPFS!B$1:E$833,4,FALSE),"")</f>
        <v/>
      </c>
    </row>
    <row r="175" spans="1:14" ht="45" x14ac:dyDescent="0.25">
      <c r="A175" s="31" t="str">
        <f>IF(ISNONTEXT(TR!K175),"",TR!K175)</f>
        <v>TR-0-MCIPHER-SES-1056</v>
      </c>
      <c r="B175" s="32" t="str">
        <f>TR!A175</f>
        <v>TR-DSRSW-1533</v>
      </c>
      <c r="C175" s="31" t="b">
        <f>ISERROR(FIND("-",TR!B175))</f>
        <v>0</v>
      </c>
      <c r="D175" s="31">
        <f>SetIndent(E175,(TR!C175-1)*2)</f>
        <v>6</v>
      </c>
      <c r="E175" s="38" t="str">
        <f>IF(ISERROR(FIND("-",TR!B175)),TR!B175&amp;" "&amp;TR!D175,TR!D175)</f>
        <v>The product SHALL receive an assignment to one of 256 (0-255) Geographic Regions via the EMM.</v>
      </c>
      <c r="F175" s="31" t="str">
        <f>TR!E175</f>
        <v>Req</v>
      </c>
      <c r="G175" s="31" t="str">
        <f>IF(ISERROR(FIND("Adara",TR!F175)),"","Adara ")</f>
        <v xml:space="preserve">Adara </v>
      </c>
      <c r="H175" s="31" t="str">
        <f>IF(ISERROR(FIND("Copernicus",TR!F175)),"","Copernicus ")</f>
        <v xml:space="preserve">Copernicus </v>
      </c>
      <c r="I175" s="31" t="str">
        <f>IF(ISERROR(FIND("Deneb",TR!F175)),"","Deneb ")</f>
        <v xml:space="preserve">Deneb </v>
      </c>
      <c r="J175" s="37" t="str">
        <f t="shared" si="2"/>
        <v xml:space="preserve">Adara Copernicus Deneb </v>
      </c>
      <c r="K175" s="31" t="str">
        <f>IF(ISBLANK(TR!G175),"",TR!G175)</f>
        <v/>
      </c>
      <c r="L175" s="31" t="str">
        <f>IF(ISBLANK(TR!H175),"",TR!H175)</f>
        <v>FR-DSRSW-1352</v>
      </c>
      <c r="M175" s="30" t="str">
        <f>TR!J175</f>
        <v>Approved</v>
      </c>
      <c r="N175" s="31" t="str">
        <f>IF(OR(M175="Modified",M175="Cosmetic"),VLOOKUP(B175,PrevPFS!B$1:E$833,4,FALSE),"")</f>
        <v/>
      </c>
    </row>
    <row r="176" spans="1:14" ht="45" x14ac:dyDescent="0.25">
      <c r="A176" s="31" t="str">
        <f>IF(ISNONTEXT(TR!K176),"",TR!K176)</f>
        <v>TR-0-MCIPHER-SES-1057</v>
      </c>
      <c r="B176" s="32" t="str">
        <f>TR!A176</f>
        <v>TR-DSRSW-1534</v>
      </c>
      <c r="C176" s="31" t="b">
        <f>ISERROR(FIND("-",TR!B176))</f>
        <v>0</v>
      </c>
      <c r="D176" s="31">
        <f>SetIndent(E176,(TR!C176-1)*2)</f>
        <v>6</v>
      </c>
      <c r="E176" s="38" t="str">
        <f>IF(ISERROR(FIND("-",TR!B176)),TR!B176&amp;" "&amp;TR!D176,TR!D176)</f>
        <v>The product SHALL mute all components of the service if service is blacked out for the product's region.</v>
      </c>
      <c r="F176" s="31" t="str">
        <f>TR!E176</f>
        <v>Req</v>
      </c>
      <c r="G176" s="31" t="str">
        <f>IF(ISERROR(FIND("Adara",TR!F176)),"","Adara ")</f>
        <v xml:space="preserve">Adara </v>
      </c>
      <c r="H176" s="31" t="str">
        <f>IF(ISERROR(FIND("Copernicus",TR!F176)),"","Copernicus ")</f>
        <v xml:space="preserve">Copernicus </v>
      </c>
      <c r="I176" s="31" t="str">
        <f>IF(ISERROR(FIND("Deneb",TR!F176)),"","Deneb ")</f>
        <v xml:space="preserve">Deneb </v>
      </c>
      <c r="J176" s="37" t="str">
        <f t="shared" si="2"/>
        <v xml:space="preserve">Adara Copernicus Deneb </v>
      </c>
      <c r="K176" s="31" t="str">
        <f>IF(ISBLANK(TR!G176),"",TR!G176)</f>
        <v/>
      </c>
      <c r="L176" s="31" t="str">
        <f>IF(ISBLANK(TR!H176),"",TR!H176)</f>
        <v>FR-DSRSW-1352</v>
      </c>
      <c r="M176" s="30" t="str">
        <f>TR!J176</f>
        <v>Approved</v>
      </c>
      <c r="N176" s="31" t="str">
        <f>IF(OR(M176="Modified",M176="Cosmetic"),VLOOKUP(B176,PrevPFS!B$1:E$833,4,FALSE),"")</f>
        <v/>
      </c>
    </row>
    <row r="177" spans="1:14" ht="45" x14ac:dyDescent="0.25">
      <c r="A177" s="31" t="str">
        <f>IF(ISNONTEXT(TR!K177),"",TR!K177)</f>
        <v>TR-0-MCIPHER-SES-1058</v>
      </c>
      <c r="B177" s="32" t="str">
        <f>TR!A177</f>
        <v>TR-DSRSW-1535</v>
      </c>
      <c r="C177" s="31" t="b">
        <f>ISERROR(FIND("-",TR!B177))</f>
        <v>0</v>
      </c>
      <c r="D177" s="31">
        <f>SetIndent(E177,(TR!C177-1)*2)</f>
        <v>6</v>
      </c>
      <c r="E177" s="38" t="str">
        <f>IF(ISERROR(FIND("-",TR!B177)),TR!B177&amp;" "&amp;TR!D177,TR!D177)</f>
        <v>The product SHALL receive an assignment to a geographic location (x,y,z) via the EMM.</v>
      </c>
      <c r="F177" s="31" t="str">
        <f>TR!E177</f>
        <v>Req</v>
      </c>
      <c r="G177" s="31" t="str">
        <f>IF(ISERROR(FIND("Adara",TR!F177)),"","Adara ")</f>
        <v xml:space="preserve">Adara </v>
      </c>
      <c r="H177" s="31" t="str">
        <f>IF(ISERROR(FIND("Copernicus",TR!F177)),"","Copernicus ")</f>
        <v xml:space="preserve">Copernicus </v>
      </c>
      <c r="I177" s="31" t="str">
        <f>IF(ISERROR(FIND("Deneb",TR!F177)),"","Deneb ")</f>
        <v xml:space="preserve">Deneb </v>
      </c>
      <c r="J177" s="37" t="str">
        <f t="shared" si="2"/>
        <v xml:space="preserve">Adara Copernicus Deneb </v>
      </c>
      <c r="K177" s="31" t="str">
        <f>IF(ISBLANK(TR!G177),"",TR!G177)</f>
        <v/>
      </c>
      <c r="L177" s="31" t="str">
        <f>IF(ISBLANK(TR!H177),"",TR!H177)</f>
        <v>FR-DSRSW-1352</v>
      </c>
      <c r="M177" s="30" t="str">
        <f>TR!J177</f>
        <v>Approved</v>
      </c>
      <c r="N177" s="31" t="str">
        <f>IF(OR(M177="Modified",M177="Cosmetic"),VLOOKUP(B177,PrevPFS!B$1:E$833,4,FALSE),"")</f>
        <v/>
      </c>
    </row>
    <row r="178" spans="1:14" ht="45" x14ac:dyDescent="0.25">
      <c r="A178" s="31" t="str">
        <f>IF(ISNONTEXT(TR!K178),"",TR!K178)</f>
        <v>TR-0-MCIPHER-SES-1059</v>
      </c>
      <c r="B178" s="32" t="str">
        <f>TR!A178</f>
        <v>TR-DSRSW-1536</v>
      </c>
      <c r="C178" s="31" t="b">
        <f>ISERROR(FIND("-",TR!B178))</f>
        <v>0</v>
      </c>
      <c r="D178" s="31">
        <f>SetIndent(E178,(TR!C178-1)*2)</f>
        <v>6</v>
      </c>
      <c r="E178" s="38" t="str">
        <f>IF(ISERROR(FIND("-",TR!B178)),TR!B178&amp;" "&amp;TR!D178,TR!D178)</f>
        <v>The product SHALL blackout the service if circular blackouts are enabled AND the product is within at least one of the service's circular blackout regions.</v>
      </c>
      <c r="F178" s="31" t="str">
        <f>TR!E178</f>
        <v>Req</v>
      </c>
      <c r="G178" s="31" t="str">
        <f>IF(ISERROR(FIND("Adara",TR!F178)),"","Adara ")</f>
        <v xml:space="preserve">Adara </v>
      </c>
      <c r="H178" s="31" t="str">
        <f>IF(ISERROR(FIND("Copernicus",TR!F178)),"","Copernicus ")</f>
        <v xml:space="preserve">Copernicus </v>
      </c>
      <c r="I178" s="31" t="str">
        <f>IF(ISERROR(FIND("Deneb",TR!F178)),"","Deneb ")</f>
        <v xml:space="preserve">Deneb </v>
      </c>
      <c r="J178" s="37" t="str">
        <f t="shared" si="2"/>
        <v xml:space="preserve">Adara Copernicus Deneb </v>
      </c>
      <c r="K178" s="31" t="str">
        <f>IF(ISBLANK(TR!G178),"",TR!G178)</f>
        <v/>
      </c>
      <c r="L178" s="31" t="str">
        <f>IF(ISBLANK(TR!H178),"",TR!H178)</f>
        <v>FR-DSRSW-1352</v>
      </c>
      <c r="M178" s="30" t="str">
        <f>TR!J178</f>
        <v>Approved</v>
      </c>
      <c r="N178" s="31" t="str">
        <f>IF(OR(M178="Modified",M178="Cosmetic"),VLOOKUP(B178,PrevPFS!B$1:E$833,4,FALSE),"")</f>
        <v/>
      </c>
    </row>
    <row r="179" spans="1:14" ht="45" x14ac:dyDescent="0.25">
      <c r="A179" s="31" t="str">
        <f>IF(ISNONTEXT(TR!K179),"",TR!K179)</f>
        <v>TR-0-MCIPHER-SES-1060</v>
      </c>
      <c r="B179" s="32" t="str">
        <f>TR!A179</f>
        <v>TR-DSRSW-1537</v>
      </c>
      <c r="C179" s="31" t="b">
        <f>ISERROR(FIND("-",TR!B179))</f>
        <v>0</v>
      </c>
      <c r="D179" s="31">
        <f>SetIndent(E179,(TR!C179-1)*2)</f>
        <v>6</v>
      </c>
      <c r="E179" s="38" t="str">
        <f>IF(ISERROR(FIND("-",TR!B179)),TR!B179&amp;" "&amp;TR!D179,TR!D179)</f>
        <v>The product SHALL blackout the service if spotbeam blackouts are enabled AND the product is outside all of the service's spotbeam blackout regions.</v>
      </c>
      <c r="F179" s="31" t="str">
        <f>TR!E179</f>
        <v>Req</v>
      </c>
      <c r="G179" s="31" t="str">
        <f>IF(ISERROR(FIND("Adara",TR!F179)),"","Adara ")</f>
        <v xml:space="preserve">Adara </v>
      </c>
      <c r="H179" s="31" t="str">
        <f>IF(ISERROR(FIND("Copernicus",TR!F179)),"","Copernicus ")</f>
        <v xml:space="preserve">Copernicus </v>
      </c>
      <c r="I179" s="31" t="str">
        <f>IF(ISERROR(FIND("Deneb",TR!F179)),"","Deneb ")</f>
        <v xml:space="preserve">Deneb </v>
      </c>
      <c r="J179" s="37" t="str">
        <f t="shared" si="2"/>
        <v xml:space="preserve">Adara Copernicus Deneb </v>
      </c>
      <c r="K179" s="31" t="str">
        <f>IF(ISBLANK(TR!G179),"",TR!G179)</f>
        <v/>
      </c>
      <c r="L179" s="31" t="str">
        <f>IF(ISBLANK(TR!H179),"",TR!H179)</f>
        <v>FR-DSRSW-1352</v>
      </c>
      <c r="M179" s="30" t="str">
        <f>TR!J179</f>
        <v>Approved</v>
      </c>
      <c r="N179" s="31" t="str">
        <f>IF(OR(M179="Modified",M179="Cosmetic"),VLOOKUP(B179,PrevPFS!B$1:E$833,4,FALSE),"")</f>
        <v/>
      </c>
    </row>
    <row r="180" spans="1:14" ht="45" x14ac:dyDescent="0.25">
      <c r="A180" s="31" t="str">
        <f>IF(ISNONTEXT(TR!K180),"",TR!K180)</f>
        <v>FR-MCIPH-1008</v>
      </c>
      <c r="B180" s="32" t="str">
        <f>TR!A180</f>
        <v>TR-DSRSW-1542</v>
      </c>
      <c r="C180" s="31" t="b">
        <f>ISERROR(FIND("-",TR!B180))</f>
        <v>1</v>
      </c>
      <c r="D180" s="31">
        <f>SetIndent(E180,(TR!C180-1)*2)</f>
        <v>2</v>
      </c>
      <c r="E180" s="34" t="str">
        <f>IF(ISERROR(FIND("-",TR!B180)),TR!B180&amp;" "&amp;TR!D180,TR!D180)</f>
        <v>11.2 Code Validation</v>
      </c>
      <c r="F180" s="31" t="str">
        <f>TR!E180</f>
        <v>Hdr</v>
      </c>
      <c r="G180" s="31" t="str">
        <f>IF(ISERROR(FIND("Adara",TR!F180)),"","Adara ")</f>
        <v xml:space="preserve">Adara </v>
      </c>
      <c r="H180" s="31" t="str">
        <f>IF(ISERROR(FIND("Copernicus",TR!F180)),"","Copernicus ")</f>
        <v xml:space="preserve">Copernicus </v>
      </c>
      <c r="I180" s="31" t="str">
        <f>IF(ISERROR(FIND("Deneb",TR!F180)),"","Deneb ")</f>
        <v xml:space="preserve">Deneb </v>
      </c>
      <c r="J180" s="37" t="str">
        <f t="shared" si="2"/>
        <v xml:space="preserve">Adara Copernicus Deneb </v>
      </c>
      <c r="K180" s="31" t="str">
        <f>IF(ISBLANK(TR!G180),"",TR!G180)</f>
        <v/>
      </c>
      <c r="L180" s="31" t="str">
        <f>IF(ISBLANK(TR!H180),"",TR!H180)</f>
        <v>FR-DSRSW-1357</v>
      </c>
      <c r="M180" s="30" t="str">
        <f>TR!J180</f>
        <v>Approved</v>
      </c>
      <c r="N180" s="31" t="str">
        <f>IF(OR(M180="Modified",M180="Cosmetic"),VLOOKUP(B180,PrevPFS!B$1:E$833,4,FALSE),"")</f>
        <v/>
      </c>
    </row>
    <row r="181" spans="1:14" ht="45" x14ac:dyDescent="0.25">
      <c r="A181" s="31" t="str">
        <f>IF(ISNONTEXT(TR!K181),"",TR!K181)</f>
        <v/>
      </c>
      <c r="B181" s="32" t="str">
        <f>TR!A181</f>
        <v>TR-DSRSW-2426</v>
      </c>
      <c r="C181" s="31" t="b">
        <f>ISERROR(FIND("-",TR!B181))</f>
        <v>1</v>
      </c>
      <c r="D181" s="31">
        <f>SetIndent(E181,(TR!C181-1)*2)</f>
        <v>4</v>
      </c>
      <c r="E181" s="35" t="str">
        <f>IF(ISERROR(FIND("-",TR!B181)),TR!B181&amp;" "&amp;TR!D181,TR!D181)</f>
        <v>11.2.1 Hardware</v>
      </c>
      <c r="F181" s="31" t="str">
        <f>TR!E181</f>
        <v>Hdr</v>
      </c>
      <c r="G181" s="31" t="str">
        <f>IF(ISERROR(FIND("Adara",TR!F181)),"","Adara ")</f>
        <v xml:space="preserve">Adara </v>
      </c>
      <c r="H181" s="31" t="str">
        <f>IF(ISERROR(FIND("Copernicus",TR!F181)),"","Copernicus ")</f>
        <v xml:space="preserve">Copernicus </v>
      </c>
      <c r="I181" s="31" t="str">
        <f>IF(ISERROR(FIND("Deneb",TR!F181)),"","Deneb ")</f>
        <v xml:space="preserve">Deneb </v>
      </c>
      <c r="J181" s="37" t="str">
        <f t="shared" si="2"/>
        <v xml:space="preserve">Adara Copernicus Deneb </v>
      </c>
      <c r="K181" s="31" t="str">
        <f>IF(ISBLANK(TR!G181),"",TR!G181)</f>
        <v/>
      </c>
      <c r="L181" s="31" t="str">
        <f>IF(ISBLANK(TR!H181),"",TR!H181)</f>
        <v>FR-DSRSW-1352</v>
      </c>
      <c r="M181" s="30" t="str">
        <f>TR!J181</f>
        <v>Approved</v>
      </c>
      <c r="N181" s="31" t="str">
        <f>IF(OR(M181="Modified",M181="Cosmetic"),VLOOKUP(B181,PrevPFS!B$1:E$833,4,FALSE),"")</f>
        <v/>
      </c>
    </row>
    <row r="182" spans="1:14" ht="45" x14ac:dyDescent="0.25">
      <c r="A182" s="31" t="str">
        <f>IF(ISNONTEXT(TR!K182),"",TR!K182)</f>
        <v>TR-0-ROBUST-SES-1212</v>
      </c>
      <c r="B182" s="32" t="str">
        <f>TR!A182</f>
        <v>TR-DSRSW-1453</v>
      </c>
      <c r="C182" s="31" t="b">
        <f>ISERROR(FIND("-",TR!B182))</f>
        <v>0</v>
      </c>
      <c r="D182" s="31">
        <f>SetIndent(E182,(TR!C182-1)*2)</f>
        <v>6</v>
      </c>
      <c r="E182" s="38" t="str">
        <f>IF(ISERROR(FIND("-",TR!B182)),TR!B182&amp;" "&amp;TR!D182,TR!D182)</f>
        <v>The product SHALL disable the JTAG port for customer products that are to be deployed.</v>
      </c>
      <c r="F182" s="31" t="str">
        <f>TR!E182</f>
        <v>Req</v>
      </c>
      <c r="G182" s="31" t="str">
        <f>IF(ISERROR(FIND("Adara",TR!F182)),"","Adara ")</f>
        <v xml:space="preserve">Adara </v>
      </c>
      <c r="H182" s="31" t="str">
        <f>IF(ISERROR(FIND("Copernicus",TR!F182)),"","Copernicus ")</f>
        <v xml:space="preserve">Copernicus </v>
      </c>
      <c r="I182" s="31" t="str">
        <f>IF(ISERROR(FIND("Deneb",TR!F182)),"","Deneb ")</f>
        <v xml:space="preserve">Deneb </v>
      </c>
      <c r="J182" s="37" t="str">
        <f t="shared" si="2"/>
        <v xml:space="preserve">Adara Copernicus Deneb </v>
      </c>
      <c r="K182" s="31" t="str">
        <f>IF(ISBLANK(TR!G182),"",TR!G182)</f>
        <v/>
      </c>
      <c r="L182" s="31" t="str">
        <f>IF(ISBLANK(TR!H182),"",TR!H182)</f>
        <v>FR-DSRSW-1347</v>
      </c>
      <c r="M182" s="30" t="str">
        <f>TR!J182</f>
        <v>Approved</v>
      </c>
      <c r="N182" s="31" t="str">
        <f>IF(OR(M182="Modified",M182="Cosmetic"),VLOOKUP(B182,PrevPFS!B$1:E$833,4,FALSE),"")</f>
        <v/>
      </c>
    </row>
    <row r="183" spans="1:14" ht="45" x14ac:dyDescent="0.25">
      <c r="A183" s="31" t="str">
        <f>IF(ISNONTEXT(TR!K183),"",TR!K183)</f>
        <v>TR-0-ROBUST-SES-1213</v>
      </c>
      <c r="B183" s="32" t="str">
        <f>TR!A183</f>
        <v>TR-DSRSW-1454</v>
      </c>
      <c r="C183" s="31" t="b">
        <f>ISERROR(FIND("-",TR!B183))</f>
        <v>0</v>
      </c>
      <c r="D183" s="31">
        <f>SetIndent(E183,(TR!C183-1)*2)</f>
        <v>6</v>
      </c>
      <c r="E183" s="38" t="str">
        <f>IF(ISERROR(FIND("-",TR!B183)),TR!B183&amp;" "&amp;TR!D183,TR!D183)</f>
        <v>The product SHALL disable the BBS port for customer products that are to be deployed.</v>
      </c>
      <c r="F183" s="31" t="str">
        <f>TR!E183</f>
        <v>Req</v>
      </c>
      <c r="G183" s="31" t="str">
        <f>IF(ISERROR(FIND("Adara",TR!F183)),"","Adara ")</f>
        <v xml:space="preserve">Adara </v>
      </c>
      <c r="H183" s="31" t="str">
        <f>IF(ISERROR(FIND("Copernicus",TR!F183)),"","Copernicus ")</f>
        <v xml:space="preserve">Copernicus </v>
      </c>
      <c r="I183" s="31" t="str">
        <f>IF(ISERROR(FIND("Deneb",TR!F183)),"","Deneb ")</f>
        <v xml:space="preserve">Deneb </v>
      </c>
      <c r="J183" s="37" t="str">
        <f t="shared" si="2"/>
        <v xml:space="preserve">Adara Copernicus Deneb </v>
      </c>
      <c r="K183" s="31" t="str">
        <f>IF(ISBLANK(TR!G183),"",TR!G183)</f>
        <v/>
      </c>
      <c r="L183" s="31" t="str">
        <f>IF(ISBLANK(TR!H183),"",TR!H183)</f>
        <v>FR-DSRSW-1347</v>
      </c>
      <c r="M183" s="30" t="str">
        <f>TR!J183</f>
        <v>Approved</v>
      </c>
      <c r="N183" s="31" t="str">
        <f>IF(OR(M183="Modified",M183="Cosmetic"),VLOOKUP(B183,PrevPFS!B$1:E$833,4,FALSE),"")</f>
        <v/>
      </c>
    </row>
    <row r="184" spans="1:14" ht="45" x14ac:dyDescent="0.25">
      <c r="A184" s="31" t="str">
        <f>IF(ISNONTEXT(TR!K184),"",TR!K184)</f>
        <v>TR-0-ROBUST-SES-1214</v>
      </c>
      <c r="B184" s="32" t="str">
        <f>TR!A184</f>
        <v>TR-DSRSW-1455</v>
      </c>
      <c r="C184" s="31" t="b">
        <f>ISERROR(FIND("-",TR!B184))</f>
        <v>0</v>
      </c>
      <c r="D184" s="31">
        <f>SetIndent(E184,(TR!C184-1)*2)</f>
        <v>6</v>
      </c>
      <c r="E184" s="38" t="str">
        <f>IF(ISERROR(FIND("-",TR!B184)),TR!B184&amp;" "&amp;TR!D184,TR!D184)</f>
        <v>The product SHALL prevent the disclosure of critical security parameters over the serial debug port.</v>
      </c>
      <c r="F184" s="31" t="str">
        <f>TR!E184</f>
        <v>Req</v>
      </c>
      <c r="G184" s="31" t="str">
        <f>IF(ISERROR(FIND("Adara",TR!F184)),"","Adara ")</f>
        <v xml:space="preserve">Adara </v>
      </c>
      <c r="H184" s="31" t="str">
        <f>IF(ISERROR(FIND("Copernicus",TR!F184)),"","Copernicus ")</f>
        <v xml:space="preserve">Copernicus </v>
      </c>
      <c r="I184" s="31" t="str">
        <f>IF(ISERROR(FIND("Deneb",TR!F184)),"","Deneb ")</f>
        <v xml:space="preserve">Deneb </v>
      </c>
      <c r="J184" s="37" t="str">
        <f t="shared" si="2"/>
        <v xml:space="preserve">Adara Copernicus Deneb </v>
      </c>
      <c r="K184" s="31" t="str">
        <f>IF(ISBLANK(TR!G184),"",TR!G184)</f>
        <v/>
      </c>
      <c r="L184" s="31" t="str">
        <f>IF(ISBLANK(TR!H184),"",TR!H184)</f>
        <v>FR-DSRSW-1347</v>
      </c>
      <c r="M184" s="30" t="str">
        <f>TR!J184</f>
        <v>Approved</v>
      </c>
      <c r="N184" s="31" t="str">
        <f>IF(OR(M184="Modified",M184="Cosmetic"),VLOOKUP(B184,PrevPFS!B$1:E$833,4,FALSE),"")</f>
        <v/>
      </c>
    </row>
    <row r="185" spans="1:14" ht="45" x14ac:dyDescent="0.25">
      <c r="A185" s="31" t="str">
        <f>IF(ISNONTEXT(TR!K185),"",TR!K185)</f>
        <v>TR-0-ROBUST-SES-1127</v>
      </c>
      <c r="B185" s="32" t="str">
        <f>TR!A185</f>
        <v>TR-DSRSW-1543</v>
      </c>
      <c r="C185" s="31" t="b">
        <f>ISERROR(FIND("-",TR!B185))</f>
        <v>0</v>
      </c>
      <c r="D185" s="31">
        <f>SetIndent(E185,(TR!C185-1)*2)</f>
        <v>6</v>
      </c>
      <c r="E185" s="38" t="str">
        <f>IF(ISERROR(FIND("-",TR!B185)),TR!B185&amp;" "&amp;TR!D185,TR!D185)</f>
        <v>The product SHALL make Private Keys inaccessible on user accessible busses.</v>
      </c>
      <c r="F185" s="31" t="str">
        <f>TR!E185</f>
        <v>Req</v>
      </c>
      <c r="G185" s="31" t="str">
        <f>IF(ISERROR(FIND("Adara",TR!F185)),"","Adara ")</f>
        <v xml:space="preserve">Adara </v>
      </c>
      <c r="H185" s="31" t="str">
        <f>IF(ISERROR(FIND("Copernicus",TR!F185)),"","Copernicus ")</f>
        <v xml:space="preserve">Copernicus </v>
      </c>
      <c r="I185" s="31" t="str">
        <f>IF(ISERROR(FIND("Deneb",TR!F185)),"","Deneb ")</f>
        <v xml:space="preserve">Deneb </v>
      </c>
      <c r="J185" s="37" t="str">
        <f t="shared" si="2"/>
        <v xml:space="preserve">Adara Copernicus Deneb </v>
      </c>
      <c r="K185" s="31" t="str">
        <f>IF(ISBLANK(TR!G185),"",TR!G185)</f>
        <v/>
      </c>
      <c r="L185" s="31" t="str">
        <f>IF(ISBLANK(TR!H185),"",TR!H185)</f>
        <v>FR-DSRSW-1357</v>
      </c>
      <c r="M185" s="30" t="str">
        <f>TR!J185</f>
        <v>Approved</v>
      </c>
      <c r="N185" s="31" t="str">
        <f>IF(OR(M185="Modified",M185="Cosmetic"),VLOOKUP(B185,PrevPFS!B$1:E$833,4,FALSE),"")</f>
        <v/>
      </c>
    </row>
    <row r="186" spans="1:14" ht="45" x14ac:dyDescent="0.25">
      <c r="A186" s="31" t="str">
        <f>IF(ISNONTEXT(TR!K186),"",TR!K186)</f>
        <v/>
      </c>
      <c r="B186" s="32" t="str">
        <f>TR!A186</f>
        <v>TR-DSRSW-2427</v>
      </c>
      <c r="C186" s="31" t="b">
        <f>ISERROR(FIND("-",TR!B186))</f>
        <v>1</v>
      </c>
      <c r="D186" s="31">
        <f>SetIndent(E186,(TR!C186-1)*2)</f>
        <v>4</v>
      </c>
      <c r="E186" s="35" t="str">
        <f>IF(ISERROR(FIND("-",TR!B186)),TR!B186&amp;" "&amp;TR!D186,TR!D186)</f>
        <v>11.2.2 Platform Code Authentication</v>
      </c>
      <c r="F186" s="31" t="str">
        <f>TR!E186</f>
        <v>Hdr</v>
      </c>
      <c r="G186" s="31" t="str">
        <f>IF(ISERROR(FIND("Adara",TR!F186)),"","Adara ")</f>
        <v xml:space="preserve">Adara </v>
      </c>
      <c r="H186" s="31" t="str">
        <f>IF(ISERROR(FIND("Copernicus",TR!F186)),"","Copernicus ")</f>
        <v xml:space="preserve">Copernicus </v>
      </c>
      <c r="I186" s="31" t="str">
        <f>IF(ISERROR(FIND("Deneb",TR!F186)),"","Deneb ")</f>
        <v xml:space="preserve">Deneb </v>
      </c>
      <c r="J186" s="37" t="str">
        <f t="shared" si="2"/>
        <v xml:space="preserve">Adara Copernicus Deneb </v>
      </c>
      <c r="K186" s="31" t="str">
        <f>IF(ISBLANK(TR!G186),"",TR!G186)</f>
        <v/>
      </c>
      <c r="L186" s="31" t="str">
        <f>IF(ISBLANK(TR!H186),"",TR!H186)</f>
        <v>FR-DSRSW-1352</v>
      </c>
      <c r="M186" s="30" t="str">
        <f>TR!J186</f>
        <v>Approved</v>
      </c>
      <c r="N186" s="31" t="str">
        <f>IF(OR(M186="Modified",M186="Cosmetic"),VLOOKUP(B186,PrevPFS!B$1:E$833,4,FALSE),"")</f>
        <v/>
      </c>
    </row>
    <row r="187" spans="1:14" ht="45" x14ac:dyDescent="0.25">
      <c r="A187" s="31" t="str">
        <f>IF(ISNONTEXT(TR!K187),"",TR!K187)</f>
        <v>TR-0-ROBUST-SES-1131</v>
      </c>
      <c r="B187" s="32" t="str">
        <f>TR!A187</f>
        <v>TR-DSRSW-1544</v>
      </c>
      <c r="C187" s="31" t="b">
        <f>ISERROR(FIND("-",TR!B187))</f>
        <v>0</v>
      </c>
      <c r="D187" s="31">
        <f>SetIndent(E187,(TR!C187-1)*2)</f>
        <v>6</v>
      </c>
      <c r="E187" s="38" t="str">
        <f>IF(ISERROR(FIND("-",TR!B187)),TR!B187&amp;" "&amp;TR!D187,TR!D187)</f>
        <v>The product SHALL authenticate the platform code including validating SHA-1 hash over the SignedContent as defined in PKCS#7 RFC 3369 as part of the download process.</v>
      </c>
      <c r="F187" s="31" t="str">
        <f>TR!E187</f>
        <v>Req</v>
      </c>
      <c r="G187" s="31" t="str">
        <f>IF(ISERROR(FIND("Adara",TR!F187)),"","Adara ")</f>
        <v xml:space="preserve">Adara </v>
      </c>
      <c r="H187" s="31" t="str">
        <f>IF(ISERROR(FIND("Copernicus",TR!F187)),"","Copernicus ")</f>
        <v xml:space="preserve">Copernicus </v>
      </c>
      <c r="I187" s="31" t="str">
        <f>IF(ISERROR(FIND("Deneb",TR!F187)),"","Deneb ")</f>
        <v xml:space="preserve">Deneb </v>
      </c>
      <c r="J187" s="37" t="str">
        <f t="shared" si="2"/>
        <v xml:space="preserve">Adara Copernicus Deneb </v>
      </c>
      <c r="K187" s="31" t="str">
        <f>IF(ISBLANK(TR!G187),"",TR!G187)</f>
        <v/>
      </c>
      <c r="L187" s="31" t="str">
        <f>IF(ISBLANK(TR!H187),"",TR!H187)</f>
        <v>FR-DSRSW-1357</v>
      </c>
      <c r="M187" s="30" t="str">
        <f>TR!J187</f>
        <v>Approved</v>
      </c>
      <c r="N187" s="31" t="str">
        <f>IF(OR(M187="Modified",M187="Cosmetic"),VLOOKUP(B187,PrevPFS!B$1:E$833,4,FALSE),"")</f>
        <v/>
      </c>
    </row>
    <row r="188" spans="1:14" ht="45" x14ac:dyDescent="0.25">
      <c r="A188" s="31" t="str">
        <f>IF(ISNONTEXT(TR!K188),"",TR!K188)</f>
        <v>TR-0-ROBUST-SES-1132</v>
      </c>
      <c r="B188" s="32" t="str">
        <f>TR!A188</f>
        <v>TR-DSRSW-1545</v>
      </c>
      <c r="C188" s="31" t="b">
        <f>ISERROR(FIND("-",TR!B188))</f>
        <v>0</v>
      </c>
      <c r="D188" s="31">
        <f>SetIndent(E188,(TR!C188-1)*2)</f>
        <v>6</v>
      </c>
      <c r="E188" s="38" t="str">
        <f>IF(ISERROR(FIND("-",TR!B188)),TR!B188&amp;" "&amp;TR!D188,TR!D188)</f>
        <v>The product SHALL authenticate the platform code including validating SHA-1 hash over the SignedContent as defined in PKCS#7 RFC 3369 every time that the platform code is loaded for execution.</v>
      </c>
      <c r="F188" s="31" t="str">
        <f>TR!E188</f>
        <v>Req</v>
      </c>
      <c r="G188" s="31" t="str">
        <f>IF(ISERROR(FIND("Adara",TR!F188)),"","Adara ")</f>
        <v xml:space="preserve">Adara </v>
      </c>
      <c r="H188" s="31" t="str">
        <f>IF(ISERROR(FIND("Copernicus",TR!F188)),"","Copernicus ")</f>
        <v xml:space="preserve">Copernicus </v>
      </c>
      <c r="I188" s="31" t="str">
        <f>IF(ISERROR(FIND("Deneb",TR!F188)),"","Deneb ")</f>
        <v xml:space="preserve">Deneb </v>
      </c>
      <c r="J188" s="37" t="str">
        <f t="shared" si="2"/>
        <v xml:space="preserve">Adara Copernicus Deneb </v>
      </c>
      <c r="K188" s="31" t="str">
        <f>IF(ISBLANK(TR!G188),"",TR!G188)</f>
        <v/>
      </c>
      <c r="L188" s="31" t="str">
        <f>IF(ISBLANK(TR!H188),"",TR!H188)</f>
        <v>FR-DSRSW-1357</v>
      </c>
      <c r="M188" s="30" t="str">
        <f>TR!J188</f>
        <v>Approved</v>
      </c>
      <c r="N188" s="31" t="str">
        <f>IF(OR(M188="Modified",M188="Cosmetic"),VLOOKUP(B188,PrevPFS!B$1:E$833,4,FALSE),"")</f>
        <v/>
      </c>
    </row>
    <row r="189" spans="1:14" ht="45" x14ac:dyDescent="0.25">
      <c r="A189" s="31" t="str">
        <f>IF(ISNONTEXT(TR!K189),"",TR!K189)</f>
        <v>TR-0-ROBUST-SES-1153</v>
      </c>
      <c r="B189" s="32" t="str">
        <f>TR!A189</f>
        <v>TR-DSRSW-1550</v>
      </c>
      <c r="C189" s="31" t="b">
        <f>ISERROR(FIND("-",TR!B189))</f>
        <v>0</v>
      </c>
      <c r="D189" s="31">
        <f>SetIndent(E189,(TR!C189-1)*2)</f>
        <v>6</v>
      </c>
      <c r="E189" s="38" t="str">
        <f>IF(ISERROR(FIND("-",TR!B189)),TR!B189&amp;" "&amp;TR!D189,TR!D189)</f>
        <v>The product SHALL be provisioned with Code Verification CA by platform download.</v>
      </c>
      <c r="F189" s="31" t="str">
        <f>TR!E189</f>
        <v>Req</v>
      </c>
      <c r="G189" s="31" t="str">
        <f>IF(ISERROR(FIND("Adara",TR!F189)),"","Adara ")</f>
        <v xml:space="preserve">Adara </v>
      </c>
      <c r="H189" s="31" t="str">
        <f>IF(ISERROR(FIND("Copernicus",TR!F189)),"","Copernicus ")</f>
        <v xml:space="preserve">Copernicus </v>
      </c>
      <c r="I189" s="31" t="str">
        <f>IF(ISERROR(FIND("Deneb",TR!F189)),"","Deneb ")</f>
        <v xml:space="preserve">Deneb </v>
      </c>
      <c r="J189" s="37" t="str">
        <f t="shared" si="2"/>
        <v xml:space="preserve">Adara Copernicus Deneb </v>
      </c>
      <c r="K189" s="31" t="str">
        <f>IF(ISBLANK(TR!G189),"",TR!G189)</f>
        <v/>
      </c>
      <c r="L189" s="31" t="str">
        <f>IF(ISBLANK(TR!H189),"",TR!H189)</f>
        <v>FR-DSRSW-1357</v>
      </c>
      <c r="M189" s="30" t="str">
        <f>TR!J189</f>
        <v>Approved</v>
      </c>
      <c r="N189" s="31" t="str">
        <f>IF(OR(M189="Modified",M189="Cosmetic"),VLOOKUP(B189,PrevPFS!B$1:E$833,4,FALSE),"")</f>
        <v/>
      </c>
    </row>
    <row r="190" spans="1:14" ht="45" x14ac:dyDescent="0.25">
      <c r="A190" s="31" t="str">
        <f>IF(ISNONTEXT(TR!K190),"",TR!K190)</f>
        <v>TR-0-ROBUST-SES-1154</v>
      </c>
      <c r="B190" s="32" t="str">
        <f>TR!A190</f>
        <v>TR-DSRSW-1551</v>
      </c>
      <c r="C190" s="31" t="b">
        <f>ISERROR(FIND("-",TR!B190))</f>
        <v>0</v>
      </c>
      <c r="D190" s="31">
        <f>SetIndent(E190,(TR!C190-1)*2)</f>
        <v>6</v>
      </c>
      <c r="E190" s="38" t="str">
        <f>IF(ISERROR(FIND("-",TR!B190)),TR!B190&amp;" "&amp;TR!D190,TR!D190)</f>
        <v xml:space="preserve">The product SHALL validate the PKCS#7 Platform Code Signature embedded in the platform download object. </v>
      </c>
      <c r="F190" s="31" t="str">
        <f>TR!E190</f>
        <v>Req</v>
      </c>
      <c r="G190" s="31" t="str">
        <f>IF(ISERROR(FIND("Adara",TR!F190)),"","Adara ")</f>
        <v xml:space="preserve">Adara </v>
      </c>
      <c r="H190" s="31" t="str">
        <f>IF(ISERROR(FIND("Copernicus",TR!F190)),"","Copernicus ")</f>
        <v xml:space="preserve">Copernicus </v>
      </c>
      <c r="I190" s="31" t="str">
        <f>IF(ISERROR(FIND("Deneb",TR!F190)),"","Deneb ")</f>
        <v xml:space="preserve">Deneb </v>
      </c>
      <c r="J190" s="37" t="str">
        <f t="shared" si="2"/>
        <v xml:space="preserve">Adara Copernicus Deneb </v>
      </c>
      <c r="K190" s="31" t="str">
        <f>IF(ISBLANK(TR!G190),"",TR!G190)</f>
        <v/>
      </c>
      <c r="L190" s="31" t="str">
        <f>IF(ISBLANK(TR!H190),"",TR!H190)</f>
        <v>FR-DSRSW-1357</v>
      </c>
      <c r="M190" s="30" t="str">
        <f>TR!J190</f>
        <v>Approved</v>
      </c>
      <c r="N190" s="31" t="str">
        <f>IF(OR(M190="Modified",M190="Cosmetic"),VLOOKUP(B190,PrevPFS!B$1:E$833,4,FALSE),"")</f>
        <v/>
      </c>
    </row>
    <row r="191" spans="1:14" ht="45" x14ac:dyDescent="0.25">
      <c r="A191" s="31" t="str">
        <f>IF(ISNONTEXT(TR!K191),"",TR!K191)</f>
        <v>TR-0-ROBUST-SES-1181</v>
      </c>
      <c r="B191" s="32" t="str">
        <f>TR!A191</f>
        <v>TR-DSRSW-1552</v>
      </c>
      <c r="C191" s="31" t="b">
        <f>ISERROR(FIND("-",TR!B191))</f>
        <v>0</v>
      </c>
      <c r="D191" s="31">
        <f>SetIndent(E191,(TR!C191-1)*2)</f>
        <v>6</v>
      </c>
      <c r="E191" s="38" t="str">
        <f>IF(ISERROR(FIND("-",TR!B191)),TR!B191&amp;" "&amp;TR!D191,TR!D191)</f>
        <v>The product shall validate the platform code CVC issuer signature using the CVC CA Public Key from the CVC CA certificate included in the PKCS#7 signature.</v>
      </c>
      <c r="F191" s="31" t="str">
        <f>TR!E191</f>
        <v>Req</v>
      </c>
      <c r="G191" s="31" t="str">
        <f>IF(ISERROR(FIND("Adara",TR!F191)),"","Adara ")</f>
        <v xml:space="preserve">Adara </v>
      </c>
      <c r="H191" s="31" t="str">
        <f>IF(ISERROR(FIND("Copernicus",TR!F191)),"","Copernicus ")</f>
        <v xml:space="preserve">Copernicus </v>
      </c>
      <c r="I191" s="31" t="str">
        <f>IF(ISERROR(FIND("Deneb",TR!F191)),"","Deneb ")</f>
        <v xml:space="preserve">Deneb </v>
      </c>
      <c r="J191" s="37" t="str">
        <f t="shared" si="2"/>
        <v xml:space="preserve">Adara Copernicus Deneb </v>
      </c>
      <c r="K191" s="31" t="str">
        <f>IF(ISBLANK(TR!G191),"",TR!G191)</f>
        <v/>
      </c>
      <c r="L191" s="31" t="str">
        <f>IF(ISBLANK(TR!H191),"",TR!H191)</f>
        <v>FR-DSRSW-1357</v>
      </c>
      <c r="M191" s="30" t="str">
        <f>TR!J191</f>
        <v>Approved</v>
      </c>
      <c r="N191" s="31" t="str">
        <f>IF(OR(M191="Modified",M191="Cosmetic"),VLOOKUP(B191,PrevPFS!B$1:E$833,4,FALSE),"")</f>
        <v/>
      </c>
    </row>
    <row r="192" spans="1:14" ht="45" x14ac:dyDescent="0.25">
      <c r="A192" s="31" t="str">
        <f>IF(ISNONTEXT(TR!K192),"",TR!K192)</f>
        <v>TR-0-ROBUST-SES-1180</v>
      </c>
      <c r="B192" s="32" t="str">
        <f>TR!A192</f>
        <v>TR-DSRSW-1553</v>
      </c>
      <c r="C192" s="31" t="b">
        <f>ISERROR(FIND("-",TR!B192))</f>
        <v>0</v>
      </c>
      <c r="D192" s="31">
        <f>SetIndent(E192,(TR!C192-1)*2)</f>
        <v>6</v>
      </c>
      <c r="E192" s="38" t="str">
        <f>IF(ISERROR(FIND("-",TR!B192)),TR!B192&amp;" "&amp;TR!D192,TR!D192)</f>
        <v>The product shall validate the platform code CVC CA issuer signature using the Motorola CVC Root Public Key held by the product.</v>
      </c>
      <c r="F192" s="31" t="str">
        <f>TR!E192</f>
        <v>Req</v>
      </c>
      <c r="G192" s="31" t="str">
        <f>IF(ISERROR(FIND("Adara",TR!F192)),"","Adara ")</f>
        <v xml:space="preserve">Adara </v>
      </c>
      <c r="H192" s="31" t="str">
        <f>IF(ISERROR(FIND("Copernicus",TR!F192)),"","Copernicus ")</f>
        <v xml:space="preserve">Copernicus </v>
      </c>
      <c r="I192" s="31" t="str">
        <f>IF(ISERROR(FIND("Deneb",TR!F192)),"","Deneb ")</f>
        <v xml:space="preserve">Deneb </v>
      </c>
      <c r="J192" s="37" t="str">
        <f t="shared" si="2"/>
        <v xml:space="preserve">Adara Copernicus Deneb </v>
      </c>
      <c r="K192" s="31" t="str">
        <f>IF(ISBLANK(TR!G192),"",TR!G192)</f>
        <v/>
      </c>
      <c r="L192" s="31" t="str">
        <f>IF(ISBLANK(TR!H192),"",TR!H192)</f>
        <v>FR-DSRSW-1357</v>
      </c>
      <c r="M192" s="30" t="str">
        <f>TR!J192</f>
        <v>Approved</v>
      </c>
      <c r="N192" s="31" t="str">
        <f>IF(OR(M192="Modified",M192="Cosmetic"),VLOOKUP(B192,PrevPFS!B$1:E$833,4,FALSE),"")</f>
        <v/>
      </c>
    </row>
    <row r="193" spans="1:14" ht="60" x14ac:dyDescent="0.25">
      <c r="A193" s="31" t="str">
        <f>IF(ISNONTEXT(TR!K193),"",TR!K193)</f>
        <v>TR-0-ROBUST-SES-1179</v>
      </c>
      <c r="B193" s="32" t="str">
        <f>TR!A193</f>
        <v>TR-DSRSW-1554</v>
      </c>
      <c r="C193" s="31" t="b">
        <f>ISERROR(FIND("-",TR!B193))</f>
        <v>0</v>
      </c>
      <c r="D193" s="31">
        <f>SetIndent(E193,(TR!C193-1)*2)</f>
        <v>6</v>
      </c>
      <c r="E193" s="38" t="str">
        <f>IF(ISERROR(FIND("-",TR!B193)),TR!B193&amp;" "&amp;TR!D193,TR!D193)</f>
        <v>The product SHALL validate that the codeAccessStart (synonymous with the PKCS attribute signingTime) parameter in the downloaded platform code image is greater than or equal to the codeAccessStart parameter for the currently executing platform code image at platform download.</v>
      </c>
      <c r="F193" s="31" t="str">
        <f>TR!E193</f>
        <v>Req</v>
      </c>
      <c r="G193" s="31" t="str">
        <f>IF(ISERROR(FIND("Adara",TR!F193)),"","Adara ")</f>
        <v xml:space="preserve">Adara </v>
      </c>
      <c r="H193" s="31" t="str">
        <f>IF(ISERROR(FIND("Copernicus",TR!F193)),"","Copernicus ")</f>
        <v xml:space="preserve">Copernicus </v>
      </c>
      <c r="I193" s="31" t="str">
        <f>IF(ISERROR(FIND("Deneb",TR!F193)),"","Deneb ")</f>
        <v xml:space="preserve">Deneb </v>
      </c>
      <c r="J193" s="37" t="str">
        <f t="shared" si="2"/>
        <v xml:space="preserve">Adara Copernicus Deneb </v>
      </c>
      <c r="K193" s="31" t="str">
        <f>IF(ISBLANK(TR!G193),"",TR!G193)</f>
        <v/>
      </c>
      <c r="L193" s="31" t="str">
        <f>IF(ISBLANK(TR!H193),"",TR!H193)</f>
        <v>FR-DSRSW-1357</v>
      </c>
      <c r="M193" s="30" t="str">
        <f>TR!J193</f>
        <v>Approved</v>
      </c>
      <c r="N193" s="31" t="str">
        <f>IF(OR(M193="Modified",M193="Cosmetic"),VLOOKUP(B193,PrevPFS!B$1:E$833,4,FALSE),"")</f>
        <v/>
      </c>
    </row>
    <row r="194" spans="1:14" ht="45" x14ac:dyDescent="0.25">
      <c r="A194" s="31" t="str">
        <f>IF(ISNONTEXT(TR!K194),"",TR!K194)</f>
        <v>TR-0-ROBUST-SES-1178</v>
      </c>
      <c r="B194" s="32" t="str">
        <f>TR!A194</f>
        <v>TR-DSRSW-1555</v>
      </c>
      <c r="C194" s="31" t="b">
        <f>ISERROR(FIND("-",TR!B194))</f>
        <v>0</v>
      </c>
      <c r="D194" s="31">
        <f>SetIndent(E194,(TR!C194-1)*2)</f>
        <v>6</v>
      </c>
      <c r="E194" s="38" t="str">
        <f>IF(ISERROR(FIND("-",TR!B194)),TR!B194&amp;" "&amp;TR!D194,TR!D194)</f>
        <v>The product SHALL save the downloaded PKCS#7 platform signatures along with the downloaded platform code image after successfully evaluating all required platform code signature parameters.</v>
      </c>
      <c r="F194" s="31" t="str">
        <f>TR!E194</f>
        <v>Req</v>
      </c>
      <c r="G194" s="31" t="str">
        <f>IF(ISERROR(FIND("Adara",TR!F194)),"","Adara ")</f>
        <v xml:space="preserve">Adara </v>
      </c>
      <c r="H194" s="31" t="str">
        <f>IF(ISERROR(FIND("Copernicus",TR!F194)),"","Copernicus ")</f>
        <v xml:space="preserve">Copernicus </v>
      </c>
      <c r="I194" s="31" t="str">
        <f>IF(ISERROR(FIND("Deneb",TR!F194)),"","Deneb ")</f>
        <v xml:space="preserve">Deneb </v>
      </c>
      <c r="J194" s="37" t="str">
        <f t="shared" si="2"/>
        <v xml:space="preserve">Adara Copernicus Deneb </v>
      </c>
      <c r="K194" s="31" t="str">
        <f>IF(ISBLANK(TR!G194),"",TR!G194)</f>
        <v/>
      </c>
      <c r="L194" s="31" t="str">
        <f>IF(ISBLANK(TR!H194),"",TR!H194)</f>
        <v>FR-DSRSW-1357</v>
      </c>
      <c r="M194" s="30" t="str">
        <f>TR!J194</f>
        <v>Approved</v>
      </c>
      <c r="N194" s="31" t="str">
        <f>IF(OR(M194="Modified",M194="Cosmetic"),VLOOKUP(B194,PrevPFS!B$1:E$833,4,FALSE),"")</f>
        <v/>
      </c>
    </row>
    <row r="195" spans="1:14" ht="45" x14ac:dyDescent="0.25">
      <c r="A195" s="31" t="str">
        <f>IF(ISNONTEXT(TR!K195),"",TR!K195)</f>
        <v>TR-0-ROBUST-SES-1155</v>
      </c>
      <c r="B195" s="32" t="str">
        <f>TR!A195</f>
        <v>TR-DSRSW-1556</v>
      </c>
      <c r="C195" s="31" t="b">
        <f>ISERROR(FIND("-",TR!B195))</f>
        <v>0</v>
      </c>
      <c r="D195" s="31">
        <f>SetIndent(E195,(TR!C195-1)*2)</f>
        <v>6</v>
      </c>
      <c r="E195" s="38" t="str">
        <f>IF(ISERROR(FIND("-",TR!B195)),TR!B195&amp;" "&amp;TR!D195,TR!D195)</f>
        <v>The product shall discard the platform download object if the validation of the Platform Code Signature embedded in the platform download object fails.</v>
      </c>
      <c r="F195" s="31" t="str">
        <f>TR!E195</f>
        <v>Req</v>
      </c>
      <c r="G195" s="31" t="str">
        <f>IF(ISERROR(FIND("Adara",TR!F195)),"","Adara ")</f>
        <v xml:space="preserve">Adara </v>
      </c>
      <c r="H195" s="31" t="str">
        <f>IF(ISERROR(FIND("Copernicus",TR!F195)),"","Copernicus ")</f>
        <v xml:space="preserve">Copernicus </v>
      </c>
      <c r="I195" s="31" t="str">
        <f>IF(ISERROR(FIND("Deneb",TR!F195)),"","Deneb ")</f>
        <v xml:space="preserve">Deneb </v>
      </c>
      <c r="J195" s="37" t="str">
        <f t="shared" ref="J195:J258" si="3">G195&amp;H195&amp;I195</f>
        <v xml:space="preserve">Adara Copernicus Deneb </v>
      </c>
      <c r="K195" s="31" t="str">
        <f>IF(ISBLANK(TR!G195),"",TR!G195)</f>
        <v/>
      </c>
      <c r="L195" s="31" t="str">
        <f>IF(ISBLANK(TR!H195),"",TR!H195)</f>
        <v>FR-DSRSW-1357</v>
      </c>
      <c r="M195" s="30" t="str">
        <f>TR!J195</f>
        <v>Approved</v>
      </c>
      <c r="N195" s="31" t="str">
        <f>IF(OR(M195="Modified",M195="Cosmetic"),VLOOKUP(B195,PrevPFS!B$1:E$833,4,FALSE),"")</f>
        <v/>
      </c>
    </row>
    <row r="196" spans="1:14" ht="45" x14ac:dyDescent="0.25">
      <c r="A196" s="31" t="str">
        <f>IF(ISNONTEXT(TR!K196),"",TR!K196)</f>
        <v/>
      </c>
      <c r="B196" s="32" t="str">
        <f>TR!A196</f>
        <v>TR-DSRSW-2428</v>
      </c>
      <c r="C196" s="31" t="b">
        <f>ISERROR(FIND("-",TR!B196))</f>
        <v>1</v>
      </c>
      <c r="D196" s="31">
        <f>SetIndent(E196,(TR!C196-1)*2)</f>
        <v>4</v>
      </c>
      <c r="E196" s="35" t="str">
        <f>IF(ISERROR(FIND("-",TR!B196)),TR!B196&amp;" "&amp;TR!D196,TR!D196)</f>
        <v>11.2.3 Application Code Authentication</v>
      </c>
      <c r="F196" s="31" t="str">
        <f>TR!E196</f>
        <v>Hdr</v>
      </c>
      <c r="G196" s="31" t="str">
        <f>IF(ISERROR(FIND("Adara",TR!F196)),"","Adara ")</f>
        <v xml:space="preserve">Adara </v>
      </c>
      <c r="H196" s="31" t="str">
        <f>IF(ISERROR(FIND("Copernicus",TR!F196)),"","Copernicus ")</f>
        <v xml:space="preserve">Copernicus </v>
      </c>
      <c r="I196" s="31" t="str">
        <f>IF(ISERROR(FIND("Deneb",TR!F196)),"","Deneb ")</f>
        <v xml:space="preserve">Deneb </v>
      </c>
      <c r="J196" s="37" t="str">
        <f t="shared" si="3"/>
        <v xml:space="preserve">Adara Copernicus Deneb </v>
      </c>
      <c r="K196" s="31" t="str">
        <f>IF(ISBLANK(TR!G196),"",TR!G196)</f>
        <v/>
      </c>
      <c r="L196" s="31" t="str">
        <f>IF(ISBLANK(TR!H196),"",TR!H196)</f>
        <v>FR-DSRSW-1352</v>
      </c>
      <c r="M196" s="30" t="str">
        <f>TR!J196</f>
        <v>Approved</v>
      </c>
      <c r="N196" s="31" t="str">
        <f>IF(OR(M196="Modified",M196="Cosmetic"),VLOOKUP(B196,PrevPFS!B$1:E$833,4,FALSE),"")</f>
        <v/>
      </c>
    </row>
    <row r="197" spans="1:14" ht="45" x14ac:dyDescent="0.25">
      <c r="A197" s="31" t="str">
        <f>IF(ISNONTEXT(TR!K197),"",TR!K197)</f>
        <v>TR-0-ROBUST-SES-1136</v>
      </c>
      <c r="B197" s="32" t="str">
        <f>TR!A197</f>
        <v>TR-DSRSW-1548</v>
      </c>
      <c r="C197" s="31" t="b">
        <f>ISERROR(FIND("-",TR!B197))</f>
        <v>0</v>
      </c>
      <c r="D197" s="31">
        <f>SetIndent(E197,(TR!C197-1)*2)</f>
        <v>6</v>
      </c>
      <c r="E197" s="38" t="str">
        <f>IF(ISERROR(FIND("-",TR!B197)),TR!B197&amp;" "&amp;TR!D197,TR!D197)</f>
        <v>The product SHALL authenticate each application code including validating SHA-1 hash over the SignedContent as defined in PKCS#7 RFC 3369 as part of the download process.</v>
      </c>
      <c r="F197" s="31" t="str">
        <f>TR!E197</f>
        <v>Req</v>
      </c>
      <c r="G197" s="31" t="str">
        <f>IF(ISERROR(FIND("Adara",TR!F197)),"","Adara ")</f>
        <v xml:space="preserve">Adara </v>
      </c>
      <c r="H197" s="31" t="str">
        <f>IF(ISERROR(FIND("Copernicus",TR!F197)),"","Copernicus ")</f>
        <v xml:space="preserve">Copernicus </v>
      </c>
      <c r="I197" s="31" t="str">
        <f>IF(ISERROR(FIND("Deneb",TR!F197)),"","Deneb ")</f>
        <v xml:space="preserve">Deneb </v>
      </c>
      <c r="J197" s="37" t="str">
        <f t="shared" si="3"/>
        <v xml:space="preserve">Adara Copernicus Deneb </v>
      </c>
      <c r="K197" s="31" t="str">
        <f>IF(ISBLANK(TR!G197),"",TR!G197)</f>
        <v/>
      </c>
      <c r="L197" s="31" t="str">
        <f>IF(ISBLANK(TR!H197),"",TR!H197)</f>
        <v>FR-DSRSW-1357</v>
      </c>
      <c r="M197" s="30" t="str">
        <f>TR!J197</f>
        <v>Approved</v>
      </c>
      <c r="N197" s="31" t="str">
        <f>IF(OR(M197="Modified",M197="Cosmetic"),VLOOKUP(B197,PrevPFS!B$1:E$833,4,FALSE),"")</f>
        <v/>
      </c>
    </row>
    <row r="198" spans="1:14" ht="45" x14ac:dyDescent="0.25">
      <c r="A198" s="31" t="str">
        <f>IF(ISNONTEXT(TR!K198),"",TR!K198)</f>
        <v>TR-0-ROBUST-SES-1137</v>
      </c>
      <c r="B198" s="32" t="str">
        <f>TR!A198</f>
        <v>TR-DSRSW-1549</v>
      </c>
      <c r="C198" s="31" t="b">
        <f>ISERROR(FIND("-",TR!B198))</f>
        <v>0</v>
      </c>
      <c r="D198" s="31">
        <f>SetIndent(E198,(TR!C198-1)*2)</f>
        <v>6</v>
      </c>
      <c r="E198" s="38" t="str">
        <f>IF(ISERROR(FIND("-",TR!B198)),TR!B198&amp;" "&amp;TR!D198,TR!D198)</f>
        <v>The product SHALL authenticate the application code including validating SHA-1 hash over the SignedContent as defined in PKCS#7 RFC 3369 each time that the application is loaded for execution.</v>
      </c>
      <c r="F198" s="31" t="str">
        <f>TR!E198</f>
        <v>Req</v>
      </c>
      <c r="G198" s="31" t="str">
        <f>IF(ISERROR(FIND("Adara",TR!F198)),"","Adara ")</f>
        <v xml:space="preserve">Adara </v>
      </c>
      <c r="H198" s="31" t="str">
        <f>IF(ISERROR(FIND("Copernicus",TR!F198)),"","Copernicus ")</f>
        <v xml:space="preserve">Copernicus </v>
      </c>
      <c r="I198" s="31" t="str">
        <f>IF(ISERROR(FIND("Deneb",TR!F198)),"","Deneb ")</f>
        <v xml:space="preserve">Deneb </v>
      </c>
      <c r="J198" s="37" t="str">
        <f t="shared" si="3"/>
        <v xml:space="preserve">Adara Copernicus Deneb </v>
      </c>
      <c r="K198" s="31" t="str">
        <f>IF(ISBLANK(TR!G198),"",TR!G198)</f>
        <v/>
      </c>
      <c r="L198" s="31" t="str">
        <f>IF(ISBLANK(TR!H198),"",TR!H198)</f>
        <v>FR-DSRSW-1357</v>
      </c>
      <c r="M198" s="30" t="str">
        <f>TR!J198</f>
        <v>Approved</v>
      </c>
      <c r="N198" s="31" t="str">
        <f>IF(OR(M198="Modified",M198="Cosmetic"),VLOOKUP(B198,PrevPFS!B$1:E$833,4,FALSE),"")</f>
        <v/>
      </c>
    </row>
    <row r="199" spans="1:14" ht="45" x14ac:dyDescent="0.25">
      <c r="A199" s="31" t="str">
        <f>IF(ISNONTEXT(TR!K199),"",TR!K199)</f>
        <v>TR-0-ROBUST-SES-1175</v>
      </c>
      <c r="B199" s="32" t="str">
        <f>TR!A199</f>
        <v>TR-DSRSW-1546</v>
      </c>
      <c r="C199" s="31" t="b">
        <f>ISERROR(FIND("-",TR!B199))</f>
        <v>0</v>
      </c>
      <c r="D199" s="31">
        <f>SetIndent(E199,(TR!C199-1)*2)</f>
        <v>6</v>
      </c>
      <c r="E199" s="38" t="str">
        <f>IF(ISERROR(FIND("-",TR!B199)),TR!B199&amp;" "&amp;TR!D199,TR!D199)</f>
        <v>The product shall validate the application code CVC issuer signature using the CVC CA Public Key from the CVC CA certificate included in the PKCS#7 signature.</v>
      </c>
      <c r="F199" s="31" t="str">
        <f>TR!E199</f>
        <v>Req</v>
      </c>
      <c r="G199" s="31" t="str">
        <f>IF(ISERROR(FIND("Adara",TR!F199)),"","Adara ")</f>
        <v xml:space="preserve">Adara </v>
      </c>
      <c r="H199" s="31" t="str">
        <f>IF(ISERROR(FIND("Copernicus",TR!F199)),"","Copernicus ")</f>
        <v xml:space="preserve">Copernicus </v>
      </c>
      <c r="I199" s="31" t="str">
        <f>IF(ISERROR(FIND("Deneb",TR!F199)),"","Deneb ")</f>
        <v xml:space="preserve">Deneb </v>
      </c>
      <c r="J199" s="37" t="str">
        <f t="shared" si="3"/>
        <v xml:space="preserve">Adara Copernicus Deneb </v>
      </c>
      <c r="K199" s="31" t="str">
        <f>IF(ISBLANK(TR!G199),"",TR!G199)</f>
        <v/>
      </c>
      <c r="L199" s="31" t="str">
        <f>IF(ISBLANK(TR!H199),"",TR!H199)</f>
        <v>FR-DSRSW-1357</v>
      </c>
      <c r="M199" s="30" t="str">
        <f>TR!J199</f>
        <v>Approved</v>
      </c>
      <c r="N199" s="31" t="str">
        <f>IF(OR(M199="Modified",M199="Cosmetic"),VLOOKUP(B199,PrevPFS!B$1:E$833,4,FALSE),"")</f>
        <v/>
      </c>
    </row>
    <row r="200" spans="1:14" ht="45" x14ac:dyDescent="0.25">
      <c r="A200" s="31" t="str">
        <f>IF(ISNONTEXT(TR!K200),"",TR!K200)</f>
        <v>TR-0-ROBUST-SES-1176</v>
      </c>
      <c r="B200" s="32" t="str">
        <f>TR!A200</f>
        <v>TR-DSRSW-1547</v>
      </c>
      <c r="C200" s="31" t="b">
        <f>ISERROR(FIND("-",TR!B200))</f>
        <v>0</v>
      </c>
      <c r="D200" s="31">
        <f>SetIndent(E200,(TR!C200-1)*2)</f>
        <v>6</v>
      </c>
      <c r="E200" s="38" t="str">
        <f>IF(ISERROR(FIND("-",TR!B200)),TR!B200&amp;" "&amp;TR!D200,TR!D200)</f>
        <v>The product shall validate the application code CVC CA issuer signature using the CVC Root Public Key held by the product.</v>
      </c>
      <c r="F200" s="31" t="str">
        <f>TR!E200</f>
        <v>Req</v>
      </c>
      <c r="G200" s="31" t="str">
        <f>IF(ISERROR(FIND("Adara",TR!F200)),"","Adara ")</f>
        <v xml:space="preserve">Adara </v>
      </c>
      <c r="H200" s="31" t="str">
        <f>IF(ISERROR(FIND("Copernicus",TR!F200)),"","Copernicus ")</f>
        <v xml:space="preserve">Copernicus </v>
      </c>
      <c r="I200" s="31" t="str">
        <f>IF(ISERROR(FIND("Deneb",TR!F200)),"","Deneb ")</f>
        <v xml:space="preserve">Deneb </v>
      </c>
      <c r="J200" s="37" t="str">
        <f t="shared" si="3"/>
        <v xml:space="preserve">Adara Copernicus Deneb </v>
      </c>
      <c r="K200" s="31" t="str">
        <f>IF(ISBLANK(TR!G200),"",TR!G200)</f>
        <v/>
      </c>
      <c r="L200" s="31" t="str">
        <f>IF(ISBLANK(TR!H200),"",TR!H200)</f>
        <v>FR-DSRSW-1357</v>
      </c>
      <c r="M200" s="30" t="str">
        <f>TR!J200</f>
        <v>Approved</v>
      </c>
      <c r="N200" s="31" t="str">
        <f>IF(OR(M200="Modified",M200="Cosmetic"),VLOOKUP(B200,PrevPFS!B$1:E$833,4,FALSE),"")</f>
        <v/>
      </c>
    </row>
    <row r="201" spans="1:14" ht="45" x14ac:dyDescent="0.25">
      <c r="A201" s="31" t="str">
        <f>IF(ISNONTEXT(TR!K201),"",TR!K201)</f>
        <v>TR-0-ROBUST-SES-1157</v>
      </c>
      <c r="B201" s="32" t="str">
        <f>TR!A201</f>
        <v>TR-DSRSW-1557</v>
      </c>
      <c r="C201" s="31" t="b">
        <f>ISERROR(FIND("-",TR!B201))</f>
        <v>0</v>
      </c>
      <c r="D201" s="31">
        <f>SetIndent(E201,(TR!C201-1)*2)</f>
        <v>6</v>
      </c>
      <c r="E201" s="38" t="str">
        <f>IF(ISERROR(FIND("-",TR!B201)),TR!B201&amp;" "&amp;TR!D201,TR!D201)</f>
        <v>The product shall discard an application download object if the validation of the Platform Code Signature embedded in the application download object fails.</v>
      </c>
      <c r="F201" s="31" t="str">
        <f>TR!E201</f>
        <v>Req</v>
      </c>
      <c r="G201" s="31" t="str">
        <f>IF(ISERROR(FIND("Adara",TR!F201)),"","Adara ")</f>
        <v xml:space="preserve">Adara </v>
      </c>
      <c r="H201" s="31" t="str">
        <f>IF(ISERROR(FIND("Copernicus",TR!F201)),"","Copernicus ")</f>
        <v xml:space="preserve">Copernicus </v>
      </c>
      <c r="I201" s="31" t="str">
        <f>IF(ISERROR(FIND("Deneb",TR!F201)),"","Deneb ")</f>
        <v xml:space="preserve">Deneb </v>
      </c>
      <c r="J201" s="37" t="str">
        <f t="shared" si="3"/>
        <v xml:space="preserve">Adara Copernicus Deneb </v>
      </c>
      <c r="K201" s="31" t="str">
        <f>IF(ISBLANK(TR!G201),"",TR!G201)</f>
        <v/>
      </c>
      <c r="L201" s="31" t="str">
        <f>IF(ISBLANK(TR!H201),"",TR!H201)</f>
        <v>FR-DSRSW-1357</v>
      </c>
      <c r="M201" s="30" t="str">
        <f>TR!J201</f>
        <v>Approved</v>
      </c>
      <c r="N201" s="31" t="str">
        <f>IF(OR(M201="Modified",M201="Cosmetic"),VLOOKUP(B201,PrevPFS!B$1:E$833,4,FALSE),"")</f>
        <v/>
      </c>
    </row>
    <row r="202" spans="1:14" ht="45" x14ac:dyDescent="0.25">
      <c r="A202" s="31" t="str">
        <f>IF(ISNONTEXT(TR!K202),"",TR!K202)</f>
        <v/>
      </c>
      <c r="B202" s="32" t="str">
        <f>TR!A202</f>
        <v>TR-DSRSW-2431</v>
      </c>
      <c r="C202" s="31" t="b">
        <f>ISERROR(FIND("-",TR!B202))</f>
        <v>1</v>
      </c>
      <c r="D202" s="31">
        <f>SetIndent(E202,(TR!C202-1)*2)</f>
        <v>4</v>
      </c>
      <c r="E202" s="35" t="str">
        <f>IF(ISERROR(FIND("-",TR!B202)),TR!B202&amp;" "&amp;TR!D202,TR!D202)</f>
        <v>11.2.4 Boot Code Authentication</v>
      </c>
      <c r="F202" s="31" t="str">
        <f>TR!E202</f>
        <v>Hdr</v>
      </c>
      <c r="G202" s="31" t="str">
        <f>IF(ISERROR(FIND("Adara",TR!F202)),"","Adara ")</f>
        <v xml:space="preserve">Adara </v>
      </c>
      <c r="H202" s="31" t="str">
        <f>IF(ISERROR(FIND("Copernicus",TR!F202)),"","Copernicus ")</f>
        <v xml:space="preserve">Copernicus </v>
      </c>
      <c r="I202" s="31" t="str">
        <f>IF(ISERROR(FIND("Deneb",TR!F202)),"","Deneb ")</f>
        <v xml:space="preserve">Deneb </v>
      </c>
      <c r="J202" s="37" t="str">
        <f t="shared" si="3"/>
        <v xml:space="preserve">Adara Copernicus Deneb </v>
      </c>
      <c r="K202" s="31" t="str">
        <f>IF(ISBLANK(TR!G202),"",TR!G202)</f>
        <v/>
      </c>
      <c r="L202" s="31" t="str">
        <f>IF(ISBLANK(TR!H202),"",TR!H202)</f>
        <v>FR-DSRSW-1352</v>
      </c>
      <c r="M202" s="30" t="str">
        <f>TR!J202</f>
        <v>Approved</v>
      </c>
      <c r="N202" s="31" t="str">
        <f>IF(OR(M202="Modified",M202="Cosmetic"),VLOOKUP(B202,PrevPFS!B$1:E$833,4,FALSE),"")</f>
        <v/>
      </c>
    </row>
    <row r="203" spans="1:14" ht="45" x14ac:dyDescent="0.25">
      <c r="A203" s="31" t="str">
        <f>IF(ISNONTEXT(TR!K203),"",TR!K203)</f>
        <v>TR-0-ROBUST-SES-1129</v>
      </c>
      <c r="B203" s="32" t="str">
        <f>TR!A203</f>
        <v>TR-DSRSW-1457</v>
      </c>
      <c r="C203" s="31" t="b">
        <f>ISERROR(FIND("-",TR!B203))</f>
        <v>0</v>
      </c>
      <c r="D203" s="31">
        <f>SetIndent(E203,(TR!C203-1)*2)</f>
        <v>6</v>
      </c>
      <c r="E203" s="38" t="str">
        <f>IF(ISERROR(FIND("-",TR!B203)),TR!B203&amp;" "&amp;TR!D203,TR!D203)</f>
        <v>The product SHALL use the RSA public key along with the chip vendor's ROM code to validate the boot code.</v>
      </c>
      <c r="F203" s="31" t="str">
        <f>TR!E203</f>
        <v>Req</v>
      </c>
      <c r="G203" s="31" t="str">
        <f>IF(ISERROR(FIND("Adara",TR!F203)),"","Adara ")</f>
        <v xml:space="preserve">Adara </v>
      </c>
      <c r="H203" s="31" t="str">
        <f>IF(ISERROR(FIND("Copernicus",TR!F203)),"","Copernicus ")</f>
        <v xml:space="preserve">Copernicus </v>
      </c>
      <c r="I203" s="31" t="str">
        <f>IF(ISERROR(FIND("Deneb",TR!F203)),"","Deneb ")</f>
        <v xml:space="preserve">Deneb </v>
      </c>
      <c r="J203" s="37" t="str">
        <f t="shared" si="3"/>
        <v xml:space="preserve">Adara Copernicus Deneb </v>
      </c>
      <c r="K203" s="31" t="str">
        <f>IF(ISBLANK(TR!G203),"",TR!G203)</f>
        <v/>
      </c>
      <c r="L203" s="31" t="str">
        <f>IF(ISBLANK(TR!H203),"",TR!H203)</f>
        <v>FR-DSRSW-1347</v>
      </c>
      <c r="M203" s="30" t="str">
        <f>TR!J203</f>
        <v>Approved</v>
      </c>
      <c r="N203" s="31" t="str">
        <f>IF(OR(M203="Modified",M203="Cosmetic"),VLOOKUP(B203,PrevPFS!B$1:E$833,4,FALSE),"")</f>
        <v/>
      </c>
    </row>
    <row r="204" spans="1:14" ht="45" x14ac:dyDescent="0.25">
      <c r="A204" s="31" t="str">
        <f>IF(ISNONTEXT(TR!K204),"",TR!K204)</f>
        <v>TR-0-ROBUST-SES-1162</v>
      </c>
      <c r="B204" s="32" t="str">
        <f>TR!A204</f>
        <v>TR-DSRSW-1458</v>
      </c>
      <c r="C204" s="31" t="b">
        <f>ISERROR(FIND("-",TR!B204))</f>
        <v>0</v>
      </c>
      <c r="D204" s="31">
        <f>SetIndent(E204,(TR!C204-1)*2)</f>
        <v>6</v>
      </c>
      <c r="E204" s="38" t="str">
        <f>IF(ISERROR(FIND("-",TR!B204)),TR!B204&amp;" "&amp;TR!D204,TR!D204)</f>
        <v>The product SHALL authenticate Boot Code each time that the product boots up.</v>
      </c>
      <c r="F204" s="31" t="str">
        <f>TR!E204</f>
        <v>Req</v>
      </c>
      <c r="G204" s="31" t="str">
        <f>IF(ISERROR(FIND("Adara",TR!F204)),"","Adara ")</f>
        <v xml:space="preserve">Adara </v>
      </c>
      <c r="H204" s="31" t="str">
        <f>IF(ISERROR(FIND("Copernicus",TR!F204)),"","Copernicus ")</f>
        <v xml:space="preserve">Copernicus </v>
      </c>
      <c r="I204" s="31" t="str">
        <f>IF(ISERROR(FIND("Deneb",TR!F204)),"","Deneb ")</f>
        <v xml:space="preserve">Deneb </v>
      </c>
      <c r="J204" s="37" t="str">
        <f t="shared" si="3"/>
        <v xml:space="preserve">Adara Copernicus Deneb </v>
      </c>
      <c r="K204" s="31" t="str">
        <f>IF(ISBLANK(TR!G204),"",TR!G204)</f>
        <v/>
      </c>
      <c r="L204" s="31" t="str">
        <f>IF(ISBLANK(TR!H204),"",TR!H204)</f>
        <v>FR-DSRSW-1347</v>
      </c>
      <c r="M204" s="30" t="str">
        <f>TR!J204</f>
        <v>Approved</v>
      </c>
      <c r="N204" s="31" t="str">
        <f>IF(OR(M204="Modified",M204="Cosmetic"),VLOOKUP(B204,PrevPFS!B$1:E$833,4,FALSE),"")</f>
        <v/>
      </c>
    </row>
    <row r="205" spans="1:14" ht="45" x14ac:dyDescent="0.25">
      <c r="A205" s="31" t="str">
        <f>IF(ISNONTEXT(TR!K205),"",TR!K205)</f>
        <v/>
      </c>
      <c r="B205" s="32" t="str">
        <f>TR!A205</f>
        <v>TR-DSRSW-2212</v>
      </c>
      <c r="C205" s="31" t="b">
        <f>ISERROR(FIND("-",TR!B205))</f>
        <v>1</v>
      </c>
      <c r="D205" s="31">
        <f>SetIndent(E205,(TR!C205-1)*2)</f>
        <v>2</v>
      </c>
      <c r="E205" s="34" t="str">
        <f>IF(ISERROR(FIND("-",TR!B205)),TR!B205&amp;" "&amp;TR!D205,TR!D205)</f>
        <v>11.3 Internet Security</v>
      </c>
      <c r="F205" s="31" t="str">
        <f>TR!E205</f>
        <v>Hdr</v>
      </c>
      <c r="G205" s="31" t="str">
        <f>IF(ISERROR(FIND("Adara",TR!F205)),"","Adara ")</f>
        <v xml:space="preserve">Adara </v>
      </c>
      <c r="H205" s="31" t="str">
        <f>IF(ISERROR(FIND("Copernicus",TR!F205)),"","Copernicus ")</f>
        <v xml:space="preserve">Copernicus </v>
      </c>
      <c r="I205" s="31" t="str">
        <f>IF(ISERROR(FIND("Deneb",TR!F205)),"","Deneb ")</f>
        <v xml:space="preserve">Deneb </v>
      </c>
      <c r="J205" s="37" t="str">
        <f t="shared" si="3"/>
        <v xml:space="preserve">Adara Copernicus Deneb </v>
      </c>
      <c r="K205" s="31" t="str">
        <f>IF(ISBLANK(TR!G205),"",TR!G205)</f>
        <v/>
      </c>
      <c r="L205" s="31" t="str">
        <f>IF(ISBLANK(TR!H205),"",TR!H205)</f>
        <v>FR-DSRSW-1348</v>
      </c>
      <c r="M205" s="30" t="str">
        <f>TR!J205</f>
        <v>Approved</v>
      </c>
      <c r="N205" s="31" t="str">
        <f>IF(OR(M205="Modified",M205="Cosmetic"),VLOOKUP(B205,PrevPFS!B$1:E$833,4,FALSE),"")</f>
        <v/>
      </c>
    </row>
    <row r="206" spans="1:14" ht="45" x14ac:dyDescent="0.25">
      <c r="A206" s="31" t="str">
        <f>IF(ISNONTEXT(TR!K206),"",TR!K206)</f>
        <v/>
      </c>
      <c r="B206" s="32" t="str">
        <f>TR!A206</f>
        <v>TR-DSRSW-2373</v>
      </c>
      <c r="C206" s="31" t="b">
        <f>ISERROR(FIND("-",TR!B206))</f>
        <v>1</v>
      </c>
      <c r="D206" s="31">
        <f>SetIndent(E206,(TR!C206-1)*2)</f>
        <v>4</v>
      </c>
      <c r="E206" s="35" t="str">
        <f>IF(ISERROR(FIND("-",TR!B206)),TR!B206&amp;" "&amp;TR!D206,TR!D206)</f>
        <v>11.3.1 Close Sockets</v>
      </c>
      <c r="F206" s="31" t="str">
        <f>TR!E206</f>
        <v>Hdr</v>
      </c>
      <c r="G206" s="31" t="str">
        <f>IF(ISERROR(FIND("Adara",TR!F206)),"","Adara ")</f>
        <v xml:space="preserve">Adara </v>
      </c>
      <c r="H206" s="31" t="str">
        <f>IF(ISERROR(FIND("Copernicus",TR!F206)),"","Copernicus ")</f>
        <v xml:space="preserve">Copernicus </v>
      </c>
      <c r="I206" s="31" t="str">
        <f>IF(ISERROR(FIND("Deneb",TR!F206)),"","Deneb ")</f>
        <v xml:space="preserve">Deneb </v>
      </c>
      <c r="J206" s="37" t="str">
        <f t="shared" si="3"/>
        <v xml:space="preserve">Adara Copernicus Deneb </v>
      </c>
      <c r="K206" s="31" t="str">
        <f>IF(ISBLANK(TR!G206),"",TR!G206)</f>
        <v/>
      </c>
      <c r="L206" s="31" t="str">
        <f>IF(ISBLANK(TR!H206),"",TR!H206)</f>
        <v>FR-DSRSW-1348</v>
      </c>
      <c r="M206" s="30" t="str">
        <f>TR!J206</f>
        <v>Approved</v>
      </c>
      <c r="N206" s="31" t="str">
        <f>IF(OR(M206="Modified",M206="Cosmetic"),VLOOKUP(B206,PrevPFS!B$1:E$833,4,FALSE),"")</f>
        <v/>
      </c>
    </row>
    <row r="207" spans="1:14" ht="90" x14ac:dyDescent="0.25">
      <c r="A207" s="31" t="str">
        <f>IF(ISNONTEXT(TR!K207),"",TR!K207)</f>
        <v>FR-SYSSEC-SES-1024</v>
      </c>
      <c r="B207" s="32" t="str">
        <f>TR!A207</f>
        <v>TR-DSRSW-1467</v>
      </c>
      <c r="C207" s="31" t="b">
        <f>ISERROR(FIND("-",TR!B207))</f>
        <v>0</v>
      </c>
      <c r="D207" s="31">
        <f>SetIndent(E207,(TR!C207-1)*2)</f>
        <v>4</v>
      </c>
      <c r="E207" s="35" t="str">
        <f>IF(ISERROR(FIND("-",TR!B207)),TR!B207&amp;" "&amp;TR!D207,TR!D207)</f>
        <v xml:space="preserve">The product SHALL for all IP communications, keep sockets closed when not in use.  ONLY sockets supporting features that require listening for connections (providing remote services or waiting for a response from another network node) should be open.  Furthermore, open sockets shall be hardened against buffer overrun and incorrect packet formats - the software listening, to the extent possible, will verify the incoming content as valid before allowing other code to operate on or with the data.  </v>
      </c>
      <c r="F207" s="31" t="str">
        <f>TR!E207</f>
        <v>Req</v>
      </c>
      <c r="G207" s="31" t="str">
        <f>IF(ISERROR(FIND("Adara",TR!F207)),"","Adara ")</f>
        <v xml:space="preserve">Adara </v>
      </c>
      <c r="H207" s="31" t="str">
        <f>IF(ISERROR(FIND("Copernicus",TR!F207)),"","Copernicus ")</f>
        <v xml:space="preserve">Copernicus </v>
      </c>
      <c r="I207" s="31" t="str">
        <f>IF(ISERROR(FIND("Deneb",TR!F207)),"","Deneb ")</f>
        <v xml:space="preserve">Deneb </v>
      </c>
      <c r="J207" s="37" t="str">
        <f t="shared" si="3"/>
        <v xml:space="preserve">Adara Copernicus Deneb </v>
      </c>
      <c r="K207" s="31" t="str">
        <f>IF(ISBLANK(TR!G207),"",TR!G207)</f>
        <v/>
      </c>
      <c r="L207" s="31" t="str">
        <f>IF(ISBLANK(TR!H207),"",TR!H207)</f>
        <v>FR-DSRSW-1348</v>
      </c>
      <c r="M207" s="30" t="str">
        <f>TR!J207</f>
        <v>Approved</v>
      </c>
      <c r="N207" s="31" t="str">
        <f>IF(OR(M207="Modified",M207="Cosmetic"),VLOOKUP(B207,PrevPFS!B$1:E$833,4,FALSE),"")</f>
        <v/>
      </c>
    </row>
    <row r="208" spans="1:14" ht="45" x14ac:dyDescent="0.25">
      <c r="A208" s="31" t="str">
        <f>IF(ISNONTEXT(TR!K208),"",TR!K208)</f>
        <v/>
      </c>
      <c r="B208" s="32" t="str">
        <f>TR!A208</f>
        <v>TR-DSRSW-1468</v>
      </c>
      <c r="C208" s="31" t="b">
        <f>ISERROR(FIND("-",TR!B208))</f>
        <v>0</v>
      </c>
      <c r="D208" s="31">
        <f>SetIndent(E208,(TR!C208-1)*2)</f>
        <v>4</v>
      </c>
      <c r="E208" s="35" t="str">
        <f>IF(ISERROR(FIND("-",TR!B208)),TR!B208&amp;" "&amp;TR!D208,TR!D208)</f>
        <v xml:space="preserve">NOTE: Refer to 365-095-3914 ("STB / NIM IP Security Requirements") for background on IP network security requirements. </v>
      </c>
      <c r="F208" s="31" t="str">
        <f>TR!E208</f>
        <v>Com</v>
      </c>
      <c r="G208" s="31" t="str">
        <f>IF(ISERROR(FIND("Adara",TR!F208)),"","Adara ")</f>
        <v xml:space="preserve">Adara </v>
      </c>
      <c r="H208" s="31" t="str">
        <f>IF(ISERROR(FIND("Copernicus",TR!F208)),"","Copernicus ")</f>
        <v xml:space="preserve">Copernicus </v>
      </c>
      <c r="I208" s="31" t="str">
        <f>IF(ISERROR(FIND("Deneb",TR!F208)),"","Deneb ")</f>
        <v xml:space="preserve">Deneb </v>
      </c>
      <c r="J208" s="37" t="str">
        <f t="shared" si="3"/>
        <v xml:space="preserve">Adara Copernicus Deneb </v>
      </c>
      <c r="K208" s="31" t="str">
        <f>IF(ISBLANK(TR!G208),"",TR!G208)</f>
        <v/>
      </c>
      <c r="L208" s="31" t="str">
        <f>IF(ISBLANK(TR!H208),"",TR!H208)</f>
        <v>FR-DSRSW-1348</v>
      </c>
      <c r="M208" s="30" t="str">
        <f>TR!J208</f>
        <v>Approved</v>
      </c>
      <c r="N208" s="31" t="str">
        <f>IF(OR(M208="Modified",M208="Cosmetic"),VLOOKUP(B208,PrevPFS!B$1:E$833,4,FALSE),"")</f>
        <v/>
      </c>
    </row>
    <row r="209" spans="1:14" ht="45" x14ac:dyDescent="0.25">
      <c r="A209" s="31" t="str">
        <f>IF(ISNONTEXT(TR!K209),"",TR!K209)</f>
        <v/>
      </c>
      <c r="B209" s="32" t="str">
        <f>TR!A209</f>
        <v>TR-DSRSW-1469</v>
      </c>
      <c r="C209" s="31" t="b">
        <f>ISERROR(FIND("-",TR!B209))</f>
        <v>1</v>
      </c>
      <c r="D209" s="31">
        <f>SetIndent(E209,(TR!C209-1)*2)</f>
        <v>4</v>
      </c>
      <c r="E209" s="35" t="str">
        <f>IF(ISERROR(FIND("-",TR!B209)),TR!B209&amp;" "&amp;TR!D209,TR!D209)</f>
        <v>11.3.2 ARP Spoofing and Overflow Mitigation</v>
      </c>
      <c r="F209" s="31" t="str">
        <f>TR!E209</f>
        <v>Hdr</v>
      </c>
      <c r="G209" s="31" t="str">
        <f>IF(ISERROR(FIND("Adara",TR!F209)),"","Adara ")</f>
        <v xml:space="preserve">Adara </v>
      </c>
      <c r="H209" s="31" t="str">
        <f>IF(ISERROR(FIND("Copernicus",TR!F209)),"","Copernicus ")</f>
        <v xml:space="preserve">Copernicus </v>
      </c>
      <c r="I209" s="31" t="str">
        <f>IF(ISERROR(FIND("Deneb",TR!F209)),"","Deneb ")</f>
        <v xml:space="preserve">Deneb </v>
      </c>
      <c r="J209" s="37" t="str">
        <f t="shared" si="3"/>
        <v xml:space="preserve">Adara Copernicus Deneb </v>
      </c>
      <c r="K209" s="31" t="str">
        <f>IF(ISBLANK(TR!G209),"",TR!G209)</f>
        <v/>
      </c>
      <c r="L209" s="31" t="str">
        <f>IF(ISBLANK(TR!H209),"",TR!H209)</f>
        <v>FR-DSRSW-1348</v>
      </c>
      <c r="M209" s="30" t="str">
        <f>TR!J209</f>
        <v>Approved</v>
      </c>
      <c r="N209" s="31" t="str">
        <f>IF(OR(M209="Modified",M209="Cosmetic"),VLOOKUP(B209,PrevPFS!B$1:E$833,4,FALSE),"")</f>
        <v/>
      </c>
    </row>
    <row r="210" spans="1:14" ht="45" x14ac:dyDescent="0.25">
      <c r="A210" s="31" t="str">
        <f>IF(ISNONTEXT(TR!K210),"",TR!K210)</f>
        <v>TR-0-NETSEC-FPR-1003</v>
      </c>
      <c r="B210" s="32" t="str">
        <f>TR!A210</f>
        <v>TR-DSRSW-1470</v>
      </c>
      <c r="C210" s="31" t="b">
        <f>ISERROR(FIND("-",TR!B210))</f>
        <v>0</v>
      </c>
      <c r="D210" s="31">
        <f>SetIndent(E210,(TR!C210-1)*2)</f>
        <v>6</v>
      </c>
      <c r="E210" s="38" t="str">
        <f>IF(ISERROR(FIND("-",TR!B210)),TR!B210&amp;" "&amp;TR!D210,TR!D210)</f>
        <v>The Product SHALL delete an ARP entry associated with the Home Network IF this entry was not successfully refreshed within an ARP entry timeout period of 10 minutes.</v>
      </c>
      <c r="F210" s="31" t="str">
        <f>TR!E210</f>
        <v>Req</v>
      </c>
      <c r="G210" s="31" t="str">
        <f>IF(ISERROR(FIND("Adara",TR!F210)),"","Adara ")</f>
        <v xml:space="preserve">Adara </v>
      </c>
      <c r="H210" s="31" t="str">
        <f>IF(ISERROR(FIND("Copernicus",TR!F210)),"","Copernicus ")</f>
        <v xml:space="preserve">Copernicus </v>
      </c>
      <c r="I210" s="31" t="str">
        <f>IF(ISERROR(FIND("Deneb",TR!F210)),"","Deneb ")</f>
        <v xml:space="preserve">Deneb </v>
      </c>
      <c r="J210" s="37" t="str">
        <f t="shared" si="3"/>
        <v xml:space="preserve">Adara Copernicus Deneb </v>
      </c>
      <c r="K210" s="31" t="str">
        <f>IF(ISBLANK(TR!G210),"",TR!G210)</f>
        <v/>
      </c>
      <c r="L210" s="31" t="str">
        <f>IF(ISBLANK(TR!H210),"",TR!H210)</f>
        <v>FR-DSRSW-1348</v>
      </c>
      <c r="M210" s="30" t="str">
        <f>TR!J210</f>
        <v>Approved</v>
      </c>
      <c r="N210" s="31" t="str">
        <f>IF(OR(M210="Modified",M210="Cosmetic"),VLOOKUP(B210,PrevPFS!B$1:E$833,4,FALSE),"")</f>
        <v/>
      </c>
    </row>
    <row r="211" spans="1:14" ht="45" x14ac:dyDescent="0.25">
      <c r="A211" s="31" t="str">
        <f>IF(ISNONTEXT(TR!K211),"",TR!K211)</f>
        <v>TR-0-NETSEC-FPR-1004</v>
      </c>
      <c r="B211" s="32" t="str">
        <f>TR!A211</f>
        <v>TR-DSRSW-1471</v>
      </c>
      <c r="C211" s="31" t="b">
        <f>ISERROR(FIND("-",TR!B211))</f>
        <v>0</v>
      </c>
      <c r="D211" s="31">
        <f>SetIndent(E211,(TR!C211-1)*2)</f>
        <v>6</v>
      </c>
      <c r="E211" s="38" t="str">
        <f>IF(ISERROR(FIND("-",TR!B211)),TR!B211&amp;" "&amp;TR!D211,TR!D211)</f>
        <v>The Product SHALL discard an ARP Reply received from the Home Network IF this reply is not associated with Product's ARP Request.</v>
      </c>
      <c r="F211" s="31" t="str">
        <f>TR!E211</f>
        <v>Req</v>
      </c>
      <c r="G211" s="31" t="str">
        <f>IF(ISERROR(FIND("Adara",TR!F211)),"","Adara ")</f>
        <v xml:space="preserve">Adara </v>
      </c>
      <c r="H211" s="31" t="str">
        <f>IF(ISERROR(FIND("Copernicus",TR!F211)),"","Copernicus ")</f>
        <v xml:space="preserve">Copernicus </v>
      </c>
      <c r="I211" s="31" t="str">
        <f>IF(ISERROR(FIND("Deneb",TR!F211)),"","Deneb ")</f>
        <v xml:space="preserve">Deneb </v>
      </c>
      <c r="J211" s="37" t="str">
        <f t="shared" si="3"/>
        <v xml:space="preserve">Adara Copernicus Deneb </v>
      </c>
      <c r="K211" s="31" t="str">
        <f>IF(ISBLANK(TR!G211),"",TR!G211)</f>
        <v/>
      </c>
      <c r="L211" s="31" t="str">
        <f>IF(ISBLANK(TR!H211),"",TR!H211)</f>
        <v>FR-DSRSW-1348</v>
      </c>
      <c r="M211" s="30" t="str">
        <f>TR!J211</f>
        <v>Approved</v>
      </c>
      <c r="N211" s="31" t="str">
        <f>IF(OR(M211="Modified",M211="Cosmetic"),VLOOKUP(B211,PrevPFS!B$1:E$833,4,FALSE),"")</f>
        <v/>
      </c>
    </row>
    <row r="212" spans="1:14" ht="45" x14ac:dyDescent="0.25">
      <c r="A212" s="31" t="str">
        <f>IF(ISNONTEXT(TR!K212),"",TR!K212)</f>
        <v>TR-0-NETSEC-FPR-1086</v>
      </c>
      <c r="B212" s="32" t="str">
        <f>TR!A212</f>
        <v>TR-DSRSW-1472</v>
      </c>
      <c r="C212" s="31" t="b">
        <f>ISERROR(FIND("-",TR!B212))</f>
        <v>0</v>
      </c>
      <c r="D212" s="31">
        <f>SetIndent(E212,(TR!C212-1)*2)</f>
        <v>6</v>
      </c>
      <c r="E212" s="38" t="str">
        <f>IF(ISERROR(FIND("-",TR!B212)),TR!B212&amp;" "&amp;TR!D212,TR!D212)</f>
        <v>The product SHALL use a FIFO for the ARP Cache which provides overflow prevention and allowing the creation of ARP Entries as soon as an attack ceases.</v>
      </c>
      <c r="F212" s="31" t="str">
        <f>TR!E212</f>
        <v>Req</v>
      </c>
      <c r="G212" s="31" t="str">
        <f>IF(ISERROR(FIND("Adara",TR!F212)),"","Adara ")</f>
        <v xml:space="preserve">Adara </v>
      </c>
      <c r="H212" s="31" t="str">
        <f>IF(ISERROR(FIND("Copernicus",TR!F212)),"","Copernicus ")</f>
        <v xml:space="preserve">Copernicus </v>
      </c>
      <c r="I212" s="31" t="str">
        <f>IF(ISERROR(FIND("Deneb",TR!F212)),"","Deneb ")</f>
        <v xml:space="preserve">Deneb </v>
      </c>
      <c r="J212" s="37" t="str">
        <f t="shared" si="3"/>
        <v xml:space="preserve">Adara Copernicus Deneb </v>
      </c>
      <c r="K212" s="31" t="str">
        <f>IF(ISBLANK(TR!G212),"",TR!G212)</f>
        <v/>
      </c>
      <c r="L212" s="31" t="str">
        <f>IF(ISBLANK(TR!H212),"",TR!H212)</f>
        <v>FR-DSRSW-1348</v>
      </c>
      <c r="M212" s="30" t="str">
        <f>TR!J212</f>
        <v>Approved</v>
      </c>
      <c r="N212" s="31" t="str">
        <f>IF(OR(M212="Modified",M212="Cosmetic"),VLOOKUP(B212,PrevPFS!B$1:E$833,4,FALSE),"")</f>
        <v/>
      </c>
    </row>
    <row r="213" spans="1:14" ht="45" x14ac:dyDescent="0.25">
      <c r="A213" s="31" t="str">
        <f>IF(ISNONTEXT(TR!K213),"",TR!K213)</f>
        <v/>
      </c>
      <c r="B213" s="32" t="str">
        <f>TR!A213</f>
        <v>TR-DSRSW-1473</v>
      </c>
      <c r="C213" s="31" t="b">
        <f>ISERROR(FIND("-",TR!B213))</f>
        <v>1</v>
      </c>
      <c r="D213" s="31">
        <f>SetIndent(E213,(TR!C213-1)*2)</f>
        <v>4</v>
      </c>
      <c r="E213" s="35" t="str">
        <f>IF(ISERROR(FIND("-",TR!B213)),TR!B213&amp;" "&amp;TR!D213,TR!D213)</f>
        <v>11.3.3 IP Spoofing and Overflow Mitigation</v>
      </c>
      <c r="F213" s="31" t="str">
        <f>TR!E213</f>
        <v>Hdr</v>
      </c>
      <c r="G213" s="31" t="str">
        <f>IF(ISERROR(FIND("Adara",TR!F213)),"","Adara ")</f>
        <v xml:space="preserve">Adara </v>
      </c>
      <c r="H213" s="31" t="str">
        <f>IF(ISERROR(FIND("Copernicus",TR!F213)),"","Copernicus ")</f>
        <v xml:space="preserve">Copernicus </v>
      </c>
      <c r="I213" s="31" t="str">
        <f>IF(ISERROR(FIND("Deneb",TR!F213)),"","Deneb ")</f>
        <v xml:space="preserve">Deneb </v>
      </c>
      <c r="J213" s="37" t="str">
        <f t="shared" si="3"/>
        <v xml:space="preserve">Adara Copernicus Deneb </v>
      </c>
      <c r="K213" s="31" t="str">
        <f>IF(ISBLANK(TR!G213),"",TR!G213)</f>
        <v/>
      </c>
      <c r="L213" s="31" t="str">
        <f>IF(ISBLANK(TR!H213),"",TR!H213)</f>
        <v>FR-DSRSW-1348</v>
      </c>
      <c r="M213" s="30" t="str">
        <f>TR!J213</f>
        <v>Approved</v>
      </c>
      <c r="N213" s="31" t="str">
        <f>IF(OR(M213="Modified",M213="Cosmetic"),VLOOKUP(B213,PrevPFS!B$1:E$833,4,FALSE),"")</f>
        <v/>
      </c>
    </row>
    <row r="214" spans="1:14" ht="45" x14ac:dyDescent="0.25">
      <c r="A214" s="31" t="str">
        <f>IF(ISNONTEXT(TR!K214),"",TR!K214)</f>
        <v>TR-0-NETSEC-FPR-1007</v>
      </c>
      <c r="B214" s="32" t="str">
        <f>TR!A214</f>
        <v>TR-DSRSW-1474</v>
      </c>
      <c r="C214" s="31" t="b">
        <f>ISERROR(FIND("-",TR!B214))</f>
        <v>0</v>
      </c>
      <c r="D214" s="31">
        <f>SetIndent(E214,(TR!C214-1)*2)</f>
        <v>6</v>
      </c>
      <c r="E214" s="38" t="str">
        <f>IF(ISERROR(FIND("-",TR!B214)),TR!B214&amp;" "&amp;TR!D214,TR!D214)</f>
        <v>The Product SHALL discard each IP packet received from the Home Network IF the packet's destination IP address is identical to the source IP address (aka "Land Attack").</v>
      </c>
      <c r="F214" s="31" t="str">
        <f>TR!E214</f>
        <v>Req</v>
      </c>
      <c r="G214" s="31" t="str">
        <f>IF(ISERROR(FIND("Adara",TR!F214)),"","Adara ")</f>
        <v xml:space="preserve">Adara </v>
      </c>
      <c r="H214" s="31" t="str">
        <f>IF(ISERROR(FIND("Copernicus",TR!F214)),"","Copernicus ")</f>
        <v xml:space="preserve">Copernicus </v>
      </c>
      <c r="I214" s="31" t="str">
        <f>IF(ISERROR(FIND("Deneb",TR!F214)),"","Deneb ")</f>
        <v xml:space="preserve">Deneb </v>
      </c>
      <c r="J214" s="37" t="str">
        <f t="shared" si="3"/>
        <v xml:space="preserve">Adara Copernicus Deneb </v>
      </c>
      <c r="K214" s="31" t="str">
        <f>IF(ISBLANK(TR!G214),"",TR!G214)</f>
        <v/>
      </c>
      <c r="L214" s="31" t="str">
        <f>IF(ISBLANK(TR!H214),"",TR!H214)</f>
        <v>FR-DSRSW-1348</v>
      </c>
      <c r="M214" s="30" t="str">
        <f>TR!J214</f>
        <v>Approved</v>
      </c>
      <c r="N214" s="31" t="str">
        <f>IF(OR(M214="Modified",M214="Cosmetic"),VLOOKUP(B214,PrevPFS!B$1:E$833,4,FALSE),"")</f>
        <v/>
      </c>
    </row>
    <row r="215" spans="1:14" ht="45" x14ac:dyDescent="0.25">
      <c r="A215" s="31" t="str">
        <f>IF(ISNONTEXT(TR!K215),"",TR!K215)</f>
        <v>TR-0-NETSEC-FPR-1008</v>
      </c>
      <c r="B215" s="32" t="str">
        <f>TR!A215</f>
        <v>TR-DSRSW-1475</v>
      </c>
      <c r="C215" s="31" t="b">
        <f>ISERROR(FIND("-",TR!B215))</f>
        <v>0</v>
      </c>
      <c r="D215" s="31">
        <f>SetIndent(E215,(TR!C215-1)*2)</f>
        <v>6</v>
      </c>
      <c r="E215" s="38" t="str">
        <f>IF(ISERROR(FIND("-",TR!B215)),TR!B215&amp;" "&amp;TR!D215,TR!D215)</f>
        <v>The Product SHALL discard each IP packet received from the Home Network IF this packet includes the source-routing option.</v>
      </c>
      <c r="F215" s="31" t="str">
        <f>TR!E215</f>
        <v>Req</v>
      </c>
      <c r="G215" s="31" t="str">
        <f>IF(ISERROR(FIND("Adara",TR!F215)),"","Adara ")</f>
        <v xml:space="preserve">Adara </v>
      </c>
      <c r="H215" s="31" t="str">
        <f>IF(ISERROR(FIND("Copernicus",TR!F215)),"","Copernicus ")</f>
        <v xml:space="preserve">Copernicus </v>
      </c>
      <c r="I215" s="31" t="str">
        <f>IF(ISERROR(FIND("Deneb",TR!F215)),"","Deneb ")</f>
        <v xml:space="preserve">Deneb </v>
      </c>
      <c r="J215" s="37" t="str">
        <f t="shared" si="3"/>
        <v xml:space="preserve">Adara Copernicus Deneb </v>
      </c>
      <c r="K215" s="31" t="str">
        <f>IF(ISBLANK(TR!G215),"",TR!G215)</f>
        <v/>
      </c>
      <c r="L215" s="31" t="str">
        <f>IF(ISBLANK(TR!H215),"",TR!H215)</f>
        <v>FR-DSRSW-1348</v>
      </c>
      <c r="M215" s="30" t="str">
        <f>TR!J215</f>
        <v>Approved</v>
      </c>
      <c r="N215" s="31" t="str">
        <f>IF(OR(M215="Modified",M215="Cosmetic"),VLOOKUP(B215,PrevPFS!B$1:E$833,4,FALSE),"")</f>
        <v/>
      </c>
    </row>
    <row r="216" spans="1:14" ht="45" x14ac:dyDescent="0.25">
      <c r="A216" s="31" t="str">
        <f>IF(ISNONTEXT(TR!K216),"",TR!K216)</f>
        <v>TR-0-NETSEC-FPR-1009</v>
      </c>
      <c r="B216" s="32" t="str">
        <f>TR!A216</f>
        <v>TR-DSRSW-1476</v>
      </c>
      <c r="C216" s="31" t="b">
        <f>ISERROR(FIND("-",TR!B216))</f>
        <v>0</v>
      </c>
      <c r="D216" s="31">
        <f>SetIndent(E216,(TR!C216-1)*2)</f>
        <v>6</v>
      </c>
      <c r="E216" s="38" t="str">
        <f>IF(ISERROR(FIND("-",TR!B216)),TR!B216&amp;" "&amp;TR!D216,TR!D216)</f>
        <v>The Product SHALL discard each IP fragment of a particular IP packet received from the Home Network IF all fragments are not received within 64 seconds after the first fragment was received.</v>
      </c>
      <c r="F216" s="31" t="str">
        <f>TR!E216</f>
        <v>Req</v>
      </c>
      <c r="G216" s="31" t="str">
        <f>IF(ISERROR(FIND("Adara",TR!F216)),"","Adara ")</f>
        <v xml:space="preserve">Adara </v>
      </c>
      <c r="H216" s="31" t="str">
        <f>IF(ISERROR(FIND("Copernicus",TR!F216)),"","Copernicus ")</f>
        <v xml:space="preserve">Copernicus </v>
      </c>
      <c r="I216" s="31" t="str">
        <f>IF(ISERROR(FIND("Deneb",TR!F216)),"","Deneb ")</f>
        <v xml:space="preserve">Deneb </v>
      </c>
      <c r="J216" s="37" t="str">
        <f t="shared" si="3"/>
        <v xml:space="preserve">Adara Copernicus Deneb </v>
      </c>
      <c r="K216" s="31" t="str">
        <f>IF(ISBLANK(TR!G216),"",TR!G216)</f>
        <v/>
      </c>
      <c r="L216" s="31" t="str">
        <f>IF(ISBLANK(TR!H216),"",TR!H216)</f>
        <v>FR-DSRSW-1348</v>
      </c>
      <c r="M216" s="30" t="str">
        <f>TR!J216</f>
        <v>Approved</v>
      </c>
      <c r="N216" s="31" t="str">
        <f>IF(OR(M216="Modified",M216="Cosmetic"),VLOOKUP(B216,PrevPFS!B$1:E$833,4,FALSE),"")</f>
        <v/>
      </c>
    </row>
    <row r="217" spans="1:14" ht="45" x14ac:dyDescent="0.25">
      <c r="A217" s="31" t="str">
        <f>IF(ISNONTEXT(TR!K217),"",TR!K217)</f>
        <v>TR-0-NETSEC-FPR-1010</v>
      </c>
      <c r="B217" s="32" t="str">
        <f>TR!A217</f>
        <v>TR-DSRSW-1477</v>
      </c>
      <c r="C217" s="31" t="b">
        <f>ISERROR(FIND("-",TR!B217))</f>
        <v>0</v>
      </c>
      <c r="D217" s="31">
        <f>SetIndent(E217,(TR!C217-1)*2)</f>
        <v>6</v>
      </c>
      <c r="E217" s="38" t="str">
        <f>IF(ISERROR(FIND("-",TR!B217)),TR!B217&amp;" "&amp;TR!D217,TR!D217)</f>
        <v>The Product SHALL discard each IP fragment buffered for reassembly of a particular IP packet received from the Home Network IF the number of fragments to be reassembled exceeds 5.</v>
      </c>
      <c r="F217" s="31" t="str">
        <f>TR!E217</f>
        <v>Req</v>
      </c>
      <c r="G217" s="31" t="str">
        <f>IF(ISERROR(FIND("Adara",TR!F217)),"","Adara ")</f>
        <v xml:space="preserve">Adara </v>
      </c>
      <c r="H217" s="31" t="str">
        <f>IF(ISERROR(FIND("Copernicus",TR!F217)),"","Copernicus ")</f>
        <v xml:space="preserve">Copernicus </v>
      </c>
      <c r="I217" s="31" t="str">
        <f>IF(ISERROR(FIND("Deneb",TR!F217)),"","Deneb ")</f>
        <v xml:space="preserve">Deneb </v>
      </c>
      <c r="J217" s="37" t="str">
        <f t="shared" si="3"/>
        <v xml:space="preserve">Adara Copernicus Deneb </v>
      </c>
      <c r="K217" s="31" t="str">
        <f>IF(ISBLANK(TR!G217),"",TR!G217)</f>
        <v/>
      </c>
      <c r="L217" s="31" t="str">
        <f>IF(ISBLANK(TR!H217),"",TR!H217)</f>
        <v>FR-DSRSW-1348</v>
      </c>
      <c r="M217" s="30" t="str">
        <f>TR!J217</f>
        <v>Approved</v>
      </c>
      <c r="N217" s="31" t="str">
        <f>IF(OR(M217="Modified",M217="Cosmetic"),VLOOKUP(B217,PrevPFS!B$1:E$833,4,FALSE),"")</f>
        <v/>
      </c>
    </row>
    <row r="218" spans="1:14" ht="45" x14ac:dyDescent="0.25">
      <c r="A218" s="31" t="str">
        <f>IF(ISNONTEXT(TR!K218),"",TR!K218)</f>
        <v>TR-0-NETSEC-FPR-1011</v>
      </c>
      <c r="B218" s="32" t="str">
        <f>TR!A218</f>
        <v>TR-DSRSW-1478</v>
      </c>
      <c r="C218" s="31" t="b">
        <f>ISERROR(FIND("-",TR!B218))</f>
        <v>0</v>
      </c>
      <c r="D218" s="31">
        <f>SetIndent(E218,(TR!C218-1)*2)</f>
        <v>6</v>
      </c>
      <c r="E218" s="38" t="str">
        <f>IF(ISERROR(FIND("-",TR!B218)),TR!B218&amp;" "&amp;TR!D218,TR!D218)</f>
        <v>The Product SHALL discard each IP fragment buffered for reassembly of a particular IP packet received from the Home Network IF the size of the reassembled IP packet will exceed 8200 bytes.</v>
      </c>
      <c r="F218" s="31" t="str">
        <f>TR!E218</f>
        <v>Req</v>
      </c>
      <c r="G218" s="31" t="str">
        <f>IF(ISERROR(FIND("Adara",TR!F218)),"","Adara ")</f>
        <v xml:space="preserve">Adara </v>
      </c>
      <c r="H218" s="31" t="str">
        <f>IF(ISERROR(FIND("Copernicus",TR!F218)),"","Copernicus ")</f>
        <v xml:space="preserve">Copernicus </v>
      </c>
      <c r="I218" s="31" t="str">
        <f>IF(ISERROR(FIND("Deneb",TR!F218)),"","Deneb ")</f>
        <v xml:space="preserve">Deneb </v>
      </c>
      <c r="J218" s="37" t="str">
        <f t="shared" si="3"/>
        <v xml:space="preserve">Adara Copernicus Deneb </v>
      </c>
      <c r="K218" s="31" t="str">
        <f>IF(ISBLANK(TR!G218),"",TR!G218)</f>
        <v/>
      </c>
      <c r="L218" s="31" t="str">
        <f>IF(ISBLANK(TR!H218),"",TR!H218)</f>
        <v>FR-DSRSW-1348</v>
      </c>
      <c r="M218" s="30" t="str">
        <f>TR!J218</f>
        <v>Approved</v>
      </c>
      <c r="N218" s="31" t="str">
        <f>IF(OR(M218="Modified",M218="Cosmetic"),VLOOKUP(B218,PrevPFS!B$1:E$833,4,FALSE),"")</f>
        <v/>
      </c>
    </row>
    <row r="219" spans="1:14" ht="45" x14ac:dyDescent="0.25">
      <c r="A219" s="31" t="str">
        <f>IF(ISNONTEXT(TR!K219),"",TR!K219)</f>
        <v/>
      </c>
      <c r="B219" s="32" t="str">
        <f>TR!A219</f>
        <v>TR-DSRSW-1479</v>
      </c>
      <c r="C219" s="31" t="b">
        <f>ISERROR(FIND("-",TR!B219))</f>
        <v>1</v>
      </c>
      <c r="D219" s="31">
        <f>SetIndent(E219,(TR!C219-1)*2)</f>
        <v>4</v>
      </c>
      <c r="E219" s="35" t="str">
        <f>IF(ISERROR(FIND("-",TR!B219)),TR!B219&amp;" "&amp;TR!D219,TR!D219)</f>
        <v>11.3.4 SYN Flooding Mitigation</v>
      </c>
      <c r="F219" s="31" t="str">
        <f>TR!E219</f>
        <v>Hdr</v>
      </c>
      <c r="G219" s="31" t="str">
        <f>IF(ISERROR(FIND("Adara",TR!F219)),"","Adara ")</f>
        <v xml:space="preserve">Adara </v>
      </c>
      <c r="H219" s="31" t="str">
        <f>IF(ISERROR(FIND("Copernicus",TR!F219)),"","Copernicus ")</f>
        <v xml:space="preserve">Copernicus </v>
      </c>
      <c r="I219" s="31" t="str">
        <f>IF(ISERROR(FIND("Deneb",TR!F219)),"","Deneb ")</f>
        <v xml:space="preserve">Deneb </v>
      </c>
      <c r="J219" s="37" t="str">
        <f t="shared" si="3"/>
        <v xml:space="preserve">Adara Copernicus Deneb </v>
      </c>
      <c r="K219" s="31" t="str">
        <f>IF(ISBLANK(TR!G219),"",TR!G219)</f>
        <v/>
      </c>
      <c r="L219" s="31" t="str">
        <f>IF(ISBLANK(TR!H219),"",TR!H219)</f>
        <v>FR-DSRSW-1348</v>
      </c>
      <c r="M219" s="30" t="str">
        <f>TR!J219</f>
        <v>Approved</v>
      </c>
      <c r="N219" s="31" t="str">
        <f>IF(OR(M219="Modified",M219="Cosmetic"),VLOOKUP(B219,PrevPFS!B$1:E$833,4,FALSE),"")</f>
        <v/>
      </c>
    </row>
    <row r="220" spans="1:14" ht="45" x14ac:dyDescent="0.25">
      <c r="A220" s="31" t="str">
        <f>IF(ISNONTEXT(TR!K220),"",TR!K220)</f>
        <v>TR-0-NETSEC-FPR-1013</v>
      </c>
      <c r="B220" s="32" t="str">
        <f>TR!A220</f>
        <v>TR-DSRSW-1480</v>
      </c>
      <c r="C220" s="31" t="b">
        <f>ISERROR(FIND("-",TR!B220))</f>
        <v>0</v>
      </c>
      <c r="D220" s="31">
        <f>SetIndent(E220,(TR!C220-1)*2)</f>
        <v>6</v>
      </c>
      <c r="E220" s="38" t="str">
        <f>IF(ISERROR(FIND("-",TR!B220)),TR!B220&amp;" "&amp;TR!D220,TR!D220)</f>
        <v>The Product SHALL send a RESET TCP packet (packet with RST flag set) to the associated host in the Home Network WHEN any SYN packet is dropped from the buffer handling half-open connections due to the queue being full.</v>
      </c>
      <c r="F220" s="31" t="str">
        <f>TR!E220</f>
        <v>Req</v>
      </c>
      <c r="G220" s="31" t="str">
        <f>IF(ISERROR(FIND("Adara",TR!F220)),"","Adara ")</f>
        <v xml:space="preserve">Adara </v>
      </c>
      <c r="H220" s="31" t="str">
        <f>IF(ISERROR(FIND("Copernicus",TR!F220)),"","Copernicus ")</f>
        <v xml:space="preserve">Copernicus </v>
      </c>
      <c r="I220" s="31" t="str">
        <f>IF(ISERROR(FIND("Deneb",TR!F220)),"","Deneb ")</f>
        <v xml:space="preserve">Deneb </v>
      </c>
      <c r="J220" s="37" t="str">
        <f t="shared" si="3"/>
        <v xml:space="preserve">Adara Copernicus Deneb </v>
      </c>
      <c r="K220" s="31" t="str">
        <f>IF(ISBLANK(TR!G220),"",TR!G220)</f>
        <v/>
      </c>
      <c r="L220" s="31" t="str">
        <f>IF(ISBLANK(TR!H220),"",TR!H220)</f>
        <v>FR-DSRSW-1348</v>
      </c>
      <c r="M220" s="30" t="str">
        <f>TR!J220</f>
        <v>Approved</v>
      </c>
      <c r="N220" s="31" t="str">
        <f>IF(OR(M220="Modified",M220="Cosmetic"),VLOOKUP(B220,PrevPFS!B$1:E$833,4,FALSE),"")</f>
        <v/>
      </c>
    </row>
    <row r="221" spans="1:14" ht="45" x14ac:dyDescent="0.25">
      <c r="A221" s="31" t="str">
        <f>IF(ISNONTEXT(TR!K221),"",TR!K221)</f>
        <v>TR-0-NETSEC-FPR-1016</v>
      </c>
      <c r="B221" s="32" t="str">
        <f>TR!A221</f>
        <v>TR-DSRSW-1481</v>
      </c>
      <c r="C221" s="31" t="b">
        <f>ISERROR(FIND("-",TR!B221))</f>
        <v>0</v>
      </c>
      <c r="D221" s="31">
        <f>SetIndent(E221,(TR!C221-1)*2)</f>
        <v>6</v>
      </c>
      <c r="E221" s="38" t="str">
        <f>IF(ISERROR(FIND("-",TR!B221)),TR!B221&amp;" "&amp;TR!D221,TR!D221)</f>
        <v>The Product SHALL discard a TCP packet received from the Home Network IF this packet has the FIN flag set without also having the ACK flag set.</v>
      </c>
      <c r="F221" s="31" t="str">
        <f>TR!E221</f>
        <v>Req</v>
      </c>
      <c r="G221" s="31" t="str">
        <f>IF(ISERROR(FIND("Adara",TR!F221)),"","Adara ")</f>
        <v xml:space="preserve">Adara </v>
      </c>
      <c r="H221" s="31" t="str">
        <f>IF(ISERROR(FIND("Copernicus",TR!F221)),"","Copernicus ")</f>
        <v xml:space="preserve">Copernicus </v>
      </c>
      <c r="I221" s="31" t="str">
        <f>IF(ISERROR(FIND("Deneb",TR!F221)),"","Deneb ")</f>
        <v xml:space="preserve">Deneb </v>
      </c>
      <c r="J221" s="37" t="str">
        <f t="shared" si="3"/>
        <v xml:space="preserve">Adara Copernicus Deneb </v>
      </c>
      <c r="K221" s="31" t="str">
        <f>IF(ISBLANK(TR!G221),"",TR!G221)</f>
        <v/>
      </c>
      <c r="L221" s="31" t="str">
        <f>IF(ISBLANK(TR!H221),"",TR!H221)</f>
        <v>FR-DSRSW-1348</v>
      </c>
      <c r="M221" s="30" t="str">
        <f>TR!J221</f>
        <v>Approved</v>
      </c>
      <c r="N221" s="31" t="str">
        <f>IF(OR(M221="Modified",M221="Cosmetic"),VLOOKUP(B221,PrevPFS!B$1:E$833,4,FALSE),"")</f>
        <v/>
      </c>
    </row>
    <row r="222" spans="1:14" ht="45" x14ac:dyDescent="0.25">
      <c r="A222" s="31" t="str">
        <f>IF(ISNONTEXT(TR!K222),"",TR!K222)</f>
        <v>TR-0-NETSEC-FPR-1017</v>
      </c>
      <c r="B222" s="32" t="str">
        <f>TR!A222</f>
        <v>TR-DSRSW-1482</v>
      </c>
      <c r="C222" s="31" t="b">
        <f>ISERROR(FIND("-",TR!B222))</f>
        <v>0</v>
      </c>
      <c r="D222" s="31">
        <f>SetIndent(E222,(TR!C222-1)*2)</f>
        <v>6</v>
      </c>
      <c r="E222" s="38" t="str">
        <f>IF(ISERROR(FIND("-",TR!B222)),TR!B222&amp;" "&amp;TR!D222,TR!D222)</f>
        <v>The Product SHALL discard a TCP packet received from the Home Network IF this packet has no flags set (a.k.a. "Null" TCP packet).</v>
      </c>
      <c r="F222" s="31" t="str">
        <f>TR!E222</f>
        <v>Req</v>
      </c>
      <c r="G222" s="31" t="str">
        <f>IF(ISERROR(FIND("Adara",TR!F222)),"","Adara ")</f>
        <v xml:space="preserve">Adara </v>
      </c>
      <c r="H222" s="31" t="str">
        <f>IF(ISERROR(FIND("Copernicus",TR!F222)),"","Copernicus ")</f>
        <v xml:space="preserve">Copernicus </v>
      </c>
      <c r="I222" s="31" t="str">
        <f>IF(ISERROR(FIND("Deneb",TR!F222)),"","Deneb ")</f>
        <v xml:space="preserve">Deneb </v>
      </c>
      <c r="J222" s="37" t="str">
        <f t="shared" si="3"/>
        <v xml:space="preserve">Adara Copernicus Deneb </v>
      </c>
      <c r="K222" s="31" t="str">
        <f>IF(ISBLANK(TR!G222),"",TR!G222)</f>
        <v/>
      </c>
      <c r="L222" s="31" t="str">
        <f>IF(ISBLANK(TR!H222),"",TR!H222)</f>
        <v>FR-DSRSW-1348</v>
      </c>
      <c r="M222" s="30" t="str">
        <f>TR!J222</f>
        <v>Approved</v>
      </c>
      <c r="N222" s="31" t="str">
        <f>IF(OR(M222="Modified",M222="Cosmetic"),VLOOKUP(B222,PrevPFS!B$1:E$833,4,FALSE),"")</f>
        <v/>
      </c>
    </row>
    <row r="223" spans="1:14" ht="45" x14ac:dyDescent="0.25">
      <c r="A223" s="31" t="str">
        <f>IF(ISNONTEXT(TR!K223),"",TR!K223)</f>
        <v>TR-0-NETSEC-FPR-1018</v>
      </c>
      <c r="B223" s="32" t="str">
        <f>TR!A223</f>
        <v>TR-DSRSW-1483</v>
      </c>
      <c r="C223" s="31" t="b">
        <f>ISERROR(FIND("-",TR!B223))</f>
        <v>0</v>
      </c>
      <c r="D223" s="31">
        <f>SetIndent(E223,(TR!C223-1)*2)</f>
        <v>6</v>
      </c>
      <c r="E223" s="38" t="str">
        <f>IF(ISERROR(FIND("-",TR!B223)),TR!B223&amp;" "&amp;TR!D223,TR!D223)</f>
        <v>The Product SHALL generate a sufficiently random ISN value for a TCP connection in compliance with [IETF RFC 1948 - 1].</v>
      </c>
      <c r="F223" s="31" t="str">
        <f>TR!E223</f>
        <v>Req</v>
      </c>
      <c r="G223" s="31" t="str">
        <f>IF(ISERROR(FIND("Adara",TR!F223)),"","Adara ")</f>
        <v xml:space="preserve">Adara </v>
      </c>
      <c r="H223" s="31" t="str">
        <f>IF(ISERROR(FIND("Copernicus",TR!F223)),"","Copernicus ")</f>
        <v xml:space="preserve">Copernicus </v>
      </c>
      <c r="I223" s="31" t="str">
        <f>IF(ISERROR(FIND("Deneb",TR!F223)),"","Deneb ")</f>
        <v xml:space="preserve">Deneb </v>
      </c>
      <c r="J223" s="37" t="str">
        <f t="shared" si="3"/>
        <v xml:space="preserve">Adara Copernicus Deneb </v>
      </c>
      <c r="K223" s="31" t="str">
        <f>IF(ISBLANK(TR!G223),"",TR!G223)</f>
        <v/>
      </c>
      <c r="L223" s="31" t="str">
        <f>IF(ISBLANK(TR!H223),"",TR!H223)</f>
        <v>FR-DSRSW-1348</v>
      </c>
      <c r="M223" s="30" t="str">
        <f>TR!J223</f>
        <v>Approved</v>
      </c>
      <c r="N223" s="31" t="str">
        <f>IF(OR(M223="Modified",M223="Cosmetic"),VLOOKUP(B223,PrevPFS!B$1:E$833,4,FALSE),"")</f>
        <v/>
      </c>
    </row>
    <row r="224" spans="1:14" ht="45" x14ac:dyDescent="0.25">
      <c r="A224" s="31" t="str">
        <f>IF(ISNONTEXT(TR!K224),"",TR!K224)</f>
        <v>TR-0-NETSEC-FPR-1019</v>
      </c>
      <c r="B224" s="32" t="str">
        <f>TR!A224</f>
        <v>TR-DSRSW-1484</v>
      </c>
      <c r="C224" s="31" t="b">
        <f>ISERROR(FIND("-",TR!B224))</f>
        <v>0</v>
      </c>
      <c r="D224" s="31">
        <f>SetIndent(E224,(TR!C224-1)*2)</f>
        <v>6</v>
      </c>
      <c r="E224" s="38" t="str">
        <f>IF(ISERROR(FIND("-",TR!B224)),TR!B224&amp;" "&amp;TR!D224,TR!D224)</f>
        <v>The Product SHALL be resilient to a half-open connections buffer overflow attack (a.k.a. SYN-flood) initiated within the Home Network.</v>
      </c>
      <c r="F224" s="31" t="str">
        <f>TR!E224</f>
        <v>Req</v>
      </c>
      <c r="G224" s="31" t="str">
        <f>IF(ISERROR(FIND("Adara",TR!F224)),"","Adara ")</f>
        <v xml:space="preserve">Adara </v>
      </c>
      <c r="H224" s="31" t="str">
        <f>IF(ISERROR(FIND("Copernicus",TR!F224)),"","Copernicus ")</f>
        <v xml:space="preserve">Copernicus </v>
      </c>
      <c r="I224" s="31" t="str">
        <f>IF(ISERROR(FIND("Deneb",TR!F224)),"","Deneb ")</f>
        <v xml:space="preserve">Deneb </v>
      </c>
      <c r="J224" s="37" t="str">
        <f t="shared" si="3"/>
        <v xml:space="preserve">Adara Copernicus Deneb </v>
      </c>
      <c r="K224" s="31" t="str">
        <f>IF(ISBLANK(TR!G224),"",TR!G224)</f>
        <v/>
      </c>
      <c r="L224" s="31" t="str">
        <f>IF(ISBLANK(TR!H224),"",TR!H224)</f>
        <v>FR-DSRSW-1348</v>
      </c>
      <c r="M224" s="30" t="str">
        <f>TR!J224</f>
        <v>Approved</v>
      </c>
      <c r="N224" s="31" t="str">
        <f>IF(OR(M224="Modified",M224="Cosmetic"),VLOOKUP(B224,PrevPFS!B$1:E$833,4,FALSE),"")</f>
        <v/>
      </c>
    </row>
    <row r="225" spans="1:14" ht="45" x14ac:dyDescent="0.25">
      <c r="A225" s="31" t="str">
        <f>IF(ISNONTEXT(TR!K225),"",TR!K225)</f>
        <v/>
      </c>
      <c r="B225" s="32" t="str">
        <f>TR!A225</f>
        <v>TR-DSRSW-1485</v>
      </c>
      <c r="C225" s="31" t="b">
        <f>ISERROR(FIND("-",TR!B225))</f>
        <v>0</v>
      </c>
      <c r="D225" s="31">
        <f>SetIndent(E225,(TR!C225-1)*2)</f>
        <v>6</v>
      </c>
      <c r="E225" s="38" t="str">
        <f>IF(ISERROR(FIND("-",TR!B225)),TR!B225&amp;" "&amp;TR!D225,TR!D225)</f>
        <v>Note: FIFO implementation for the half-open connections buffer provides overflow prevention and the efficient recovery following the attack, still allowing legitimate connections to be served (depending on the rate of the SYN-flood)</v>
      </c>
      <c r="F225" s="31" t="str">
        <f>TR!E225</f>
        <v>Com</v>
      </c>
      <c r="G225" s="31" t="str">
        <f>IF(ISERROR(FIND("Adara",TR!F225)),"","Adara ")</f>
        <v xml:space="preserve">Adara </v>
      </c>
      <c r="H225" s="31" t="str">
        <f>IF(ISERROR(FIND("Copernicus",TR!F225)),"","Copernicus ")</f>
        <v xml:space="preserve">Copernicus </v>
      </c>
      <c r="I225" s="31" t="str">
        <f>IF(ISERROR(FIND("Deneb",TR!F225)),"","Deneb ")</f>
        <v xml:space="preserve">Deneb </v>
      </c>
      <c r="J225" s="37" t="str">
        <f t="shared" si="3"/>
        <v xml:space="preserve">Adara Copernicus Deneb </v>
      </c>
      <c r="K225" s="31" t="str">
        <f>IF(ISBLANK(TR!G225),"",TR!G225)</f>
        <v/>
      </c>
      <c r="L225" s="31" t="str">
        <f>IF(ISBLANK(TR!H225),"",TR!H225)</f>
        <v>FR-DSRSW-1348</v>
      </c>
      <c r="M225" s="30" t="str">
        <f>TR!J225</f>
        <v>Approved</v>
      </c>
      <c r="N225" s="31" t="str">
        <f>IF(OR(M225="Modified",M225="Cosmetic"),VLOOKUP(B225,PrevPFS!B$1:E$833,4,FALSE),"")</f>
        <v/>
      </c>
    </row>
    <row r="226" spans="1:14" ht="45" x14ac:dyDescent="0.25">
      <c r="A226" s="31" t="str">
        <f>IF(ISNONTEXT(TR!K226),"",TR!K226)</f>
        <v/>
      </c>
      <c r="B226" s="32" t="str">
        <f>TR!A226</f>
        <v>TR-DSRSW-1486</v>
      </c>
      <c r="C226" s="31" t="b">
        <f>ISERROR(FIND("-",TR!B226))</f>
        <v>1</v>
      </c>
      <c r="D226" s="31">
        <f>SetIndent(E226,(TR!C226-1)*2)</f>
        <v>4</v>
      </c>
      <c r="E226" s="35" t="str">
        <f>IF(ISERROR(FIND("-",TR!B226)),TR!B226&amp;" "&amp;TR!D226,TR!D226)</f>
        <v>11.3.5 SNMP Disable</v>
      </c>
      <c r="F226" s="31" t="str">
        <f>TR!E226</f>
        <v>Hdr</v>
      </c>
      <c r="G226" s="31" t="str">
        <f>IF(ISERROR(FIND("Adara",TR!F226)),"","Adara ")</f>
        <v xml:space="preserve">Adara </v>
      </c>
      <c r="H226" s="31" t="str">
        <f>IF(ISERROR(FIND("Copernicus",TR!F226)),"","Copernicus ")</f>
        <v xml:space="preserve">Copernicus </v>
      </c>
      <c r="I226" s="31" t="str">
        <f>IF(ISERROR(FIND("Deneb",TR!F226)),"","Deneb ")</f>
        <v xml:space="preserve">Deneb </v>
      </c>
      <c r="J226" s="37" t="str">
        <f t="shared" si="3"/>
        <v xml:space="preserve">Adara Copernicus Deneb </v>
      </c>
      <c r="K226" s="31" t="str">
        <f>IF(ISBLANK(TR!G226),"",TR!G226)</f>
        <v/>
      </c>
      <c r="L226" s="31" t="str">
        <f>IF(ISBLANK(TR!H226),"",TR!H226)</f>
        <v>FR-DSRSW-1348</v>
      </c>
      <c r="M226" s="30" t="str">
        <f>TR!J226</f>
        <v>Approved</v>
      </c>
      <c r="N226" s="31" t="str">
        <f>IF(OR(M226="Modified",M226="Cosmetic"),VLOOKUP(B226,PrevPFS!B$1:E$833,4,FALSE),"")</f>
        <v/>
      </c>
    </row>
    <row r="227" spans="1:14" ht="45" x14ac:dyDescent="0.25">
      <c r="A227" s="31" t="str">
        <f>IF(ISNONTEXT(TR!K227),"",TR!K227)</f>
        <v>TR-0-NETSEC-FPR-1021</v>
      </c>
      <c r="B227" s="32" t="str">
        <f>TR!A227</f>
        <v>TR-DSRSW-1487</v>
      </c>
      <c r="C227" s="31" t="b">
        <f>ISERROR(FIND("-",TR!B227))</f>
        <v>0</v>
      </c>
      <c r="D227" s="31">
        <f>SetIndent(E227,(TR!C227-1)*2)</f>
        <v>6</v>
      </c>
      <c r="E227" s="38" t="str">
        <f>IF(ISERROR(FIND("-",TR!B227)),TR!B227&amp;" "&amp;TR!D227,TR!D227)</f>
        <v>The Product SHALL ignore each SNMP message received from the Home Network interfaces.</v>
      </c>
      <c r="F227" s="31" t="str">
        <f>TR!E227</f>
        <v>Req</v>
      </c>
      <c r="G227" s="31" t="str">
        <f>IF(ISERROR(FIND("Adara",TR!F227)),"","Adara ")</f>
        <v xml:space="preserve">Adara </v>
      </c>
      <c r="H227" s="31" t="str">
        <f>IF(ISERROR(FIND("Copernicus",TR!F227)),"","Copernicus ")</f>
        <v xml:space="preserve">Copernicus </v>
      </c>
      <c r="I227" s="31" t="str">
        <f>IF(ISERROR(FIND("Deneb",TR!F227)),"","Deneb ")</f>
        <v xml:space="preserve">Deneb </v>
      </c>
      <c r="J227" s="37" t="str">
        <f t="shared" si="3"/>
        <v xml:space="preserve">Adara Copernicus Deneb </v>
      </c>
      <c r="K227" s="31" t="str">
        <f>IF(ISBLANK(TR!G227),"",TR!G227)</f>
        <v/>
      </c>
      <c r="L227" s="31" t="str">
        <f>IF(ISBLANK(TR!H227),"",TR!H227)</f>
        <v>FR-DSRSW-1348</v>
      </c>
      <c r="M227" s="30" t="str">
        <f>TR!J227</f>
        <v>Approved</v>
      </c>
      <c r="N227" s="31" t="str">
        <f>IF(OR(M227="Modified",M227="Cosmetic"),VLOOKUP(B227,PrevPFS!B$1:E$833,4,FALSE),"")</f>
        <v/>
      </c>
    </row>
    <row r="228" spans="1:14" ht="345" x14ac:dyDescent="0.25">
      <c r="A228" s="31" t="str">
        <f>IF(ISNONTEXT(TR!K228),"",TR!K228)</f>
        <v/>
      </c>
      <c r="B228" s="32" t="str">
        <f>TR!A228</f>
        <v>TR-DSRSW-1488</v>
      </c>
      <c r="C228" s="31" t="b">
        <f>ISERROR(FIND("-",TR!B228))</f>
        <v>0</v>
      </c>
      <c r="D228" s="31">
        <f>SetIndent(E228,(TR!C228-1)*2)</f>
        <v>6</v>
      </c>
      <c r="E228" s="38" t="str">
        <f>IF(ISERROR(FIND("-",TR!B228)),TR!B228&amp;" "&amp;TR!D228,TR!D228)</f>
        <v>Comment: Owing to the nature of communications technology, it is not possible to create a platform that is impenetrable to attack.  There are many methods available to increase the resiliency and robustness of networked devices, however.  It is important here to define exactly what is meant by "resiliency to attack", as this can be interpreted in a number of ways.  
In this context it is expected that while under attack the system may become sluggish or that some functions may even become unresponsive (i.e. under a Denial of Service "TCP SYN-flood" attack it is expected that the establishment of network communications may not be possible until the attack is blocked or ceases).  These conbuffer ditions may also lead to a system reset, as the CPU load is monitored to ensure that no "dead" function or application can grind the system to a halt (the "watchdog" function will force a reset if it determines the CPU is unduly loaded in order to reset any offending functions and return to normal operating capacity as quickly as possible).  It is therefore acceptable for the settop to reset in response to "flooding attacks" as a result of the operation of the watchdog function.
It is unacceptable, however, for any software exception resulting from an attack to result in a system reset, hang or crash, or the corruption of any sensitive information resident in memory (code objects, configuration information, stored content, etc.).  As an example, a buffer overflow exception must be properly handled without resulting in a reset or any corruption of stored data.  A further example of unacceptable behavior would be a malformed packet that results in some software module becoming trapped in a loop, causing the CPU to become unduly loaded and triggering the watchdog function to reset the settop.</v>
      </c>
      <c r="F228" s="31" t="str">
        <f>TR!E228</f>
        <v>Com</v>
      </c>
      <c r="G228" s="31" t="str">
        <f>IF(ISERROR(FIND("Adara",TR!F228)),"","Adara ")</f>
        <v xml:space="preserve">Adara </v>
      </c>
      <c r="H228" s="31" t="str">
        <f>IF(ISERROR(FIND("Copernicus",TR!F228)),"","Copernicus ")</f>
        <v xml:space="preserve">Copernicus </v>
      </c>
      <c r="I228" s="31" t="str">
        <f>IF(ISERROR(FIND("Deneb",TR!F228)),"","Deneb ")</f>
        <v xml:space="preserve">Deneb </v>
      </c>
      <c r="J228" s="37" t="str">
        <f t="shared" si="3"/>
        <v xml:space="preserve">Adara Copernicus Deneb </v>
      </c>
      <c r="K228" s="31" t="str">
        <f>IF(ISBLANK(TR!G228),"",TR!G228)</f>
        <v/>
      </c>
      <c r="L228" s="31" t="str">
        <f>IF(ISBLANK(TR!H228),"",TR!H228)</f>
        <v>FR-DSRSW-1348</v>
      </c>
      <c r="M228" s="30" t="str">
        <f>TR!J228</f>
        <v>Approved</v>
      </c>
      <c r="N228" s="31" t="str">
        <f>IF(OR(M228="Modified",M228="Cosmetic"),VLOOKUP(B228,PrevPFS!B$1:E$833,4,FALSE),"")</f>
        <v/>
      </c>
    </row>
    <row r="229" spans="1:14" ht="45" x14ac:dyDescent="0.25">
      <c r="A229" s="31" t="str">
        <f>IF(ISNONTEXT(TR!K229),"",TR!K229)</f>
        <v>TR-0-NETSEC-FPR-1068</v>
      </c>
      <c r="B229" s="32" t="str">
        <f>TR!A229</f>
        <v>TR-DSRSW-1489</v>
      </c>
      <c r="C229" s="31" t="b">
        <f>ISERROR(FIND("-",TR!B229))</f>
        <v>0</v>
      </c>
      <c r="D229" s="31">
        <f>SetIndent(E229,(TR!C229-1)*2)</f>
        <v>6</v>
      </c>
      <c r="E229" s="38" t="str">
        <f>IF(ISERROR(FIND("-",TR!B229)),TR!B229&amp;" "&amp;TR!D229,TR!D229)</f>
        <v>The product SHALL process each buffer overflow exception without resulting in a system reset or memory corruption.</v>
      </c>
      <c r="F229" s="31" t="str">
        <f>TR!E229</f>
        <v>Req</v>
      </c>
      <c r="G229" s="31" t="str">
        <f>IF(ISERROR(FIND("Adara",TR!F229)),"","Adara ")</f>
        <v xml:space="preserve">Adara </v>
      </c>
      <c r="H229" s="31" t="str">
        <f>IF(ISERROR(FIND("Copernicus",TR!F229)),"","Copernicus ")</f>
        <v xml:space="preserve">Copernicus </v>
      </c>
      <c r="I229" s="31" t="str">
        <f>IF(ISERROR(FIND("Deneb",TR!F229)),"","Deneb ")</f>
        <v xml:space="preserve">Deneb </v>
      </c>
      <c r="J229" s="37" t="str">
        <f t="shared" si="3"/>
        <v xml:space="preserve">Adara Copernicus Deneb </v>
      </c>
      <c r="K229" s="31" t="str">
        <f>IF(ISBLANK(TR!G229),"",TR!G229)</f>
        <v/>
      </c>
      <c r="L229" s="31" t="str">
        <f>IF(ISBLANK(TR!H229),"",TR!H229)</f>
        <v>FR-DSRSW-1348</v>
      </c>
      <c r="M229" s="30" t="str">
        <f>TR!J229</f>
        <v>Approved</v>
      </c>
      <c r="N229" s="31" t="str">
        <f>IF(OR(M229="Modified",M229="Cosmetic"),VLOOKUP(B229,PrevPFS!B$1:E$833,4,FALSE),"")</f>
        <v/>
      </c>
    </row>
    <row r="230" spans="1:14" ht="105" x14ac:dyDescent="0.25">
      <c r="A230" s="31" t="str">
        <f>IF(ISNONTEXT(TR!K230),"",TR!K230)</f>
        <v/>
      </c>
      <c r="B230" s="32" t="str">
        <f>TR!A230</f>
        <v>TR-DSRSW-1490</v>
      </c>
      <c r="C230" s="31" t="b">
        <f>ISERROR(FIND("-",TR!B230))</f>
        <v>0</v>
      </c>
      <c r="D230" s="31">
        <f>SetIndent(E230,(TR!C230-1)*2)</f>
        <v>6</v>
      </c>
      <c r="E230" s="38" t="str">
        <f>IF(ISERROR(FIND("-",TR!B230)),TR!B230&amp;" "&amp;TR!D230,TR!D230)</f>
        <v>Comment: features that utilize network communications may open vulnerabilities previously not present on the CPE.  In order to prevent such vulnerabilities from being introduced and possibly exploited, some generally accepted security practices in the information processing and data communications industry should be required of all software executing on the CPE.  The requirements included in this section apply generally to software that may be loaded on the STB platform (including Arris platform code and 3rd party vendor developed application code).</v>
      </c>
      <c r="F230" s="31" t="str">
        <f>TR!E230</f>
        <v>Com</v>
      </c>
      <c r="G230" s="31" t="str">
        <f>IF(ISERROR(FIND("Adara",TR!F230)),"","Adara ")</f>
        <v xml:space="preserve">Adara </v>
      </c>
      <c r="H230" s="31" t="str">
        <f>IF(ISERROR(FIND("Copernicus",TR!F230)),"","Copernicus ")</f>
        <v xml:space="preserve">Copernicus </v>
      </c>
      <c r="I230" s="31" t="str">
        <f>IF(ISERROR(FIND("Deneb",TR!F230)),"","Deneb ")</f>
        <v xml:space="preserve">Deneb </v>
      </c>
      <c r="J230" s="37" t="str">
        <f t="shared" si="3"/>
        <v xml:space="preserve">Adara Copernicus Deneb </v>
      </c>
      <c r="K230" s="31" t="str">
        <f>IF(ISBLANK(TR!G230),"",TR!G230)</f>
        <v/>
      </c>
      <c r="L230" s="31" t="str">
        <f>IF(ISBLANK(TR!H230),"",TR!H230)</f>
        <v>FR-DSRSW-1348</v>
      </c>
      <c r="M230" s="30" t="str">
        <f>TR!J230</f>
        <v>Approved</v>
      </c>
      <c r="N230" s="31" t="str">
        <f>IF(OR(M230="Modified",M230="Cosmetic"),VLOOKUP(B230,PrevPFS!B$1:E$833,4,FALSE),"")</f>
        <v/>
      </c>
    </row>
    <row r="231" spans="1:14" ht="105" x14ac:dyDescent="0.25">
      <c r="A231" s="31" t="str">
        <f>IF(ISNONTEXT(TR!K231),"",TR!K231)</f>
        <v/>
      </c>
      <c r="B231" s="32" t="str">
        <f>TR!A231</f>
        <v>TR-DSRSW-1491</v>
      </c>
      <c r="C231" s="31" t="b">
        <f>ISERROR(FIND("-",TR!B231))</f>
        <v>0</v>
      </c>
      <c r="D231" s="31">
        <f>SetIndent(E231,(TR!C231-1)*2)</f>
        <v>6</v>
      </c>
      <c r="E231" s="38" t="str">
        <f>IF(ISERROR(FIND("-",TR!B231)),TR!B231&amp;" "&amp;TR!D231,TR!D231)</f>
        <v>Comment: features that utilize network communications may open vulnerabilities previously not present on the CPE.  In order to prevent such vulnerabilities from being introduced and possibly exploited, some generally accepted security practices in the information processing and data communications industry should be required of all software executing on the CPE.  The requirements included in this section apply generally to software that may be loaded on the STB platform (including Arris platform code and 3rd party vendor developed application code).</v>
      </c>
      <c r="F231" s="31" t="str">
        <f>TR!E231</f>
        <v>Com</v>
      </c>
      <c r="G231" s="31" t="str">
        <f>IF(ISERROR(FIND("Adara",TR!F231)),"","Adara ")</f>
        <v xml:space="preserve">Adara </v>
      </c>
      <c r="H231" s="31" t="str">
        <f>IF(ISERROR(FIND("Copernicus",TR!F231)),"","Copernicus ")</f>
        <v xml:space="preserve">Copernicus </v>
      </c>
      <c r="I231" s="31" t="str">
        <f>IF(ISERROR(FIND("Deneb",TR!F231)),"","Deneb ")</f>
        <v xml:space="preserve">Deneb </v>
      </c>
      <c r="J231" s="37" t="str">
        <f t="shared" si="3"/>
        <v xml:space="preserve">Adara Copernicus Deneb </v>
      </c>
      <c r="K231" s="31" t="str">
        <f>IF(ISBLANK(TR!G231),"",TR!G231)</f>
        <v/>
      </c>
      <c r="L231" s="31" t="str">
        <f>IF(ISBLANK(TR!H231),"",TR!H231)</f>
        <v>FR-DSRSW-1348</v>
      </c>
      <c r="M231" s="30" t="str">
        <f>TR!J231</f>
        <v>Approved</v>
      </c>
      <c r="N231" s="31" t="str">
        <f>IF(OR(M231="Modified",M231="Cosmetic"),VLOOKUP(B231,PrevPFS!B$1:E$833,4,FALSE),"")</f>
        <v/>
      </c>
    </row>
    <row r="232" spans="1:14" ht="45" x14ac:dyDescent="0.25">
      <c r="A232" s="31" t="str">
        <f>IF(ISNONTEXT(TR!K232),"",TR!K232)</f>
        <v>TR-0-NETSEC-FPR-1069</v>
      </c>
      <c r="B232" s="32" t="str">
        <f>TR!A232</f>
        <v>TR-DSRSW-1492</v>
      </c>
      <c r="C232" s="31" t="b">
        <f>ISERROR(FIND("-",TR!B232))</f>
        <v>0</v>
      </c>
      <c r="D232" s="31">
        <f>SetIndent(E232,(TR!C232-1)*2)</f>
        <v>6</v>
      </c>
      <c r="E232" s="38" t="str">
        <f>IF(ISERROR(FIND("-",TR!B232)),TR!B232&amp;" "&amp;TR!D232,TR!D232)</f>
        <v>The product SHALL prohibit downloading code objects from unauthenticated sources. (in order to secure the product against "Trojan Horse" attacks).</v>
      </c>
      <c r="F232" s="31" t="str">
        <f>TR!E232</f>
        <v>Req</v>
      </c>
      <c r="G232" s="31" t="str">
        <f>IF(ISERROR(FIND("Adara",TR!F232)),"","Adara ")</f>
        <v xml:space="preserve">Adara </v>
      </c>
      <c r="H232" s="31" t="str">
        <f>IF(ISERROR(FIND("Copernicus",TR!F232)),"","Copernicus ")</f>
        <v xml:space="preserve">Copernicus </v>
      </c>
      <c r="I232" s="31" t="str">
        <f>IF(ISERROR(FIND("Deneb",TR!F232)),"","Deneb ")</f>
        <v xml:space="preserve">Deneb </v>
      </c>
      <c r="J232" s="37" t="str">
        <f t="shared" si="3"/>
        <v xml:space="preserve">Adara Copernicus Deneb </v>
      </c>
      <c r="K232" s="31" t="str">
        <f>IF(ISBLANK(TR!G232),"",TR!G232)</f>
        <v/>
      </c>
      <c r="L232" s="31" t="str">
        <f>IF(ISBLANK(TR!H232),"",TR!H232)</f>
        <v>FR-DSRSW-1348</v>
      </c>
      <c r="M232" s="30" t="str">
        <f>TR!J232</f>
        <v>Approved</v>
      </c>
      <c r="N232" s="31" t="str">
        <f>IF(OR(M232="Modified",M232="Cosmetic"),VLOOKUP(B232,PrevPFS!B$1:E$833,4,FALSE),"")</f>
        <v/>
      </c>
    </row>
    <row r="233" spans="1:14" ht="45" x14ac:dyDescent="0.25">
      <c r="A233" s="31" t="str">
        <f>IF(ISNONTEXT(TR!K233),"",TR!K233)</f>
        <v>TR-0-NETSEC-FPR-1070</v>
      </c>
      <c r="B233" s="32" t="str">
        <f>TR!A233</f>
        <v>TR-DSRSW-1493</v>
      </c>
      <c r="C233" s="31" t="b">
        <f>ISERROR(FIND("-",TR!B233))</f>
        <v>0</v>
      </c>
      <c r="D233" s="31">
        <f>SetIndent(E233,(TR!C233-1)*2)</f>
        <v>6</v>
      </c>
      <c r="E233" s="38" t="str">
        <f>IF(ISERROR(FIND("-",TR!B233)),TR!B233&amp;" "&amp;TR!D233,TR!D233)</f>
        <v>The product SHALL disable the 'rlogin' protocol.</v>
      </c>
      <c r="F233" s="31" t="str">
        <f>TR!E233</f>
        <v>Req</v>
      </c>
      <c r="G233" s="31" t="str">
        <f>IF(ISERROR(FIND("Adara",TR!F233)),"","Adara ")</f>
        <v xml:space="preserve">Adara </v>
      </c>
      <c r="H233" s="31" t="str">
        <f>IF(ISERROR(FIND("Copernicus",TR!F233)),"","Copernicus ")</f>
        <v xml:space="preserve">Copernicus </v>
      </c>
      <c r="I233" s="31" t="str">
        <f>IF(ISERROR(FIND("Deneb",TR!F233)),"","Deneb ")</f>
        <v xml:space="preserve">Deneb </v>
      </c>
      <c r="J233" s="37" t="str">
        <f t="shared" si="3"/>
        <v xml:space="preserve">Adara Copernicus Deneb </v>
      </c>
      <c r="K233" s="31" t="str">
        <f>IF(ISBLANK(TR!G233),"",TR!G233)</f>
        <v/>
      </c>
      <c r="L233" s="31" t="str">
        <f>IF(ISBLANK(TR!H233),"",TR!H233)</f>
        <v>FR-DSRSW-1348</v>
      </c>
      <c r="M233" s="30" t="str">
        <f>TR!J233</f>
        <v>Approved</v>
      </c>
      <c r="N233" s="31" t="str">
        <f>IF(OR(M233="Modified",M233="Cosmetic"),VLOOKUP(B233,PrevPFS!B$1:E$833,4,FALSE),"")</f>
        <v/>
      </c>
    </row>
    <row r="234" spans="1:14" ht="45" x14ac:dyDescent="0.25">
      <c r="A234" s="31" t="str">
        <f>IF(ISNONTEXT(TR!K234),"",TR!K234)</f>
        <v>TR-0-NETSEC-FPR-1071</v>
      </c>
      <c r="B234" s="32" t="str">
        <f>TR!A234</f>
        <v>TR-DSRSW-1494</v>
      </c>
      <c r="C234" s="31" t="b">
        <f>ISERROR(FIND("-",TR!B234))</f>
        <v>0</v>
      </c>
      <c r="D234" s="31">
        <f>SetIndent(E234,(TR!C234-1)*2)</f>
        <v>6</v>
      </c>
      <c r="E234" s="38" t="str">
        <f>IF(ISERROR(FIND("-",TR!B234)),TR!B234&amp;" "&amp;TR!D234,TR!D234)</f>
        <v>The product SHALL disable the 'rcp' protocol.</v>
      </c>
      <c r="F234" s="31" t="str">
        <f>TR!E234</f>
        <v>Req</v>
      </c>
      <c r="G234" s="31" t="str">
        <f>IF(ISERROR(FIND("Adara",TR!F234)),"","Adara ")</f>
        <v xml:space="preserve">Adara </v>
      </c>
      <c r="H234" s="31" t="str">
        <f>IF(ISERROR(FIND("Copernicus",TR!F234)),"","Copernicus ")</f>
        <v xml:space="preserve">Copernicus </v>
      </c>
      <c r="I234" s="31" t="str">
        <f>IF(ISERROR(FIND("Deneb",TR!F234)),"","Deneb ")</f>
        <v xml:space="preserve">Deneb </v>
      </c>
      <c r="J234" s="37" t="str">
        <f t="shared" si="3"/>
        <v xml:space="preserve">Adara Copernicus Deneb </v>
      </c>
      <c r="K234" s="31" t="str">
        <f>IF(ISBLANK(TR!G234),"",TR!G234)</f>
        <v/>
      </c>
      <c r="L234" s="31" t="str">
        <f>IF(ISBLANK(TR!H234),"",TR!H234)</f>
        <v>FR-DSRSW-1348</v>
      </c>
      <c r="M234" s="30" t="str">
        <f>TR!J234</f>
        <v>Approved</v>
      </c>
      <c r="N234" s="31" t="str">
        <f>IF(OR(M234="Modified",M234="Cosmetic"),VLOOKUP(B234,PrevPFS!B$1:E$833,4,FALSE),"")</f>
        <v/>
      </c>
    </row>
    <row r="235" spans="1:14" ht="45" x14ac:dyDescent="0.25">
      <c r="A235" s="31" t="str">
        <f>IF(ISNONTEXT(TR!K235),"",TR!K235)</f>
        <v>TR-0-NETSEC-FPR-1072</v>
      </c>
      <c r="B235" s="32" t="str">
        <f>TR!A235</f>
        <v>TR-DSRSW-1495</v>
      </c>
      <c r="C235" s="31" t="b">
        <f>ISERROR(FIND("-",TR!B235))</f>
        <v>0</v>
      </c>
      <c r="D235" s="31">
        <f>SetIndent(E235,(TR!C235-1)*2)</f>
        <v>6</v>
      </c>
      <c r="E235" s="38" t="str">
        <f>IF(ISERROR(FIND("-",TR!B235)),TR!B235&amp;" "&amp;TR!D235,TR!D235)</f>
        <v>The product SHALL disable the 'rsh' protocol.</v>
      </c>
      <c r="F235" s="31" t="str">
        <f>TR!E235</f>
        <v>Req</v>
      </c>
      <c r="G235" s="31" t="str">
        <f>IF(ISERROR(FIND("Adara",TR!F235)),"","Adara ")</f>
        <v xml:space="preserve">Adara </v>
      </c>
      <c r="H235" s="31" t="str">
        <f>IF(ISERROR(FIND("Copernicus",TR!F235)),"","Copernicus ")</f>
        <v xml:space="preserve">Copernicus </v>
      </c>
      <c r="I235" s="31" t="str">
        <f>IF(ISERROR(FIND("Deneb",TR!F235)),"","Deneb ")</f>
        <v xml:space="preserve">Deneb </v>
      </c>
      <c r="J235" s="37" t="str">
        <f t="shared" si="3"/>
        <v xml:space="preserve">Adara Copernicus Deneb </v>
      </c>
      <c r="K235" s="31" t="str">
        <f>IF(ISBLANK(TR!G235),"",TR!G235)</f>
        <v/>
      </c>
      <c r="L235" s="31" t="str">
        <f>IF(ISBLANK(TR!H235),"",TR!H235)</f>
        <v>FR-DSRSW-1348</v>
      </c>
      <c r="M235" s="30" t="str">
        <f>TR!J235</f>
        <v>Approved</v>
      </c>
      <c r="N235" s="31" t="str">
        <f>IF(OR(M235="Modified",M235="Cosmetic"),VLOOKUP(B235,PrevPFS!B$1:E$833,4,FALSE),"")</f>
        <v/>
      </c>
    </row>
    <row r="236" spans="1:14" ht="45" x14ac:dyDescent="0.25">
      <c r="A236" s="31" t="str">
        <f>IF(ISNONTEXT(TR!K236),"",TR!K236)</f>
        <v>TR-0-NETSEC-FPR-1073</v>
      </c>
      <c r="B236" s="32" t="str">
        <f>TR!A236</f>
        <v>TR-DSRSW-1496</v>
      </c>
      <c r="C236" s="31" t="b">
        <f>ISERROR(FIND("-",TR!B236))</f>
        <v>0</v>
      </c>
      <c r="D236" s="31">
        <f>SetIndent(E236,(TR!C236-1)*2)</f>
        <v>6</v>
      </c>
      <c r="E236" s="38" t="str">
        <f>IF(ISERROR(FIND("-",TR!B236)),TR!B236&amp;" "&amp;TR!D236,TR!D236)</f>
        <v>The product SHALL disable the anonymous FTP protocol.</v>
      </c>
      <c r="F236" s="31" t="str">
        <f>TR!E236</f>
        <v>Req</v>
      </c>
      <c r="G236" s="31" t="str">
        <f>IF(ISERROR(FIND("Adara",TR!F236)),"","Adara ")</f>
        <v xml:space="preserve">Adara </v>
      </c>
      <c r="H236" s="31" t="str">
        <f>IF(ISERROR(FIND("Copernicus",TR!F236)),"","Copernicus ")</f>
        <v xml:space="preserve">Copernicus </v>
      </c>
      <c r="I236" s="31" t="str">
        <f>IF(ISERROR(FIND("Deneb",TR!F236)),"","Deneb ")</f>
        <v xml:space="preserve">Deneb </v>
      </c>
      <c r="J236" s="37" t="str">
        <f t="shared" si="3"/>
        <v xml:space="preserve">Adara Copernicus Deneb </v>
      </c>
      <c r="K236" s="31" t="str">
        <f>IF(ISBLANK(TR!G236),"",TR!G236)</f>
        <v/>
      </c>
      <c r="L236" s="31" t="str">
        <f>IF(ISBLANK(TR!H236),"",TR!H236)</f>
        <v>FR-DSRSW-1348</v>
      </c>
      <c r="M236" s="30" t="str">
        <f>TR!J236</f>
        <v>Approved</v>
      </c>
      <c r="N236" s="31" t="str">
        <f>IF(OR(M236="Modified",M236="Cosmetic"),VLOOKUP(B236,PrevPFS!B$1:E$833,4,FALSE),"")</f>
        <v/>
      </c>
    </row>
    <row r="237" spans="1:14" ht="45" x14ac:dyDescent="0.25">
      <c r="A237" s="31" t="str">
        <f>IF(ISNONTEXT(TR!K237),"",TR!K237)</f>
        <v>TR-0-NETSEC-FPR-1074</v>
      </c>
      <c r="B237" s="32" t="str">
        <f>TR!A237</f>
        <v>TR-DSRSW-1497</v>
      </c>
      <c r="C237" s="31" t="b">
        <f>ISERROR(FIND("-",TR!B237))</f>
        <v>0</v>
      </c>
      <c r="D237" s="31">
        <f>SetIndent(E237,(TR!C237-1)*2)</f>
        <v>6</v>
      </c>
      <c r="E237" s="38" t="str">
        <f>IF(ISERROR(FIND("-",TR!B237)),TR!B237&amp;" "&amp;TR!D237,TR!D237)</f>
        <v>The product SHALL disable the Network File System (NFS) protocol.</v>
      </c>
      <c r="F237" s="31" t="str">
        <f>TR!E237</f>
        <v>Req</v>
      </c>
      <c r="G237" s="31" t="str">
        <f>IF(ISERROR(FIND("Adara",TR!F237)),"","Adara ")</f>
        <v xml:space="preserve">Adara </v>
      </c>
      <c r="H237" s="31" t="str">
        <f>IF(ISERROR(FIND("Copernicus",TR!F237)),"","Copernicus ")</f>
        <v xml:space="preserve">Copernicus </v>
      </c>
      <c r="I237" s="31" t="str">
        <f>IF(ISERROR(FIND("Deneb",TR!F237)),"","Deneb ")</f>
        <v xml:space="preserve">Deneb </v>
      </c>
      <c r="J237" s="37" t="str">
        <f t="shared" si="3"/>
        <v xml:space="preserve">Adara Copernicus Deneb </v>
      </c>
      <c r="K237" s="31" t="str">
        <f>IF(ISBLANK(TR!G237),"",TR!G237)</f>
        <v/>
      </c>
      <c r="L237" s="31" t="str">
        <f>IF(ISBLANK(TR!H237),"",TR!H237)</f>
        <v>FR-DSRSW-1348</v>
      </c>
      <c r="M237" s="30" t="str">
        <f>TR!J237</f>
        <v>Approved</v>
      </c>
      <c r="N237" s="31" t="str">
        <f>IF(OR(M237="Modified",M237="Cosmetic"),VLOOKUP(B237,PrevPFS!B$1:E$833,4,FALSE),"")</f>
        <v/>
      </c>
    </row>
    <row r="238" spans="1:14" ht="45" x14ac:dyDescent="0.25">
      <c r="A238" s="31" t="str">
        <f>IF(ISNONTEXT(TR!K238),"",TR!K238)</f>
        <v>TR-0-NETSEC-FPR-1075</v>
      </c>
      <c r="B238" s="32" t="str">
        <f>TR!A238</f>
        <v>TR-DSRSW-1498</v>
      </c>
      <c r="C238" s="31" t="b">
        <f>ISERROR(FIND("-",TR!B238))</f>
        <v>0</v>
      </c>
      <c r="D238" s="31">
        <f>SetIndent(E238,(TR!C238-1)*2)</f>
        <v>6</v>
      </c>
      <c r="E238" s="38" t="str">
        <f>IF(ISERROR(FIND("-",TR!B238)),TR!B238&amp;" "&amp;TR!D238,TR!D238)</f>
        <v>The product SHALL disable generation and processing of traceroute packets.</v>
      </c>
      <c r="F238" s="31" t="str">
        <f>TR!E238</f>
        <v>Req</v>
      </c>
      <c r="G238" s="31" t="str">
        <f>IF(ISERROR(FIND("Adara",TR!F238)),"","Adara ")</f>
        <v xml:space="preserve">Adara </v>
      </c>
      <c r="H238" s="31" t="str">
        <f>IF(ISERROR(FIND("Copernicus",TR!F238)),"","Copernicus ")</f>
        <v xml:space="preserve">Copernicus </v>
      </c>
      <c r="I238" s="31" t="str">
        <f>IF(ISERROR(FIND("Deneb",TR!F238)),"","Deneb ")</f>
        <v xml:space="preserve">Deneb </v>
      </c>
      <c r="J238" s="37" t="str">
        <f t="shared" si="3"/>
        <v xml:space="preserve">Adara Copernicus Deneb </v>
      </c>
      <c r="K238" s="31" t="str">
        <f>IF(ISBLANK(TR!G238),"",TR!G238)</f>
        <v/>
      </c>
      <c r="L238" s="31" t="str">
        <f>IF(ISBLANK(TR!H238),"",TR!H238)</f>
        <v>FR-DSRSW-1348</v>
      </c>
      <c r="M238" s="30" t="str">
        <f>TR!J238</f>
        <v>Approved</v>
      </c>
      <c r="N238" s="31" t="str">
        <f>IF(OR(M238="Modified",M238="Cosmetic"),VLOOKUP(B238,PrevPFS!B$1:E$833,4,FALSE),"")</f>
        <v/>
      </c>
    </row>
    <row r="239" spans="1:14" ht="45" x14ac:dyDescent="0.25">
      <c r="A239" s="31" t="str">
        <f>IF(ISNONTEXT(TR!K239),"",TR!K239)</f>
        <v>TR-0-NETSEC-FPR-1076</v>
      </c>
      <c r="B239" s="32" t="str">
        <f>TR!A239</f>
        <v>TR-DSRSW-1499</v>
      </c>
      <c r="C239" s="31" t="b">
        <f>ISERROR(FIND("-",TR!B239))</f>
        <v>0</v>
      </c>
      <c r="D239" s="31">
        <f>SetIndent(E239,(TR!C239-1)*2)</f>
        <v>6</v>
      </c>
      <c r="E239" s="38" t="str">
        <f>IF(ISERROR(FIND("-",TR!B239)),TR!B239&amp;" "&amp;TR!D239,TR!D239)</f>
        <v>The product SHALL disable generating a ping request.</v>
      </c>
      <c r="F239" s="31" t="str">
        <f>TR!E239</f>
        <v>Req</v>
      </c>
      <c r="G239" s="31" t="str">
        <f>IF(ISERROR(FIND("Adara",TR!F239)),"","Adara ")</f>
        <v xml:space="preserve">Adara </v>
      </c>
      <c r="H239" s="31" t="str">
        <f>IF(ISERROR(FIND("Copernicus",TR!F239)),"","Copernicus ")</f>
        <v xml:space="preserve">Copernicus </v>
      </c>
      <c r="I239" s="31" t="str">
        <f>IF(ISERROR(FIND("Deneb",TR!F239)),"","Deneb ")</f>
        <v xml:space="preserve">Deneb </v>
      </c>
      <c r="J239" s="37" t="str">
        <f t="shared" si="3"/>
        <v xml:space="preserve">Adara Copernicus Deneb </v>
      </c>
      <c r="K239" s="31" t="str">
        <f>IF(ISBLANK(TR!G239),"",TR!G239)</f>
        <v/>
      </c>
      <c r="L239" s="31" t="str">
        <f>IF(ISBLANK(TR!H239),"",TR!H239)</f>
        <v>FR-DSRSW-1348</v>
      </c>
      <c r="M239" s="30" t="str">
        <f>TR!J239</f>
        <v>Approved</v>
      </c>
      <c r="N239" s="31" t="str">
        <f>IF(OR(M239="Modified",M239="Cosmetic"),VLOOKUP(B239,PrevPFS!B$1:E$833,4,FALSE),"")</f>
        <v/>
      </c>
    </row>
    <row r="240" spans="1:14" ht="45" x14ac:dyDescent="0.25">
      <c r="A240" s="31" t="str">
        <f>IF(ISNONTEXT(TR!K240),"",TR!K240)</f>
        <v>TR-0-NETSEC-FPR-1084</v>
      </c>
      <c r="B240" s="32" t="str">
        <f>TR!A240</f>
        <v>TR-DSRSW-1501</v>
      </c>
      <c r="C240" s="31" t="b">
        <f>ISERROR(FIND("-",TR!B240))</f>
        <v>0</v>
      </c>
      <c r="D240" s="31">
        <f>SetIndent(E240,(TR!C240-1)*2)</f>
        <v>6</v>
      </c>
      <c r="E240" s="38" t="str">
        <f>IF(ISERROR(FIND("-",TR!B240)),TR!B240&amp;" "&amp;TR!D240,TR!D240)</f>
        <v>The product SHALL dynamically and immediately close the DNS port when not in use by the product.</v>
      </c>
      <c r="F240" s="31" t="str">
        <f>TR!E240</f>
        <v>Req</v>
      </c>
      <c r="G240" s="31" t="str">
        <f>IF(ISERROR(FIND("Adara",TR!F240)),"","Adara ")</f>
        <v xml:space="preserve">Adara </v>
      </c>
      <c r="H240" s="31" t="str">
        <f>IF(ISERROR(FIND("Copernicus",TR!F240)),"","Copernicus ")</f>
        <v xml:space="preserve">Copernicus </v>
      </c>
      <c r="I240" s="31" t="str">
        <f>IF(ISERROR(FIND("Deneb",TR!F240)),"","Deneb ")</f>
        <v xml:space="preserve">Deneb </v>
      </c>
      <c r="J240" s="37" t="str">
        <f t="shared" si="3"/>
        <v xml:space="preserve">Adara Copernicus Deneb </v>
      </c>
      <c r="K240" s="31" t="str">
        <f>IF(ISBLANK(TR!G240),"",TR!G240)</f>
        <v/>
      </c>
      <c r="L240" s="31" t="str">
        <f>IF(ISBLANK(TR!H240),"",TR!H240)</f>
        <v>FR-DSRSW-1348</v>
      </c>
      <c r="M240" s="30" t="str">
        <f>TR!J240</f>
        <v>Approved</v>
      </c>
      <c r="N240" s="31" t="str">
        <f>IF(OR(M240="Modified",M240="Cosmetic"),VLOOKUP(B240,PrevPFS!B$1:E$833,4,FALSE),"")</f>
        <v/>
      </c>
    </row>
    <row r="241" spans="1:14" ht="45" x14ac:dyDescent="0.25">
      <c r="A241" s="31" t="str">
        <f>IF(ISNONTEXT(TR!K241),"",TR!K241)</f>
        <v>TR-0-NETSEC-FPR-1085</v>
      </c>
      <c r="B241" s="32" t="str">
        <f>TR!A241</f>
        <v>TR-DSRSW-1502</v>
      </c>
      <c r="C241" s="31" t="b">
        <f>ISERROR(FIND("-",TR!B241))</f>
        <v>0</v>
      </c>
      <c r="D241" s="31">
        <f>SetIndent(E241,(TR!C241-1)*2)</f>
        <v>6</v>
      </c>
      <c r="E241" s="38" t="str">
        <f>IF(ISERROR(FIND("-",TR!B241)),TR!B241&amp;" "&amp;TR!D241,TR!D241)</f>
        <v>The product SHALL dynamically and immediately close the DHCP port when not in use by the product.</v>
      </c>
      <c r="F241" s="31" t="str">
        <f>TR!E241</f>
        <v>Req</v>
      </c>
      <c r="G241" s="31" t="str">
        <f>IF(ISERROR(FIND("Adara",TR!F241)),"","Adara ")</f>
        <v xml:space="preserve">Adara </v>
      </c>
      <c r="H241" s="31" t="str">
        <f>IF(ISERROR(FIND("Copernicus",TR!F241)),"","Copernicus ")</f>
        <v xml:space="preserve">Copernicus </v>
      </c>
      <c r="I241" s="31" t="str">
        <f>IF(ISERROR(FIND("Deneb",TR!F241)),"","Deneb ")</f>
        <v xml:space="preserve">Deneb </v>
      </c>
      <c r="J241" s="37" t="str">
        <f t="shared" si="3"/>
        <v xml:space="preserve">Adara Copernicus Deneb </v>
      </c>
      <c r="K241" s="31" t="str">
        <f>IF(ISBLANK(TR!G241),"",TR!G241)</f>
        <v/>
      </c>
      <c r="L241" s="31" t="str">
        <f>IF(ISBLANK(TR!H241),"",TR!H241)</f>
        <v>FR-DSRSW-1348</v>
      </c>
      <c r="M241" s="30" t="str">
        <f>TR!J241</f>
        <v>Approved</v>
      </c>
      <c r="N241" s="31" t="str">
        <f>IF(OR(M241="Modified",M241="Cosmetic"),VLOOKUP(B241,PrevPFS!B$1:E$833,4,FALSE),"")</f>
        <v/>
      </c>
    </row>
    <row r="242" spans="1:14" ht="45" x14ac:dyDescent="0.25">
      <c r="A242" s="31" t="str">
        <f>IF(ISNONTEXT(TR!K242),"",TR!K242)</f>
        <v>TR-0-NETSEC-FPR-1090</v>
      </c>
      <c r="B242" s="32" t="str">
        <f>TR!A242</f>
        <v>TR-DSRSW-1503</v>
      </c>
      <c r="C242" s="31" t="b">
        <f>ISERROR(FIND("-",TR!B242))</f>
        <v>0</v>
      </c>
      <c r="D242" s="31">
        <f>SetIndent(E242,(TR!C242-1)*2)</f>
        <v>6</v>
      </c>
      <c r="E242" s="38" t="str">
        <f>IF(ISERROR(FIND("-",TR!B242)),TR!B242&amp;" "&amp;TR!D242,TR!D242)</f>
        <v>The product SHALL ensure reading data from an IP communication port will not overrun a buffer.   (i.e. attempting to place N bytes into a buffer when the remaining buffer size is less that N bytes).</v>
      </c>
      <c r="F242" s="31" t="str">
        <f>TR!E242</f>
        <v>Req</v>
      </c>
      <c r="G242" s="31" t="str">
        <f>IF(ISERROR(FIND("Adara",TR!F242)),"","Adara ")</f>
        <v xml:space="preserve">Adara </v>
      </c>
      <c r="H242" s="31" t="str">
        <f>IF(ISERROR(FIND("Copernicus",TR!F242)),"","Copernicus ")</f>
        <v xml:space="preserve">Copernicus </v>
      </c>
      <c r="I242" s="31" t="str">
        <f>IF(ISERROR(FIND("Deneb",TR!F242)),"","Deneb ")</f>
        <v xml:space="preserve">Deneb </v>
      </c>
      <c r="J242" s="37" t="str">
        <f t="shared" si="3"/>
        <v xml:space="preserve">Adara Copernicus Deneb </v>
      </c>
      <c r="K242" s="31" t="str">
        <f>IF(ISBLANK(TR!G242),"",TR!G242)</f>
        <v/>
      </c>
      <c r="L242" s="31" t="str">
        <f>IF(ISBLANK(TR!H242),"",TR!H242)</f>
        <v>FR-DSRSW-1348</v>
      </c>
      <c r="M242" s="30" t="str">
        <f>TR!J242</f>
        <v>Approved</v>
      </c>
      <c r="N242" s="31" t="str">
        <f>IF(OR(M242="Modified",M242="Cosmetic"),VLOOKUP(B242,PrevPFS!B$1:E$833,4,FALSE),"")</f>
        <v/>
      </c>
    </row>
    <row r="243" spans="1:14" ht="45" x14ac:dyDescent="0.25">
      <c r="A243" s="31" t="str">
        <f>IF(ISNONTEXT(TR!K243),"",TR!K243)</f>
        <v/>
      </c>
      <c r="B243" s="32" t="str">
        <f>TR!A243</f>
        <v>TR-DSRSW-1504</v>
      </c>
      <c r="C243" s="31" t="b">
        <f>ISERROR(FIND("-",TR!B243))</f>
        <v>1</v>
      </c>
      <c r="D243" s="31">
        <f>SetIndent(E243,(TR!C243-1)*2)</f>
        <v>2</v>
      </c>
      <c r="E243" s="34" t="str">
        <f>IF(ISERROR(FIND("-",TR!B243)),TR!B243&amp;" "&amp;TR!D243,TR!D243)</f>
        <v>11.4 Fingerprints</v>
      </c>
      <c r="F243" s="31" t="str">
        <f>TR!E243</f>
        <v>Hdr</v>
      </c>
      <c r="G243" s="31" t="str">
        <f>IF(ISERROR(FIND("Adara",TR!F243)),"","Adara ")</f>
        <v xml:space="preserve">Adara </v>
      </c>
      <c r="H243" s="31" t="str">
        <f>IF(ISERROR(FIND("Copernicus",TR!F243)),"","Copernicus ")</f>
        <v xml:space="preserve">Copernicus </v>
      </c>
      <c r="I243" s="31" t="str">
        <f>IF(ISERROR(FIND("Deneb",TR!F243)),"","Deneb ")</f>
        <v xml:space="preserve">Deneb </v>
      </c>
      <c r="J243" s="37" t="str">
        <f t="shared" si="3"/>
        <v xml:space="preserve">Adara Copernicus Deneb </v>
      </c>
      <c r="K243" s="31" t="str">
        <f>IF(ISBLANK(TR!G243),"",TR!G243)</f>
        <v/>
      </c>
      <c r="L243" s="31" t="str">
        <f>IF(ISBLANK(TR!H243),"",TR!H243)</f>
        <v>FR-DSRSW-1350</v>
      </c>
      <c r="M243" s="30" t="str">
        <f>TR!J243</f>
        <v>Approved</v>
      </c>
      <c r="N243" s="31" t="str">
        <f>IF(OR(M243="Modified",M243="Cosmetic"),VLOOKUP(B243,PrevPFS!B$1:E$833,4,FALSE),"")</f>
        <v/>
      </c>
    </row>
    <row r="244" spans="1:14" ht="45" x14ac:dyDescent="0.25">
      <c r="A244" s="31" t="str">
        <f>IF(ISNONTEXT(TR!K244),"",TR!K244)</f>
        <v>FR-SYSSEC-SES-1039</v>
      </c>
      <c r="B244" s="32" t="str">
        <f>TR!A244</f>
        <v>TR-DSRSW-1505</v>
      </c>
      <c r="C244" s="31" t="b">
        <f>ISERROR(FIND("-",TR!B244))</f>
        <v>0</v>
      </c>
      <c r="D244" s="31">
        <f>SetIndent(E244,(TR!C244-1)*2)</f>
        <v>4</v>
      </c>
      <c r="E244" s="35" t="str">
        <f>IF(ISERROR(FIND("-",TR!B244)),TR!B244&amp;" "&amp;TR!D244,TR!D244)</f>
        <v>The product SHALL support fingerprints.</v>
      </c>
      <c r="F244" s="31" t="str">
        <f>TR!E244</f>
        <v>Req</v>
      </c>
      <c r="G244" s="31" t="str">
        <f>IF(ISERROR(FIND("Adara",TR!F244)),"","Adara ")</f>
        <v xml:space="preserve">Adara </v>
      </c>
      <c r="H244" s="31" t="str">
        <f>IF(ISERROR(FIND("Copernicus",TR!F244)),"","Copernicus ")</f>
        <v xml:space="preserve">Copernicus </v>
      </c>
      <c r="I244" s="31" t="str">
        <f>IF(ISERROR(FIND("Deneb",TR!F244)),"","Deneb ")</f>
        <v xml:space="preserve">Deneb </v>
      </c>
      <c r="J244" s="37" t="str">
        <f t="shared" si="3"/>
        <v xml:space="preserve">Adara Copernicus Deneb </v>
      </c>
      <c r="K244" s="31" t="str">
        <f>IF(ISBLANK(TR!G244),"",TR!G244)</f>
        <v/>
      </c>
      <c r="L244" s="31" t="str">
        <f>IF(ISBLANK(TR!H244),"",TR!H244)</f>
        <v>FR-DSRSW-1350</v>
      </c>
      <c r="M244" s="30" t="str">
        <f>TR!J244</f>
        <v>Approved</v>
      </c>
      <c r="N244" s="31" t="str">
        <f>IF(OR(M244="Modified",M244="Cosmetic"),VLOOKUP(B244,PrevPFS!B$1:E$833,4,FALSE),"")</f>
        <v/>
      </c>
    </row>
    <row r="245" spans="1:14" ht="105" x14ac:dyDescent="0.25">
      <c r="A245" s="31" t="str">
        <f>IF(ISNONTEXT(TR!K245),"",TR!K245)</f>
        <v/>
      </c>
      <c r="B245" s="32" t="str">
        <f>TR!A245</f>
        <v>TR-DSRSW-1506</v>
      </c>
      <c r="C245" s="31" t="b">
        <f>ISERROR(FIND("-",TR!B245))</f>
        <v>0</v>
      </c>
      <c r="D245" s="31">
        <f>SetIndent(E245,(TR!C245-1)*2)</f>
        <v>4</v>
      </c>
      <c r="E245" s="35" t="str">
        <f>IF(ISERROR(FIND("-",TR!B245)),TR!B245&amp;" "&amp;TR!D245,TR!D245)</f>
        <v>The FINGERPRINT message signals DigiCipher® II Decoders to output a "fingerprint" on the onscreen display, for the purposes of identification of Decoders being used illegally (such as consumer Decoders being used in a commercial establishment).  The message identifies one of several possible display formats for the 40-bit unit address, including one that is intended to go unnoticed to the casual viewer.
Decoders display FINGERPRINT messages only while displaying active video on a video service.</v>
      </c>
      <c r="F245" s="31" t="str">
        <f>TR!E245</f>
        <v>Com</v>
      </c>
      <c r="G245" s="31" t="str">
        <f>IF(ISERROR(FIND("Adara",TR!F245)),"","Adara ")</f>
        <v xml:space="preserve">Adara </v>
      </c>
      <c r="H245" s="31" t="str">
        <f>IF(ISERROR(FIND("Copernicus",TR!F245)),"","Copernicus ")</f>
        <v xml:space="preserve">Copernicus </v>
      </c>
      <c r="I245" s="31" t="str">
        <f>IF(ISERROR(FIND("Deneb",TR!F245)),"","Deneb ")</f>
        <v xml:space="preserve">Deneb </v>
      </c>
      <c r="J245" s="37" t="str">
        <f t="shared" si="3"/>
        <v xml:space="preserve">Adara Copernicus Deneb </v>
      </c>
      <c r="K245" s="31" t="str">
        <f>IF(ISBLANK(TR!G245),"",TR!G245)</f>
        <v/>
      </c>
      <c r="L245" s="31" t="str">
        <f>IF(ISBLANK(TR!H245),"",TR!H245)</f>
        <v>FR-DSRSW-1350</v>
      </c>
      <c r="M245" s="30" t="str">
        <f>TR!J245</f>
        <v>Approved</v>
      </c>
      <c r="N245" s="31" t="str">
        <f>IF(OR(M245="Modified",M245="Cosmetic"),VLOOKUP(B245,PrevPFS!B$1:E$833,4,FALSE),"")</f>
        <v/>
      </c>
    </row>
    <row r="246" spans="1:14" ht="45" x14ac:dyDescent="0.25">
      <c r="A246" s="31" t="str">
        <f>IF(ISNONTEXT(TR!K246),"",TR!K246)</f>
        <v>TR-0-FPRNT-SES-1003</v>
      </c>
      <c r="B246" s="32" t="str">
        <f>TR!A246</f>
        <v>TR-DSRSW-1507</v>
      </c>
      <c r="C246" s="31" t="b">
        <f>ISERROR(FIND("-",TR!B246))</f>
        <v>0</v>
      </c>
      <c r="D246" s="31">
        <f>SetIndent(E246,(TR!C246-1)*2)</f>
        <v>4</v>
      </c>
      <c r="E246" s="35" t="str">
        <f>IF(ISERROR(FIND("-",TR!B246)),TR!B246&amp;" "&amp;TR!D246,TR!D246)</f>
        <v>The product SHALL support fingerprint messages on the PMT PID. (i.e., fingerprints are service based).</v>
      </c>
      <c r="F246" s="31" t="str">
        <f>TR!E246</f>
        <v>Req</v>
      </c>
      <c r="G246" s="31" t="str">
        <f>IF(ISERROR(FIND("Adara",TR!F246)),"","Adara ")</f>
        <v xml:space="preserve">Adara </v>
      </c>
      <c r="H246" s="31" t="str">
        <f>IF(ISERROR(FIND("Copernicus",TR!F246)),"","Copernicus ")</f>
        <v xml:space="preserve">Copernicus </v>
      </c>
      <c r="I246" s="31" t="str">
        <f>IF(ISERROR(FIND("Deneb",TR!F246)),"","Deneb ")</f>
        <v xml:space="preserve">Deneb </v>
      </c>
      <c r="J246" s="37" t="str">
        <f t="shared" si="3"/>
        <v xml:space="preserve">Adara Copernicus Deneb </v>
      </c>
      <c r="K246" s="31" t="str">
        <f>IF(ISBLANK(TR!G246),"",TR!G246)</f>
        <v/>
      </c>
      <c r="L246" s="31" t="str">
        <f>IF(ISBLANK(TR!H246),"",TR!H246)</f>
        <v>FR-DSRSW-1350</v>
      </c>
      <c r="M246" s="30" t="str">
        <f>TR!J246</f>
        <v>Approved</v>
      </c>
      <c r="N246" s="31" t="str">
        <f>IF(OR(M246="Modified",M246="Cosmetic"),VLOOKUP(B246,PrevPFS!B$1:E$833,4,FALSE),"")</f>
        <v/>
      </c>
    </row>
    <row r="247" spans="1:14" ht="45" x14ac:dyDescent="0.25">
      <c r="A247" s="31" t="str">
        <f>IF(ISNONTEXT(TR!K247),"",TR!K247)</f>
        <v>TR-0-FPRNT-SES-1005</v>
      </c>
      <c r="B247" s="32" t="str">
        <f>TR!A247</f>
        <v>TR-DSRSW-1508</v>
      </c>
      <c r="C247" s="31" t="b">
        <f>ISERROR(FIND("-",TR!B247))</f>
        <v>0</v>
      </c>
      <c r="D247" s="31">
        <f>SetIndent(E247,(TR!C247-1)*2)</f>
        <v>4</v>
      </c>
      <c r="E247" s="35" t="str">
        <f>IF(ISERROR(FIND("-",TR!B247)),TR!B247&amp;" "&amp;TR!D247,TR!D247)</f>
        <v>The product SHALL display fingerprints on the HDMI output.</v>
      </c>
      <c r="F247" s="31" t="str">
        <f>TR!E247</f>
        <v>Req</v>
      </c>
      <c r="G247" s="31" t="str">
        <f>IF(ISERROR(FIND("Adara",TR!F247)),"","Adara ")</f>
        <v xml:space="preserve">Adara </v>
      </c>
      <c r="H247" s="31" t="str">
        <f>IF(ISERROR(FIND("Copernicus",TR!F247)),"","Copernicus ")</f>
        <v xml:space="preserve">Copernicus </v>
      </c>
      <c r="I247" s="31" t="str">
        <f>IF(ISERROR(FIND("Deneb",TR!F247)),"","Deneb ")</f>
        <v xml:space="preserve">Deneb </v>
      </c>
      <c r="J247" s="37" t="str">
        <f t="shared" si="3"/>
        <v xml:space="preserve">Adara Copernicus Deneb </v>
      </c>
      <c r="K247" s="31" t="str">
        <f>IF(ISBLANK(TR!G247),"",TR!G247)</f>
        <v/>
      </c>
      <c r="L247" s="31" t="str">
        <f>IF(ISBLANK(TR!H247),"",TR!H247)</f>
        <v>FR-DSRSW-1350</v>
      </c>
      <c r="M247" s="30" t="str">
        <f>TR!J247</f>
        <v>Approved</v>
      </c>
      <c r="N247" s="31" t="str">
        <f>IF(OR(M247="Modified",M247="Cosmetic"),VLOOKUP(B247,PrevPFS!B$1:E$833,4,FALSE),"")</f>
        <v/>
      </c>
    </row>
    <row r="248" spans="1:14" ht="45" x14ac:dyDescent="0.25">
      <c r="A248" s="31" t="str">
        <f>IF(ISNONTEXT(TR!K248),"",TR!K248)</f>
        <v>TR-0-FPRNT-SES-1007</v>
      </c>
      <c r="B248" s="32" t="str">
        <f>TR!A248</f>
        <v>TR-DSRSW-1510</v>
      </c>
      <c r="C248" s="31" t="b">
        <f>ISERROR(FIND("-",TR!B248))</f>
        <v>0</v>
      </c>
      <c r="D248" s="31">
        <f>SetIndent(E248,(TR!C248-1)*2)</f>
        <v>4</v>
      </c>
      <c r="E248" s="35" t="str">
        <f>IF(ISERROR(FIND("-",TR!B248)),TR!B248&amp;" "&amp;TR!D248,TR!D248)</f>
        <v>The product SHALL display fingerprints on the composite video output.</v>
      </c>
      <c r="F248" s="31" t="str">
        <f>TR!E248</f>
        <v>Req</v>
      </c>
      <c r="G248" s="31" t="str">
        <f>IF(ISERROR(FIND("Adara",TR!F248)),"","Adara ")</f>
        <v xml:space="preserve">Adara </v>
      </c>
      <c r="H248" s="31" t="str">
        <f>IF(ISERROR(FIND("Copernicus",TR!F248)),"","Copernicus ")</f>
        <v xml:space="preserve">Copernicus </v>
      </c>
      <c r="I248" s="31" t="str">
        <f>IF(ISERROR(FIND("Deneb",TR!F248)),"","Deneb ")</f>
        <v xml:space="preserve">Deneb </v>
      </c>
      <c r="J248" s="37" t="str">
        <f t="shared" si="3"/>
        <v xml:space="preserve">Adara Copernicus Deneb </v>
      </c>
      <c r="K248" s="31" t="str">
        <f>IF(ISBLANK(TR!G248),"",TR!G248)</f>
        <v/>
      </c>
      <c r="L248" s="31" t="str">
        <f>IF(ISBLANK(TR!H248),"",TR!H248)</f>
        <v>FR-DSRSW-1350</v>
      </c>
      <c r="M248" s="30" t="str">
        <f>TR!J248</f>
        <v>Approved</v>
      </c>
      <c r="N248" s="31" t="str">
        <f>IF(OR(M248="Modified",M248="Cosmetic"),VLOOKUP(B248,PrevPFS!B$1:E$833,4,FALSE),"")</f>
        <v/>
      </c>
    </row>
    <row r="249" spans="1:14" ht="45" x14ac:dyDescent="0.25">
      <c r="A249" s="31" t="str">
        <f>IF(ISNONTEXT(TR!K249),"",TR!K249)</f>
        <v>TR-0-FPRNT-SES-1009</v>
      </c>
      <c r="B249" s="32" t="str">
        <f>TR!A249</f>
        <v>TR-DSRSW-1512</v>
      </c>
      <c r="C249" s="31" t="b">
        <f>ISERROR(FIND("-",TR!B249))</f>
        <v>0</v>
      </c>
      <c r="D249" s="31">
        <f>SetIndent(E249,(TR!C249-1)*2)</f>
        <v>4</v>
      </c>
      <c r="E249" s="35" t="str">
        <f>IF(ISERROR(FIND("-",TR!B249)),TR!B249&amp;" "&amp;TR!D249,TR!D249)</f>
        <v>The product SHALL display the fingerprint at the activation time specified in the last received valid fingerprint message.</v>
      </c>
      <c r="F249" s="31" t="str">
        <f>TR!E249</f>
        <v>Req</v>
      </c>
      <c r="G249" s="31" t="str">
        <f>IF(ISERROR(FIND("Adara",TR!F249)),"","Adara ")</f>
        <v xml:space="preserve">Adara </v>
      </c>
      <c r="H249" s="31" t="str">
        <f>IF(ISERROR(FIND("Copernicus",TR!F249)),"","Copernicus ")</f>
        <v xml:space="preserve">Copernicus </v>
      </c>
      <c r="I249" s="31" t="str">
        <f>IF(ISERROR(FIND("Deneb",TR!F249)),"","Deneb ")</f>
        <v xml:space="preserve">Deneb </v>
      </c>
      <c r="J249" s="37" t="str">
        <f t="shared" si="3"/>
        <v xml:space="preserve">Adara Copernicus Deneb </v>
      </c>
      <c r="K249" s="31" t="str">
        <f>IF(ISBLANK(TR!G249),"",TR!G249)</f>
        <v/>
      </c>
      <c r="L249" s="31" t="str">
        <f>IF(ISBLANK(TR!H249),"",TR!H249)</f>
        <v>FR-DSRSW-1350</v>
      </c>
      <c r="M249" s="30" t="str">
        <f>TR!J249</f>
        <v>Approved</v>
      </c>
      <c r="N249" s="31" t="str">
        <f>IF(OR(M249="Modified",M249="Cosmetic"),VLOOKUP(B249,PrevPFS!B$1:E$833,4,FALSE),"")</f>
        <v/>
      </c>
    </row>
    <row r="250" spans="1:14" ht="45" x14ac:dyDescent="0.25">
      <c r="A250" s="31" t="str">
        <f>IF(ISNONTEXT(TR!K250),"",TR!K250)</f>
        <v>TR-0-FPRNT-SES-1010</v>
      </c>
      <c r="B250" s="32" t="str">
        <f>TR!A250</f>
        <v>TR-DSRSW-1513</v>
      </c>
      <c r="C250" s="31" t="b">
        <f>ISERROR(FIND("-",TR!B250))</f>
        <v>0</v>
      </c>
      <c r="D250" s="31">
        <f>SetIndent(E250,(TR!C250-1)*2)</f>
        <v>4</v>
      </c>
      <c r="E250" s="35" t="str">
        <f>IF(ISERROR(FIND("-",TR!B250)),TR!B250&amp;" "&amp;TR!D250,TR!D250)</f>
        <v>The product SHALL, if the duration is specified, display the fingerprint for the duration specified in the last received valid fingerprint message.</v>
      </c>
      <c r="F250" s="31" t="str">
        <f>TR!E250</f>
        <v>Req</v>
      </c>
      <c r="G250" s="31" t="str">
        <f>IF(ISERROR(FIND("Adara",TR!F250)),"","Adara ")</f>
        <v xml:space="preserve">Adara </v>
      </c>
      <c r="H250" s="31" t="str">
        <f>IF(ISERROR(FIND("Copernicus",TR!F250)),"","Copernicus ")</f>
        <v xml:space="preserve">Copernicus </v>
      </c>
      <c r="I250" s="31" t="str">
        <f>IF(ISERROR(FIND("Deneb",TR!F250)),"","Deneb ")</f>
        <v xml:space="preserve">Deneb </v>
      </c>
      <c r="J250" s="37" t="str">
        <f t="shared" si="3"/>
        <v xml:space="preserve">Adara Copernicus Deneb </v>
      </c>
      <c r="K250" s="31" t="str">
        <f>IF(ISBLANK(TR!G250),"",TR!G250)</f>
        <v/>
      </c>
      <c r="L250" s="31" t="str">
        <f>IF(ISBLANK(TR!H250),"",TR!H250)</f>
        <v>FR-DSRSW-1350</v>
      </c>
      <c r="M250" s="30" t="str">
        <f>TR!J250</f>
        <v>Approved</v>
      </c>
      <c r="N250" s="31" t="str">
        <f>IF(OR(M250="Modified",M250="Cosmetic"),VLOOKUP(B250,PrevPFS!B$1:E$833,4,FALSE),"")</f>
        <v/>
      </c>
    </row>
    <row r="251" spans="1:14" ht="45" x14ac:dyDescent="0.25">
      <c r="A251" s="31" t="str">
        <f>IF(ISNONTEXT(TR!K251),"",TR!K251)</f>
        <v>TR-0-FPRNT-SES-1011</v>
      </c>
      <c r="B251" s="32" t="str">
        <f>TR!A251</f>
        <v>TR-DSRSW-1514</v>
      </c>
      <c r="C251" s="31" t="b">
        <f>ISERROR(FIND("-",TR!B251))</f>
        <v>0</v>
      </c>
      <c r="D251" s="31">
        <f>SetIndent(E251,(TR!C251-1)*2)</f>
        <v>4</v>
      </c>
      <c r="E251" s="35" t="str">
        <f>IF(ISERROR(FIND("-",TR!B251)),TR!B251&amp;" "&amp;TR!D251,TR!D251)</f>
        <v>The product SHALL, if the duration is not specified, display the fingerprint for one second (+/- 0.5 seconds).</v>
      </c>
      <c r="F251" s="31" t="str">
        <f>TR!E251</f>
        <v>Req</v>
      </c>
      <c r="G251" s="31" t="str">
        <f>IF(ISERROR(FIND("Adara",TR!F251)),"","Adara ")</f>
        <v xml:space="preserve">Adara </v>
      </c>
      <c r="H251" s="31" t="str">
        <f>IF(ISERROR(FIND("Copernicus",TR!F251)),"","Copernicus ")</f>
        <v xml:space="preserve">Copernicus </v>
      </c>
      <c r="I251" s="31" t="str">
        <f>IF(ISERROR(FIND("Deneb",TR!F251)),"","Deneb ")</f>
        <v xml:space="preserve">Deneb </v>
      </c>
      <c r="J251" s="37" t="str">
        <f t="shared" si="3"/>
        <v xml:space="preserve">Adara Copernicus Deneb </v>
      </c>
      <c r="K251" s="31" t="str">
        <f>IF(ISBLANK(TR!G251),"",TR!G251)</f>
        <v/>
      </c>
      <c r="L251" s="31" t="str">
        <f>IF(ISBLANK(TR!H251),"",TR!H251)</f>
        <v>FR-DSRSW-1350</v>
      </c>
      <c r="M251" s="30" t="str">
        <f>TR!J251</f>
        <v>Approved</v>
      </c>
      <c r="N251" s="31" t="str">
        <f>IF(OR(M251="Modified",M251="Cosmetic"),VLOOKUP(B251,PrevPFS!B$1:E$833,4,FALSE),"")</f>
        <v/>
      </c>
    </row>
    <row r="252" spans="1:14" ht="45" x14ac:dyDescent="0.25">
      <c r="A252" s="31" t="str">
        <f>IF(ISNONTEXT(TR!K252),"",TR!K252)</f>
        <v>TR-0-FPRNT-SES-1012</v>
      </c>
      <c r="B252" s="32" t="str">
        <f>TR!A252</f>
        <v>TR-DSRSW-1515</v>
      </c>
      <c r="C252" s="31" t="b">
        <f>ISERROR(FIND("-",TR!B252))</f>
        <v>0</v>
      </c>
      <c r="D252" s="31">
        <f>SetIndent(E252,(TR!C252-1)*2)</f>
        <v>4</v>
      </c>
      <c r="E252" s="35" t="str">
        <f>IF(ISERROR(FIND("-",TR!B252)),TR!B252&amp;" "&amp;TR!D252,TR!D252)</f>
        <v>The product SHALL, if DVR is supported, display the fingerprint at the GPS time and duration specified in the fingerprint message, regardless of the DVR playback location.</v>
      </c>
      <c r="F252" s="31" t="str">
        <f>TR!E252</f>
        <v>Req</v>
      </c>
      <c r="G252" s="31" t="str">
        <f>IF(ISERROR(FIND("Adara",TR!F252)),"","Adara ")</f>
        <v xml:space="preserve">Adara </v>
      </c>
      <c r="H252" s="31" t="str">
        <f>IF(ISERROR(FIND("Copernicus",TR!F252)),"","Copernicus ")</f>
        <v xml:space="preserve">Copernicus </v>
      </c>
      <c r="I252" s="31" t="str">
        <f>IF(ISERROR(FIND("Deneb",TR!F252)),"","Deneb ")</f>
        <v xml:space="preserve">Deneb </v>
      </c>
      <c r="J252" s="37" t="str">
        <f t="shared" si="3"/>
        <v xml:space="preserve">Adara Copernicus Deneb </v>
      </c>
      <c r="K252" s="31" t="str">
        <f>IF(ISBLANK(TR!G252),"",TR!G252)</f>
        <v/>
      </c>
      <c r="L252" s="31" t="str">
        <f>IF(ISBLANK(TR!H252),"",TR!H252)</f>
        <v>FR-DSRSW-1350</v>
      </c>
      <c r="M252" s="30" t="str">
        <f>TR!J252</f>
        <v>Approved</v>
      </c>
      <c r="N252" s="31" t="str">
        <f>IF(OR(M252="Modified",M252="Cosmetic"),VLOOKUP(B252,PrevPFS!B$1:E$833,4,FALSE),"")</f>
        <v/>
      </c>
    </row>
    <row r="253" spans="1:14" ht="45" x14ac:dyDescent="0.25">
      <c r="A253" s="31" t="str">
        <f>IF(ISNONTEXT(TR!K253),"",TR!K253)</f>
        <v>TR-0-FPRNT-SES-1013</v>
      </c>
      <c r="B253" s="32" t="str">
        <f>TR!A253</f>
        <v>TR-DSRSW-1516</v>
      </c>
      <c r="C253" s="31" t="b">
        <f>ISERROR(FIND("-",TR!B253))</f>
        <v>0</v>
      </c>
      <c r="D253" s="31">
        <f>SetIndent(E253,(TR!C253-1)*2)</f>
        <v>4</v>
      </c>
      <c r="E253" s="35" t="str">
        <f>IF(ISERROR(FIND("-",TR!B253)),TR!B253&amp;" "&amp;TR!D253,TR!D253)</f>
        <v>The product SHALL support fingerprint messages only for the foreground service. That is, fingerprint messages on background services, if supported and active, can be discarded.</v>
      </c>
      <c r="F253" s="31" t="str">
        <f>TR!E253</f>
        <v>Req</v>
      </c>
      <c r="G253" s="31" t="str">
        <f>IF(ISERROR(FIND("Adara",TR!F253)),"","Adara ")</f>
        <v xml:space="preserve">Adara </v>
      </c>
      <c r="H253" s="31" t="str">
        <f>IF(ISERROR(FIND("Copernicus",TR!F253)),"","Copernicus ")</f>
        <v xml:space="preserve">Copernicus </v>
      </c>
      <c r="I253" s="31" t="str">
        <f>IF(ISERROR(FIND("Deneb",TR!F253)),"","Deneb ")</f>
        <v xml:space="preserve">Deneb </v>
      </c>
      <c r="J253" s="37" t="str">
        <f t="shared" si="3"/>
        <v xml:space="preserve">Adara Copernicus Deneb </v>
      </c>
      <c r="K253" s="31" t="str">
        <f>IF(ISBLANK(TR!G253),"",TR!G253)</f>
        <v/>
      </c>
      <c r="L253" s="31" t="str">
        <f>IF(ISBLANK(TR!H253),"",TR!H253)</f>
        <v>FR-DSRSW-1350</v>
      </c>
      <c r="M253" s="30" t="str">
        <f>TR!J253</f>
        <v>Approved</v>
      </c>
      <c r="N253" s="31" t="str">
        <f>IF(OR(M253="Modified",M253="Cosmetic"),VLOOKUP(B253,PrevPFS!B$1:E$833,4,FALSE),"")</f>
        <v/>
      </c>
    </row>
    <row r="254" spans="1:14" ht="45" x14ac:dyDescent="0.25">
      <c r="A254" s="31" t="str">
        <f>IF(ISNONTEXT(TR!K254),"",TR!K254)</f>
        <v>TR-0-FPRNT-SES-1014</v>
      </c>
      <c r="B254" s="32" t="str">
        <f>TR!A254</f>
        <v>TR-DSRSW-1517</v>
      </c>
      <c r="C254" s="31" t="b">
        <f>ISERROR(FIND("-",TR!B254))</f>
        <v>0</v>
      </c>
      <c r="D254" s="31">
        <f>SetIndent(E254,(TR!C254-1)*2)</f>
        <v>4</v>
      </c>
      <c r="E254" s="35" t="str">
        <f>IF(ISERROR(FIND("-",TR!B254)),TR!B254&amp;" "&amp;TR!D254,TR!D254)</f>
        <v>The product SHALL display the 40 bit unit address in hexadecimal characters when the fingerprint message specifies "clear" as the fingerprint format.</v>
      </c>
      <c r="F254" s="31" t="str">
        <f>TR!E254</f>
        <v>Req</v>
      </c>
      <c r="G254" s="31" t="str">
        <f>IF(ISERROR(FIND("Adara",TR!F254)),"","Adara ")</f>
        <v xml:space="preserve">Adara </v>
      </c>
      <c r="H254" s="31" t="str">
        <f>IF(ISERROR(FIND("Copernicus",TR!F254)),"","Copernicus ")</f>
        <v xml:space="preserve">Copernicus </v>
      </c>
      <c r="I254" s="31" t="str">
        <f>IF(ISERROR(FIND("Deneb",TR!F254)),"","Deneb ")</f>
        <v xml:space="preserve">Deneb </v>
      </c>
      <c r="J254" s="37" t="str">
        <f t="shared" si="3"/>
        <v xml:space="preserve">Adara Copernicus Deneb </v>
      </c>
      <c r="K254" s="31" t="str">
        <f>IF(ISBLANK(TR!G254),"",TR!G254)</f>
        <v/>
      </c>
      <c r="L254" s="31" t="str">
        <f>IF(ISBLANK(TR!H254),"",TR!H254)</f>
        <v>FR-DSRSW-1350</v>
      </c>
      <c r="M254" s="30" t="str">
        <f>TR!J254</f>
        <v>Approved</v>
      </c>
      <c r="N254" s="31" t="str">
        <f>IF(OR(M254="Modified",M254="Cosmetic"),VLOOKUP(B254,PrevPFS!B$1:E$833,4,FALSE),"")</f>
        <v/>
      </c>
    </row>
    <row r="255" spans="1:14" ht="45" x14ac:dyDescent="0.25">
      <c r="A255" s="31" t="str">
        <f>IF(ISNONTEXT(TR!K255),"",TR!K255)</f>
        <v/>
      </c>
      <c r="B255" s="32" t="str">
        <f>TR!A255</f>
        <v>TR-DSRSW-2418</v>
      </c>
      <c r="C255" s="31" t="b">
        <f>ISERROR(FIND("-",TR!B255))</f>
        <v>1</v>
      </c>
      <c r="D255" s="31">
        <f>SetIndent(E255,(TR!C255-1)*2)</f>
        <v>0</v>
      </c>
      <c r="E255" s="33" t="str">
        <f>IF(ISERROR(FIND("-",TR!B255)),TR!B255&amp;" "&amp;TR!D255,TR!D255)</f>
        <v>12 DRM</v>
      </c>
      <c r="F255" s="31" t="str">
        <f>TR!E255</f>
        <v>Hdr</v>
      </c>
      <c r="G255" s="31" t="str">
        <f>IF(ISERROR(FIND("Adara",TR!F255)),"","Adara ")</f>
        <v xml:space="preserve">Adara </v>
      </c>
      <c r="H255" s="31" t="str">
        <f>IF(ISERROR(FIND("Copernicus",TR!F255)),"","Copernicus ")</f>
        <v xml:space="preserve">Copernicus </v>
      </c>
      <c r="I255" s="31" t="str">
        <f>IF(ISERROR(FIND("Deneb",TR!F255)),"","Deneb ")</f>
        <v xml:space="preserve">Deneb </v>
      </c>
      <c r="J255" s="37" t="str">
        <f t="shared" si="3"/>
        <v xml:space="preserve">Adara Copernicus Deneb </v>
      </c>
      <c r="K255" s="31" t="str">
        <f>IF(ISBLANK(TR!G255),"",TR!G255)</f>
        <v/>
      </c>
      <c r="L255" s="31" t="str">
        <f>IF(ISBLANK(TR!H255),"",TR!H255)</f>
        <v>FR-DSRSW-1528</v>
      </c>
      <c r="M255" s="30" t="str">
        <f>TR!J255</f>
        <v>Approved</v>
      </c>
      <c r="N255" s="31" t="str">
        <f>IF(OR(M255="Modified",M255="Cosmetic"),VLOOKUP(B255,PrevPFS!B$1:E$833,4,FALSE),"")</f>
        <v/>
      </c>
    </row>
    <row r="256" spans="1:14" ht="45" x14ac:dyDescent="0.25">
      <c r="A256" s="31" t="str">
        <f>IF(ISNONTEXT(TR!K256),"",TR!K256)</f>
        <v/>
      </c>
      <c r="B256" s="32" t="str">
        <f>TR!A256</f>
        <v>TR-DSRSW-2419</v>
      </c>
      <c r="C256" s="31" t="b">
        <f>ISERROR(FIND("-",TR!B256))</f>
        <v>1</v>
      </c>
      <c r="D256" s="31">
        <f>SetIndent(E256,(TR!C256-1)*2)</f>
        <v>2</v>
      </c>
      <c r="E256" s="34" t="str">
        <f>IF(ISERROR(FIND("-",TR!B256)),TR!B256&amp;" "&amp;TR!D256,TR!D256)</f>
        <v>12.1 Verimatrix DRM</v>
      </c>
      <c r="F256" s="31" t="str">
        <f>TR!E256</f>
        <v>Hdr</v>
      </c>
      <c r="G256" s="31" t="str">
        <f>IF(ISERROR(FIND("Adara",TR!F256)),"","Adara ")</f>
        <v xml:space="preserve">Adara </v>
      </c>
      <c r="H256" s="31" t="str">
        <f>IF(ISERROR(FIND("Copernicus",TR!F256)),"","Copernicus ")</f>
        <v xml:space="preserve">Copernicus </v>
      </c>
      <c r="I256" s="31" t="str">
        <f>IF(ISERROR(FIND("Deneb",TR!F256)),"","Deneb ")</f>
        <v xml:space="preserve">Deneb </v>
      </c>
      <c r="J256" s="37" t="str">
        <f t="shared" si="3"/>
        <v xml:space="preserve">Adara Copernicus Deneb </v>
      </c>
      <c r="K256" s="31" t="str">
        <f>IF(ISBLANK(TR!G256),"",TR!G256)</f>
        <v/>
      </c>
      <c r="L256" s="31" t="str">
        <f>IF(ISBLANK(TR!H256),"",TR!H256)</f>
        <v>FR-DSRSW-1528</v>
      </c>
      <c r="M256" s="30" t="str">
        <f>TR!J256</f>
        <v>Approved</v>
      </c>
      <c r="N256" s="31" t="str">
        <f>IF(OR(M256="Modified",M256="Cosmetic"),VLOOKUP(B256,PrevPFS!B$1:E$833,4,FALSE),"")</f>
        <v/>
      </c>
    </row>
    <row r="257" spans="1:14" ht="45" x14ac:dyDescent="0.25">
      <c r="A257" s="31" t="str">
        <f>IF(ISNONTEXT(TR!K257),"",TR!K257)</f>
        <v>TR-KA-10313</v>
      </c>
      <c r="B257" s="32" t="str">
        <f>TR!A257</f>
        <v>TR-DSRSW-2420</v>
      </c>
      <c r="C257" s="31" t="b">
        <f>ISERROR(FIND("-",TR!B257))</f>
        <v>0</v>
      </c>
      <c r="D257" s="31">
        <f>SetIndent(E257,(TR!C257-1)*2)</f>
        <v>4</v>
      </c>
      <c r="E257" s="35" t="str">
        <f>IF(ISERROR(FIND("-",TR!B257)),TR!B257&amp;" "&amp;TR!D257,TR!D257)</f>
        <v>The product SHALL support decryption of HLS streaming content that is protected under Verimatrix DRM.</v>
      </c>
      <c r="F257" s="31" t="str">
        <f>TR!E257</f>
        <v>Req</v>
      </c>
      <c r="G257" s="31" t="str">
        <f>IF(ISERROR(FIND("Adara",TR!F257)),"","Adara ")</f>
        <v xml:space="preserve">Adara </v>
      </c>
      <c r="H257" s="31" t="str">
        <f>IF(ISERROR(FIND("Copernicus",TR!F257)),"","Copernicus ")</f>
        <v xml:space="preserve">Copernicus </v>
      </c>
      <c r="I257" s="31" t="str">
        <f>IF(ISERROR(FIND("Deneb",TR!F257)),"","Deneb ")</f>
        <v xml:space="preserve">Deneb </v>
      </c>
      <c r="J257" s="37" t="str">
        <f t="shared" si="3"/>
        <v xml:space="preserve">Adara Copernicus Deneb </v>
      </c>
      <c r="K257" s="31" t="str">
        <f>IF(ISBLANK(TR!G257),"",TR!G257)</f>
        <v/>
      </c>
      <c r="L257" s="31" t="str">
        <f>IF(ISBLANK(TR!H257),"",TR!H257)</f>
        <v>FR-DSRSW-1528</v>
      </c>
      <c r="M257" s="30" t="str">
        <f>TR!J257</f>
        <v>Approved</v>
      </c>
      <c r="N257" s="31" t="str">
        <f>IF(OR(M257="Modified",M257="Cosmetic"),VLOOKUP(B257,PrevPFS!B$1:E$833,4,FALSE),"")</f>
        <v/>
      </c>
    </row>
    <row r="258" spans="1:14" ht="45" x14ac:dyDescent="0.25">
      <c r="A258" s="31" t="str">
        <f>IF(ISNONTEXT(TR!K258),"",TR!K258)</f>
        <v>TR-KA-10555</v>
      </c>
      <c r="B258" s="32" t="str">
        <f>TR!A258</f>
        <v>TR-DSRSW-2421</v>
      </c>
      <c r="C258" s="31" t="b">
        <f>ISERROR(FIND("-",TR!B258))</f>
        <v>0</v>
      </c>
      <c r="D258" s="31">
        <f>SetIndent(E258,(TR!C258-1)*2)</f>
        <v>4</v>
      </c>
      <c r="E258" s="35" t="str">
        <f>IF(ISERROR(FIND("-",TR!B258)),TR!B258&amp;" "&amp;TR!D258,TR!D258)</f>
        <v>The product shall decode Verimatrix streams encrypted with AES using hardware accelerated decryption.</v>
      </c>
      <c r="F258" s="31" t="str">
        <f>TR!E258</f>
        <v>Req</v>
      </c>
      <c r="G258" s="31" t="str">
        <f>IF(ISERROR(FIND("Adara",TR!F258)),"","Adara ")</f>
        <v xml:space="preserve">Adara </v>
      </c>
      <c r="H258" s="31" t="str">
        <f>IF(ISERROR(FIND("Copernicus",TR!F258)),"","Copernicus ")</f>
        <v xml:space="preserve">Copernicus </v>
      </c>
      <c r="I258" s="31" t="str">
        <f>IF(ISERROR(FIND("Deneb",TR!F258)),"","Deneb ")</f>
        <v xml:space="preserve">Deneb </v>
      </c>
      <c r="J258" s="37" t="str">
        <f t="shared" si="3"/>
        <v xml:space="preserve">Adara Copernicus Deneb </v>
      </c>
      <c r="K258" s="31" t="str">
        <f>IF(ISBLANK(TR!G258),"",TR!G258)</f>
        <v/>
      </c>
      <c r="L258" s="31" t="str">
        <f>IF(ISBLANK(TR!H258),"",TR!H258)</f>
        <v>FR-DSRSW-1528</v>
      </c>
      <c r="M258" s="30" t="str">
        <f>TR!J258</f>
        <v>Approved</v>
      </c>
      <c r="N258" s="31" t="str">
        <f>IF(OR(M258="Modified",M258="Cosmetic"),VLOOKUP(B258,PrevPFS!B$1:E$833,4,FALSE),"")</f>
        <v/>
      </c>
    </row>
    <row r="259" spans="1:14" ht="45" x14ac:dyDescent="0.25">
      <c r="A259" s="31" t="str">
        <f>IF(ISNONTEXT(TR!K259),"",TR!K259)</f>
        <v>TR-KA-10557</v>
      </c>
      <c r="B259" s="32" t="str">
        <f>TR!A259</f>
        <v>TR-DSRSW-2422</v>
      </c>
      <c r="C259" s="31" t="b">
        <f>ISERROR(FIND("-",TR!B259))</f>
        <v>0</v>
      </c>
      <c r="D259" s="31">
        <f>SetIndent(E259,(TR!C259-1)*2)</f>
        <v>4</v>
      </c>
      <c r="E259" s="35" t="str">
        <f>IF(ISERROR(FIND("-",TR!B259)),TR!B259&amp;" "&amp;TR!D259,TR!D259)</f>
        <v>The product shall notify an application when an error condition is raised or cleared by the Verimatrix CA system.</v>
      </c>
      <c r="F259" s="31" t="str">
        <f>TR!E259</f>
        <v>Req</v>
      </c>
      <c r="G259" s="31" t="str">
        <f>IF(ISERROR(FIND("Adara",TR!F259)),"","Adara ")</f>
        <v xml:space="preserve">Adara </v>
      </c>
      <c r="H259" s="31" t="str">
        <f>IF(ISERROR(FIND("Copernicus",TR!F259)),"","Copernicus ")</f>
        <v xml:space="preserve">Copernicus </v>
      </c>
      <c r="I259" s="31" t="str">
        <f>IF(ISERROR(FIND("Deneb",TR!F259)),"","Deneb ")</f>
        <v xml:space="preserve">Deneb </v>
      </c>
      <c r="J259" s="37" t="str">
        <f t="shared" ref="J259:J322" si="4">G259&amp;H259&amp;I259</f>
        <v xml:space="preserve">Adara Copernicus Deneb </v>
      </c>
      <c r="K259" s="31" t="str">
        <f>IF(ISBLANK(TR!G259),"",TR!G259)</f>
        <v/>
      </c>
      <c r="L259" s="31" t="str">
        <f>IF(ISBLANK(TR!H259),"",TR!H259)</f>
        <v>FR-DSRSW-1528</v>
      </c>
      <c r="M259" s="30" t="str">
        <f>TR!J259</f>
        <v>Approved</v>
      </c>
      <c r="N259" s="31" t="str">
        <f>IF(OR(M259="Modified",M259="Cosmetic"),VLOOKUP(B259,PrevPFS!B$1:E$833,4,FALSE),"")</f>
        <v/>
      </c>
    </row>
    <row r="260" spans="1:14" ht="45" x14ac:dyDescent="0.25">
      <c r="A260" s="31" t="str">
        <f>IF(ISNONTEXT(TR!K260),"",TR!K260)</f>
        <v>TR-KA-10559</v>
      </c>
      <c r="B260" s="32" t="str">
        <f>TR!A260</f>
        <v>TR-DSRSW-2424</v>
      </c>
      <c r="C260" s="31" t="b">
        <f>ISERROR(FIND("-",TR!B260))</f>
        <v>0</v>
      </c>
      <c r="D260" s="31">
        <f>SetIndent(E260,(TR!C260-1)*2)</f>
        <v>4</v>
      </c>
      <c r="E260" s="35" t="str">
        <f>IF(ISERROR(FIND("-",TR!B260)),TR!B260&amp;" "&amp;TR!D260,TR!D260)</f>
        <v>The product's HLS player shall be interoperable with the Verimatrix standard security library for decryption key retrieval.</v>
      </c>
      <c r="F260" s="31" t="str">
        <f>TR!E260</f>
        <v>Req</v>
      </c>
      <c r="G260" s="31" t="str">
        <f>IF(ISERROR(FIND("Adara",TR!F260)),"","Adara ")</f>
        <v xml:space="preserve">Adara </v>
      </c>
      <c r="H260" s="31" t="str">
        <f>IF(ISERROR(FIND("Copernicus",TR!F260)),"","Copernicus ")</f>
        <v xml:space="preserve">Copernicus </v>
      </c>
      <c r="I260" s="31" t="str">
        <f>IF(ISERROR(FIND("Deneb",TR!F260)),"","Deneb ")</f>
        <v xml:space="preserve">Deneb </v>
      </c>
      <c r="J260" s="37" t="str">
        <f t="shared" si="4"/>
        <v xml:space="preserve">Adara Copernicus Deneb </v>
      </c>
      <c r="K260" s="31" t="str">
        <f>IF(ISBLANK(TR!G260),"",TR!G260)</f>
        <v/>
      </c>
      <c r="L260" s="31" t="str">
        <f>IF(ISBLANK(TR!H260),"",TR!H260)</f>
        <v>FR-DSRSW-1528</v>
      </c>
      <c r="M260" s="30" t="str">
        <f>TR!J260</f>
        <v>Approved</v>
      </c>
      <c r="N260" s="31" t="str">
        <f>IF(OR(M260="Modified",M260="Cosmetic"),VLOOKUP(B260,PrevPFS!B$1:E$833,4,FALSE),"")</f>
        <v/>
      </c>
    </row>
    <row r="261" spans="1:14" ht="45" x14ac:dyDescent="0.25">
      <c r="A261" s="31" t="str">
        <f>IF(ISNONTEXT(TR!K261),"",TR!K261)</f>
        <v/>
      </c>
      <c r="B261" s="32" t="str">
        <f>TR!A261</f>
        <v>TR-DSRSW-2432</v>
      </c>
      <c r="C261" s="31" t="b">
        <f>ISERROR(FIND("-",TR!B261))</f>
        <v>1</v>
      </c>
      <c r="D261" s="31">
        <f>SetIndent(E261,(TR!C261-1)*2)</f>
        <v>0</v>
      </c>
      <c r="E261" s="33" t="str">
        <f>IF(ISERROR(FIND("-",TR!B261)),TR!B261&amp;" "&amp;TR!D261,TR!D261)</f>
        <v>13 Copy Protection</v>
      </c>
      <c r="F261" s="31" t="str">
        <f>TR!E261</f>
        <v>Hdr</v>
      </c>
      <c r="G261" s="31" t="str">
        <f>IF(ISERROR(FIND("Adara",TR!F261)),"","Adara ")</f>
        <v xml:space="preserve">Adara </v>
      </c>
      <c r="H261" s="31" t="str">
        <f>IF(ISERROR(FIND("Copernicus",TR!F261)),"","Copernicus ")</f>
        <v xml:space="preserve">Copernicus </v>
      </c>
      <c r="I261" s="31" t="str">
        <f>IF(ISERROR(FIND("Deneb",TR!F261)),"","Deneb ")</f>
        <v xml:space="preserve">Deneb </v>
      </c>
      <c r="J261" s="37" t="str">
        <f t="shared" si="4"/>
        <v xml:space="preserve">Adara Copernicus Deneb </v>
      </c>
      <c r="K261" s="31" t="str">
        <f>IF(ISBLANK(TR!G261),"",TR!G261)</f>
        <v/>
      </c>
      <c r="L261" s="31" t="str">
        <f>IF(ISBLANK(TR!H261),"",TR!H261)</f>
        <v>FR-DSRSW-1445</v>
      </c>
      <c r="M261" s="30" t="str">
        <f>TR!J261</f>
        <v>Approved</v>
      </c>
      <c r="N261" s="31" t="str">
        <f>IF(OR(M261="Modified",M261="Cosmetic"),VLOOKUP(B261,PrevPFS!B$1:E$833,4,FALSE),"")</f>
        <v/>
      </c>
    </row>
    <row r="262" spans="1:14" ht="45" x14ac:dyDescent="0.25">
      <c r="A262" s="31" t="str">
        <f>IF(ISNONTEXT(TR!K262),"",TR!K262)</f>
        <v/>
      </c>
      <c r="B262" s="32" t="str">
        <f>TR!A262</f>
        <v>TR-DSRSW-2199</v>
      </c>
      <c r="C262" s="31" t="b">
        <f>ISERROR(FIND("-",TR!B262))</f>
        <v>1</v>
      </c>
      <c r="D262" s="31">
        <f>SetIndent(E262,(TR!C262-1)*2)</f>
        <v>2</v>
      </c>
      <c r="E262" s="34" t="str">
        <f>IF(ISERROR(FIND("-",TR!B262)),TR!B262&amp;" "&amp;TR!D262,TR!D262)</f>
        <v>13.1 NTSC CGMS-A Copy Protection</v>
      </c>
      <c r="F262" s="31" t="str">
        <f>TR!E262</f>
        <v>Hdr</v>
      </c>
      <c r="G262" s="31" t="str">
        <f>IF(ISERROR(FIND("Adara",TR!F262)),"","Adara ")</f>
        <v xml:space="preserve">Adara </v>
      </c>
      <c r="H262" s="31" t="str">
        <f>IF(ISERROR(FIND("Copernicus",TR!F262)),"","Copernicus ")</f>
        <v xml:space="preserve">Copernicus </v>
      </c>
      <c r="I262" s="31" t="str">
        <f>IF(ISERROR(FIND("Deneb",TR!F262)),"","Deneb ")</f>
        <v xml:space="preserve">Deneb </v>
      </c>
      <c r="J262" s="37" t="str">
        <f t="shared" si="4"/>
        <v xml:space="preserve">Adara Copernicus Deneb </v>
      </c>
      <c r="K262" s="31" t="str">
        <f>IF(ISBLANK(TR!G262),"",TR!G262)</f>
        <v/>
      </c>
      <c r="L262" s="31" t="str">
        <f>IF(ISBLANK(TR!H262),"",TR!H262)</f>
        <v>FR-DSRSW-1446</v>
      </c>
      <c r="M262" s="30" t="str">
        <f>TR!J262</f>
        <v>Approved</v>
      </c>
      <c r="N262" s="31" t="str">
        <f>IF(OR(M262="Modified",M262="Cosmetic"),VLOOKUP(B262,PrevPFS!B$1:E$833,4,FALSE),"")</f>
        <v/>
      </c>
    </row>
    <row r="263" spans="1:14" ht="45" x14ac:dyDescent="0.25">
      <c r="A263" s="31" t="str">
        <f>IF(ISNONTEXT(TR!K263),"",TR!K263)</f>
        <v>TR-0-CC-REG-1382</v>
      </c>
      <c r="B263" s="32" t="str">
        <f>TR!A263</f>
        <v>TR-DSRSW-2113</v>
      </c>
      <c r="C263" s="31" t="b">
        <f>ISERROR(FIND("-",TR!B263))</f>
        <v>0</v>
      </c>
      <c r="D263" s="31">
        <f>SetIndent(E263,(TR!C263-1)*2)</f>
        <v>4</v>
      </c>
      <c r="E263" s="35" t="str">
        <f>IF(ISERROR(FIND("-",TR!B263)),TR!B263&amp;" "&amp;TR!D263,TR!D263)</f>
        <v>The product SHALL support pass-through of CGMS-A data encoded as per [CEA-608D - 1] and transported as per [SCTE-20] and/or [SCTE-21] of a digital MP@HL MPEG-2 video service to the NTSC analog video outputs of the product.</v>
      </c>
      <c r="F263" s="31" t="str">
        <f>TR!E263</f>
        <v>Req</v>
      </c>
      <c r="G263" s="31" t="str">
        <f>IF(ISERROR(FIND("Adara",TR!F263)),"","Adara ")</f>
        <v xml:space="preserve">Adara </v>
      </c>
      <c r="H263" s="31" t="str">
        <f>IF(ISERROR(FIND("Copernicus",TR!F263)),"","Copernicus ")</f>
        <v xml:space="preserve">Copernicus </v>
      </c>
      <c r="I263" s="31" t="str">
        <f>IF(ISERROR(FIND("Deneb",TR!F263)),"","Deneb ")</f>
        <v xml:space="preserve">Deneb </v>
      </c>
      <c r="J263" s="37" t="str">
        <f t="shared" si="4"/>
        <v xml:space="preserve">Adara Copernicus Deneb </v>
      </c>
      <c r="K263" s="31" t="str">
        <f>IF(ISBLANK(TR!G263),"",TR!G263)</f>
        <v/>
      </c>
      <c r="L263" s="31" t="str">
        <f>IF(ISBLANK(TR!H263),"",TR!H263)</f>
        <v>FR-DSRSW-1446</v>
      </c>
      <c r="M263" s="30" t="str">
        <f>TR!J263</f>
        <v>Approved</v>
      </c>
      <c r="N263" s="31" t="str">
        <f>IF(OR(M263="Modified",M263="Cosmetic"),VLOOKUP(B263,PrevPFS!B$1:E$833,4,FALSE),"")</f>
        <v/>
      </c>
    </row>
    <row r="264" spans="1:14" ht="45" x14ac:dyDescent="0.25">
      <c r="A264" s="31" t="str">
        <f>IF(ISNONTEXT(TR!K264),"",TR!K264)</f>
        <v>TR-0-CC-REG-1383</v>
      </c>
      <c r="B264" s="32" t="str">
        <f>TR!A264</f>
        <v>TR-DSRSW-2114</v>
      </c>
      <c r="C264" s="31" t="b">
        <f>ISERROR(FIND("-",TR!B264))</f>
        <v>0</v>
      </c>
      <c r="D264" s="31">
        <f>SetIndent(E264,(TR!C264-1)*2)</f>
        <v>4</v>
      </c>
      <c r="E264" s="35" t="str">
        <f>IF(ISERROR(FIND("-",TR!B264)),TR!B264&amp;" "&amp;TR!D264,TR!D264)</f>
        <v>The product SHALL support pass-through of CGMS-A data encoded as per [CEA 608D - 1] and transported as per [SCTE DVS 683 - 1] of a digital MPEG-4 AVC video service to the NTSC analog video outputs of the product.</v>
      </c>
      <c r="F264" s="31" t="str">
        <f>TR!E264</f>
        <v>Req</v>
      </c>
      <c r="G264" s="31" t="str">
        <f>IF(ISERROR(FIND("Adara",TR!F264)),"","Adara ")</f>
        <v xml:space="preserve">Adara </v>
      </c>
      <c r="H264" s="31" t="str">
        <f>IF(ISERROR(FIND("Copernicus",TR!F264)),"","Copernicus ")</f>
        <v xml:space="preserve">Copernicus </v>
      </c>
      <c r="I264" s="31" t="str">
        <f>IF(ISERROR(FIND("Deneb",TR!F264)),"","Deneb ")</f>
        <v xml:space="preserve">Deneb </v>
      </c>
      <c r="J264" s="37" t="str">
        <f t="shared" si="4"/>
        <v xml:space="preserve">Adara Copernicus Deneb </v>
      </c>
      <c r="K264" s="31" t="str">
        <f>IF(ISBLANK(TR!G264),"",TR!G264)</f>
        <v/>
      </c>
      <c r="L264" s="31" t="str">
        <f>IF(ISBLANK(TR!H264),"",TR!H264)</f>
        <v>FR-DSRSW-1446</v>
      </c>
      <c r="M264" s="30" t="str">
        <f>TR!J264</f>
        <v>Approved</v>
      </c>
      <c r="N264" s="31" t="str">
        <f>IF(OR(M264="Modified",M264="Cosmetic"),VLOOKUP(B264,PrevPFS!B$1:E$833,4,FALSE),"")</f>
        <v/>
      </c>
    </row>
    <row r="265" spans="1:14" ht="45" x14ac:dyDescent="0.25">
      <c r="A265" s="31" t="str">
        <f>IF(ISNONTEXT(TR!K265),"",TR!K265)</f>
        <v/>
      </c>
      <c r="B265" s="32" t="str">
        <f>TR!A265</f>
        <v>TR-DSRSW-1558</v>
      </c>
      <c r="C265" s="31" t="b">
        <f>ISERROR(FIND("-",TR!B265))</f>
        <v>1</v>
      </c>
      <c r="D265" s="31">
        <f>SetIndent(E265,(TR!C265-1)*2)</f>
        <v>0</v>
      </c>
      <c r="E265" s="33" t="str">
        <f>IF(ISERROR(FIND("-",TR!B265)),TR!B265&amp;" "&amp;TR!D265,TR!D265)</f>
        <v>14 DVR</v>
      </c>
      <c r="F265" s="31" t="str">
        <f>TR!E265</f>
        <v>Hdr</v>
      </c>
      <c r="G265" s="31" t="str">
        <f>IF(ISERROR(FIND("Adara",TR!F265)),"","Adara ")</f>
        <v xml:space="preserve">Adara </v>
      </c>
      <c r="H265" s="31" t="str">
        <f>IF(ISERROR(FIND("Copernicus",TR!F265)),"","Copernicus ")</f>
        <v xml:space="preserve">Copernicus </v>
      </c>
      <c r="I265" s="31" t="str">
        <f>IF(ISERROR(FIND("Deneb",TR!F265)),"","Deneb ")</f>
        <v xml:space="preserve">Deneb </v>
      </c>
      <c r="J265" s="37" t="str">
        <f t="shared" si="4"/>
        <v xml:space="preserve">Adara Copernicus Deneb </v>
      </c>
      <c r="K265" s="31" t="str">
        <f>IF(ISBLANK(TR!G265),"",TR!G265)</f>
        <v/>
      </c>
      <c r="L265" s="31" t="str">
        <f>IF(ISBLANK(TR!H265),"",TR!H265)</f>
        <v>FR-DSRSW-1358</v>
      </c>
      <c r="M265" s="30" t="str">
        <f>TR!J265</f>
        <v>Approved</v>
      </c>
      <c r="N265" s="31" t="str">
        <f>IF(OR(M265="Modified",M265="Cosmetic"),VLOOKUP(B265,PrevPFS!B$1:E$833,4,FALSE),"")</f>
        <v/>
      </c>
    </row>
    <row r="266" spans="1:14" ht="45" x14ac:dyDescent="0.25">
      <c r="A266" s="31" t="str">
        <f>IF(ISNONTEXT(TR!K266),"",TR!K266)</f>
        <v/>
      </c>
      <c r="B266" s="32" t="str">
        <f>TR!A266</f>
        <v>TR-DSRSW-1559</v>
      </c>
      <c r="C266" s="31" t="b">
        <f>ISERROR(FIND("-",TR!B266))</f>
        <v>1</v>
      </c>
      <c r="D266" s="31">
        <f>SetIndent(E266,(TR!C266-1)*2)</f>
        <v>2</v>
      </c>
      <c r="E266" s="34" t="str">
        <f>IF(ISERROR(FIND("-",TR!B266)),TR!B266&amp;" "&amp;TR!D266,TR!D266)</f>
        <v>14.1 Internal Hard Disk Drive General</v>
      </c>
      <c r="F266" s="31" t="str">
        <f>TR!E266</f>
        <v>Hdr</v>
      </c>
      <c r="G266" s="31" t="str">
        <f>IF(ISERROR(FIND("Adara",TR!F266)),"","Adara ")</f>
        <v xml:space="preserve">Adara </v>
      </c>
      <c r="H266" s="31" t="str">
        <f>IF(ISERROR(FIND("Copernicus",TR!F266)),"","Copernicus ")</f>
        <v xml:space="preserve">Copernicus </v>
      </c>
      <c r="I266" s="31" t="str">
        <f>IF(ISERROR(FIND("Deneb",TR!F266)),"","Deneb ")</f>
        <v xml:space="preserve">Deneb </v>
      </c>
      <c r="J266" s="37" t="str">
        <f t="shared" si="4"/>
        <v xml:space="preserve">Adara Copernicus Deneb </v>
      </c>
      <c r="K266" s="31" t="str">
        <f>IF(ISBLANK(TR!G266),"",TR!G266)</f>
        <v/>
      </c>
      <c r="L266" s="31" t="str">
        <f>IF(ISBLANK(TR!H266),"",TR!H266)</f>
        <v>FR-DSRSW-1359</v>
      </c>
      <c r="M266" s="30" t="str">
        <f>TR!J266</f>
        <v>Approved</v>
      </c>
      <c r="N266" s="31" t="str">
        <f>IF(OR(M266="Modified",M266="Cosmetic"),VLOOKUP(B266,PrevPFS!B$1:E$833,4,FALSE),"")</f>
        <v/>
      </c>
    </row>
    <row r="267" spans="1:14" ht="45" x14ac:dyDescent="0.25">
      <c r="A267" s="31" t="str">
        <f>IF(ISNONTEXT(TR!K267),"",TR!K267)</f>
        <v>FR-DVRCAP-1031</v>
      </c>
      <c r="B267" s="32" t="str">
        <f>TR!A267</f>
        <v>TR-DSRSW-2178</v>
      </c>
      <c r="C267" s="31" t="b">
        <f>ISERROR(FIND("-",TR!B267))</f>
        <v>0</v>
      </c>
      <c r="D267" s="31">
        <f>SetIndent(E267,(TR!C267-1)*2)</f>
        <v>4</v>
      </c>
      <c r="E267" s="35" t="str">
        <f>IF(ISERROR(FIND("-",TR!B267)),TR!B267&amp;" "&amp;TR!D267,TR!D267)</f>
        <v>The product SHALL support executing with up to 1 TB  of capacity for a single internal hard disk drive.</v>
      </c>
      <c r="F267" s="31" t="str">
        <f>TR!E267</f>
        <v>Req</v>
      </c>
      <c r="G267" s="31" t="str">
        <f>IF(ISERROR(FIND("Adara",TR!F267)),"","Adara ")</f>
        <v xml:space="preserve">Adara </v>
      </c>
      <c r="H267" s="31" t="str">
        <f>IF(ISERROR(FIND("Copernicus",TR!F267)),"","Copernicus ")</f>
        <v xml:space="preserve">Copernicus </v>
      </c>
      <c r="I267" s="31" t="str">
        <f>IF(ISERROR(FIND("Deneb",TR!F267)),"","Deneb ")</f>
        <v xml:space="preserve">Deneb </v>
      </c>
      <c r="J267" s="37" t="str">
        <f t="shared" si="4"/>
        <v xml:space="preserve">Adara Copernicus Deneb </v>
      </c>
      <c r="K267" s="31" t="str">
        <f>IF(ISBLANK(TR!G267),"",TR!G267)</f>
        <v/>
      </c>
      <c r="L267" s="31" t="str">
        <f>IF(ISBLANK(TR!H267),"",TR!H267)</f>
        <v>FR-DSRSW-1460</v>
      </c>
      <c r="M267" s="30" t="str">
        <f>TR!J267</f>
        <v>Approved</v>
      </c>
      <c r="N267" s="31" t="str">
        <f>IF(OR(M267="Modified",M267="Cosmetic"),VLOOKUP(B267,PrevPFS!B$1:E$833,4,FALSE),"")</f>
        <v/>
      </c>
    </row>
    <row r="268" spans="1:14" ht="45" x14ac:dyDescent="0.25">
      <c r="A268" s="31" t="str">
        <f>IF(ISNONTEXT(TR!K268),"",TR!K268)</f>
        <v>TR-0-LDVRHDD-FPR-1028</v>
      </c>
      <c r="B268" s="32" t="str">
        <f>TR!A268</f>
        <v>TR-DSRSW-2179</v>
      </c>
      <c r="C268" s="31" t="b">
        <f>ISERROR(FIND("-",TR!B268))</f>
        <v>0</v>
      </c>
      <c r="D268" s="31">
        <f>SetIndent(E268,(TR!C268-1)*2)</f>
        <v>4</v>
      </c>
      <c r="E268" s="35" t="str">
        <f>IF(ISERROR(FIND("-",TR!B268)),TR!B268&amp;" "&amp;TR!D268,TR!D268)</f>
        <v>The product shall provide DVR services (record, play, trickplay) through the platform code  APIs on up to a 1 TB HDD.</v>
      </c>
      <c r="F268" s="31" t="str">
        <f>TR!E268</f>
        <v>Req</v>
      </c>
      <c r="G268" s="31" t="str">
        <f>IF(ISERROR(FIND("Adara",TR!F268)),"","Adara ")</f>
        <v xml:space="preserve">Adara </v>
      </c>
      <c r="H268" s="31" t="str">
        <f>IF(ISERROR(FIND("Copernicus",TR!F268)),"","Copernicus ")</f>
        <v xml:space="preserve">Copernicus </v>
      </c>
      <c r="I268" s="31" t="str">
        <f>IF(ISERROR(FIND("Deneb",TR!F268)),"","Deneb ")</f>
        <v xml:space="preserve">Deneb </v>
      </c>
      <c r="J268" s="37" t="str">
        <f t="shared" si="4"/>
        <v xml:space="preserve">Adara Copernicus Deneb </v>
      </c>
      <c r="K268" s="31" t="str">
        <f>IF(ISBLANK(TR!G268),"",TR!G268)</f>
        <v/>
      </c>
      <c r="L268" s="31" t="str">
        <f>IF(ISBLANK(TR!H268),"",TR!H268)</f>
        <v>FR-DSRSW-1460</v>
      </c>
      <c r="M268" s="30" t="str">
        <f>TR!J268</f>
        <v>Approved</v>
      </c>
      <c r="N268" s="31" t="str">
        <f>IF(OR(M268="Modified",M268="Cosmetic"),VLOOKUP(B268,PrevPFS!B$1:E$833,4,FALSE),"")</f>
        <v/>
      </c>
    </row>
    <row r="269" spans="1:14" ht="45" x14ac:dyDescent="0.25">
      <c r="A269" s="31" t="str">
        <f>IF(ISNONTEXT(TR!K269),"",TR!K269)</f>
        <v>TR-0-LDVRHDD-FPR-1029</v>
      </c>
      <c r="B269" s="32" t="str">
        <f>TR!A269</f>
        <v>TR-DSRSW-2180</v>
      </c>
      <c r="C269" s="31" t="b">
        <f>ISERROR(FIND("-",TR!B269))</f>
        <v>0</v>
      </c>
      <c r="D269" s="31">
        <f>SetIndent(E269,(TR!C269-1)*2)</f>
        <v>4</v>
      </c>
      <c r="E269" s="35" t="str">
        <f>IF(ISERROR(FIND("-",TR!B269)),TR!B269&amp;" "&amp;TR!D269,TR!D269)</f>
        <v>The product shall provide file system services through the platform code APIs on the resident HDD.</v>
      </c>
      <c r="F269" s="31" t="str">
        <f>TR!E269</f>
        <v>Req</v>
      </c>
      <c r="G269" s="31" t="str">
        <f>IF(ISERROR(FIND("Adara",TR!F269)),"","Adara ")</f>
        <v xml:space="preserve">Adara </v>
      </c>
      <c r="H269" s="31" t="str">
        <f>IF(ISERROR(FIND("Copernicus",TR!F269)),"","Copernicus ")</f>
        <v xml:space="preserve">Copernicus </v>
      </c>
      <c r="I269" s="31" t="str">
        <f>IF(ISERROR(FIND("Deneb",TR!F269)),"","Deneb ")</f>
        <v xml:space="preserve">Deneb </v>
      </c>
      <c r="J269" s="37" t="str">
        <f t="shared" si="4"/>
        <v xml:space="preserve">Adara Copernicus Deneb </v>
      </c>
      <c r="K269" s="31" t="str">
        <f>IF(ISBLANK(TR!G269),"",TR!G269)</f>
        <v/>
      </c>
      <c r="L269" s="31" t="str">
        <f>IF(ISBLANK(TR!H269),"",TR!H269)</f>
        <v>FR-DSRSW-1460</v>
      </c>
      <c r="M269" s="30" t="str">
        <f>TR!J269</f>
        <v>Approved</v>
      </c>
      <c r="N269" s="31" t="str">
        <f>IF(OR(M269="Modified",M269="Cosmetic"),VLOOKUP(B269,PrevPFS!B$1:E$833,4,FALSE),"")</f>
        <v/>
      </c>
    </row>
    <row r="270" spans="1:14" ht="45" x14ac:dyDescent="0.25">
      <c r="A270" s="31" t="str">
        <f>IF(ISNONTEXT(TR!K270),"",TR!K270)</f>
        <v>TR-DRDETC-1001</v>
      </c>
      <c r="B270" s="32" t="str">
        <f>TR!A270</f>
        <v>TR-DSRSW-1567</v>
      </c>
      <c r="C270" s="31" t="b">
        <f>ISERROR(FIND("-",TR!B270))</f>
        <v>0</v>
      </c>
      <c r="D270" s="31">
        <f>SetIndent(E270,(TR!C270-1)*2)</f>
        <v>4</v>
      </c>
      <c r="E270" s="35" t="str">
        <f>IF(ISERROR(FIND("-",TR!B270)),TR!B270&amp;" "&amp;TR!D270,TR!D270)</f>
        <v xml:space="preserve">The product SHALL detect if a hard disk drive is present upon AC Power. </v>
      </c>
      <c r="F270" s="31" t="str">
        <f>TR!E270</f>
        <v>Req</v>
      </c>
      <c r="G270" s="31" t="str">
        <f>IF(ISERROR(FIND("Adara",TR!F270)),"","Adara ")</f>
        <v xml:space="preserve">Adara </v>
      </c>
      <c r="H270" s="31" t="str">
        <f>IF(ISERROR(FIND("Copernicus",TR!F270)),"","Copernicus ")</f>
        <v xml:space="preserve">Copernicus </v>
      </c>
      <c r="I270" s="31" t="str">
        <f>IF(ISERROR(FIND("Deneb",TR!F270)),"","Deneb ")</f>
        <v xml:space="preserve">Deneb </v>
      </c>
      <c r="J270" s="37" t="str">
        <f t="shared" si="4"/>
        <v xml:space="preserve">Adara Copernicus Deneb </v>
      </c>
      <c r="K270" s="31" t="str">
        <f>IF(ISBLANK(TR!G270),"",TR!G270)</f>
        <v/>
      </c>
      <c r="L270" s="31" t="str">
        <f>IF(ISBLANK(TR!H270),"",TR!H270)</f>
        <v>FR-DSRSW-1362</v>
      </c>
      <c r="M270" s="30" t="str">
        <f>TR!J270</f>
        <v>Approved</v>
      </c>
      <c r="N270" s="31" t="str">
        <f>IF(OR(M270="Modified",M270="Cosmetic"),VLOOKUP(B270,PrevPFS!B$1:E$833,4,FALSE),"")</f>
        <v/>
      </c>
    </row>
    <row r="271" spans="1:14" ht="45" x14ac:dyDescent="0.25">
      <c r="A271" s="31" t="str">
        <f>IF(ISNONTEXT(TR!K271),"",TR!K271)</f>
        <v>TR-DRDETC-1002</v>
      </c>
      <c r="B271" s="32" t="str">
        <f>TR!A271</f>
        <v>TR-DSRSW-1568</v>
      </c>
      <c r="C271" s="31" t="b">
        <f>ISERROR(FIND("-",TR!B271))</f>
        <v>0</v>
      </c>
      <c r="D271" s="31">
        <f>SetIndent(E271,(TR!C271-1)*2)</f>
        <v>4</v>
      </c>
      <c r="E271" s="35" t="str">
        <f>IF(ISERROR(FIND("-",TR!B271)),TR!B271&amp;" "&amp;TR!D271,TR!D271)</f>
        <v>The product SHALL provide capability to operate with a hard disk drive capability if drive is detected upon AC Power.</v>
      </c>
      <c r="F271" s="31" t="str">
        <f>TR!E271</f>
        <v>Req</v>
      </c>
      <c r="G271" s="31" t="str">
        <f>IF(ISERROR(FIND("Adara",TR!F271)),"","Adara ")</f>
        <v xml:space="preserve">Adara </v>
      </c>
      <c r="H271" s="31" t="str">
        <f>IF(ISERROR(FIND("Copernicus",TR!F271)),"","Copernicus ")</f>
        <v xml:space="preserve">Copernicus </v>
      </c>
      <c r="I271" s="31" t="str">
        <f>IF(ISERROR(FIND("Deneb",TR!F271)),"","Deneb ")</f>
        <v xml:space="preserve">Deneb </v>
      </c>
      <c r="J271" s="37" t="str">
        <f t="shared" si="4"/>
        <v xml:space="preserve">Adara Copernicus Deneb </v>
      </c>
      <c r="K271" s="31" t="str">
        <f>IF(ISBLANK(TR!G271),"",TR!G271)</f>
        <v/>
      </c>
      <c r="L271" s="31" t="str">
        <f>IF(ISBLANK(TR!H271),"",TR!H271)</f>
        <v>FR-DSRSW-1362</v>
      </c>
      <c r="M271" s="30" t="str">
        <f>TR!J271</f>
        <v>Approved</v>
      </c>
      <c r="N271" s="31" t="str">
        <f>IF(OR(M271="Modified",M271="Cosmetic"),VLOOKUP(B271,PrevPFS!B$1:E$833,4,FALSE),"")</f>
        <v/>
      </c>
    </row>
    <row r="272" spans="1:14" ht="45" x14ac:dyDescent="0.25">
      <c r="A272" s="31" t="str">
        <f>IF(ISNONTEXT(TR!K272),"",TR!K272)</f>
        <v>TR-DRDETC-1003</v>
      </c>
      <c r="B272" s="32" t="str">
        <f>TR!A272</f>
        <v>TR-DSRSW-1569</v>
      </c>
      <c r="C272" s="31" t="b">
        <f>ISERROR(FIND("-",TR!B272))</f>
        <v>0</v>
      </c>
      <c r="D272" s="31">
        <f>SetIndent(E272,(TR!C272-1)*2)</f>
        <v>4</v>
      </c>
      <c r="E272" s="35" t="str">
        <f>IF(ISERROR(FIND("-",TR!B272)),TR!B272&amp;" "&amp;TR!D272,TR!D272)</f>
        <v>The product SHALL provide capability to operate without a hard disk drive capability if a drive is not detected upon AC Power</v>
      </c>
      <c r="F272" s="31" t="str">
        <f>TR!E272</f>
        <v>Req</v>
      </c>
      <c r="G272" s="31" t="str">
        <f>IF(ISERROR(FIND("Adara",TR!F272)),"","Adara ")</f>
        <v xml:space="preserve">Adara </v>
      </c>
      <c r="H272" s="31" t="str">
        <f>IF(ISERROR(FIND("Copernicus",TR!F272)),"","Copernicus ")</f>
        <v xml:space="preserve">Copernicus </v>
      </c>
      <c r="I272" s="31" t="str">
        <f>IF(ISERROR(FIND("Deneb",TR!F272)),"","Deneb ")</f>
        <v xml:space="preserve">Deneb </v>
      </c>
      <c r="J272" s="37" t="str">
        <f t="shared" si="4"/>
        <v xml:space="preserve">Adara Copernicus Deneb </v>
      </c>
      <c r="K272" s="31" t="str">
        <f>IF(ISBLANK(TR!G272),"",TR!G272)</f>
        <v/>
      </c>
      <c r="L272" s="31" t="str">
        <f>IF(ISBLANK(TR!H272),"",TR!H272)</f>
        <v>FR-DSRSW-1362</v>
      </c>
      <c r="M272" s="30" t="str">
        <f>TR!J272</f>
        <v>Approved</v>
      </c>
      <c r="N272" s="31" t="str">
        <f>IF(OR(M272="Modified",M272="Cosmetic"),VLOOKUP(B272,PrevPFS!B$1:E$833,4,FALSE),"")</f>
        <v/>
      </c>
    </row>
    <row r="273" spans="1:14" ht="45" x14ac:dyDescent="0.25">
      <c r="A273" s="31" t="str">
        <f>IF(ISNONTEXT(TR!K273),"",TR!K273)</f>
        <v/>
      </c>
      <c r="B273" s="32" t="str">
        <f>TR!A273</f>
        <v>TR-DSRSW-1570</v>
      </c>
      <c r="C273" s="31" t="b">
        <f>ISERROR(FIND("-",TR!B273))</f>
        <v>1</v>
      </c>
      <c r="D273" s="31">
        <f>SetIndent(E273,(TR!C273-1)*2)</f>
        <v>2</v>
      </c>
      <c r="E273" s="34" t="str">
        <f>IF(ISERROR(FIND("-",TR!B273)),TR!B273&amp;" "&amp;TR!D273,TR!D273)</f>
        <v>14.2 External Hard Disk Drive General</v>
      </c>
      <c r="F273" s="31" t="str">
        <f>TR!E273</f>
        <v>Hdr</v>
      </c>
      <c r="G273" s="31" t="str">
        <f>IF(ISERROR(FIND("Adara",TR!F273)),"","Adara ")</f>
        <v xml:space="preserve">Adara </v>
      </c>
      <c r="H273" s="31" t="str">
        <f>IF(ISERROR(FIND("Copernicus",TR!F273)),"","Copernicus ")</f>
        <v xml:space="preserve">Copernicus </v>
      </c>
      <c r="I273" s="31" t="str">
        <f>IF(ISERROR(FIND("Deneb",TR!F273)),"","Deneb ")</f>
        <v xml:space="preserve">Deneb </v>
      </c>
      <c r="J273" s="37" t="str">
        <f t="shared" si="4"/>
        <v xml:space="preserve">Adara Copernicus Deneb </v>
      </c>
      <c r="K273" s="31" t="str">
        <f>IF(ISBLANK(TR!G273),"",TR!G273)</f>
        <v/>
      </c>
      <c r="L273" s="31" t="str">
        <f>IF(ISBLANK(TR!H273),"",TR!H273)</f>
        <v>FR-DSRSW-1363</v>
      </c>
      <c r="M273" s="30" t="str">
        <f>TR!J273</f>
        <v>Approved</v>
      </c>
      <c r="N273" s="31" t="str">
        <f>IF(OR(M273="Modified",M273="Cosmetic"),VLOOKUP(B273,PrevPFS!B$1:E$833,4,FALSE),"")</f>
        <v/>
      </c>
    </row>
    <row r="274" spans="1:14" ht="45" x14ac:dyDescent="0.25">
      <c r="A274" s="31" t="str">
        <f>IF(ISNONTEXT(TR!K274),"",TR!K274)</f>
        <v/>
      </c>
      <c r="B274" s="32" t="str">
        <f>TR!A274</f>
        <v>TR-DSRSW-2214</v>
      </c>
      <c r="C274" s="31" t="b">
        <f>ISERROR(FIND("-",TR!B274))</f>
        <v>0</v>
      </c>
      <c r="D274" s="31">
        <f>SetIndent(E274,(TR!C274-1)*2)</f>
        <v>4</v>
      </c>
      <c r="E274" s="35" t="str">
        <f>IF(ISERROR(FIND("-",TR!B274)),TR!B274&amp;" "&amp;TR!D274,TR!D274)</f>
        <v>The DSR800 product SHALL prevent external Hard Drive functionality.</v>
      </c>
      <c r="F274" s="31" t="str">
        <f>TR!E274</f>
        <v>Req</v>
      </c>
      <c r="G274" s="31" t="str">
        <f>IF(ISERROR(FIND("Adara",TR!F274)),"","Adara ")</f>
        <v xml:space="preserve">Adara </v>
      </c>
      <c r="H274" s="31" t="str">
        <f>IF(ISERROR(FIND("Copernicus",TR!F274)),"","Copernicus ")</f>
        <v xml:space="preserve">Copernicus </v>
      </c>
      <c r="I274" s="31" t="str">
        <f>IF(ISERROR(FIND("Deneb",TR!F274)),"","Deneb ")</f>
        <v xml:space="preserve">Deneb </v>
      </c>
      <c r="J274" s="37" t="str">
        <f t="shared" si="4"/>
        <v xml:space="preserve">Adara Copernicus Deneb </v>
      </c>
      <c r="K274" s="31" t="str">
        <f>IF(ISBLANK(TR!G274),"",TR!G274)</f>
        <v/>
      </c>
      <c r="L274" s="31" t="str">
        <f>IF(ISBLANK(TR!H274),"",TR!H274)</f>
        <v>FR-DSRSW-1446</v>
      </c>
      <c r="M274" s="30" t="str">
        <f>TR!J274</f>
        <v>Approved</v>
      </c>
      <c r="N274" s="31" t="str">
        <f>IF(OR(M274="Modified",M274="Cosmetic"),VLOOKUP(B274,PrevPFS!B$1:E$833,4,FALSE),"")</f>
        <v/>
      </c>
    </row>
    <row r="275" spans="1:14" ht="45" x14ac:dyDescent="0.25">
      <c r="A275" s="31" t="str">
        <f>IF(ISNONTEXT(TR!K275),"",TR!K275)</f>
        <v>FR-DVRCAP-1055</v>
      </c>
      <c r="B275" s="32" t="str">
        <f>TR!A275</f>
        <v>TR-DSRSW-1571</v>
      </c>
      <c r="C275" s="31" t="b">
        <f>ISERROR(FIND("-",TR!B275))</f>
        <v>0</v>
      </c>
      <c r="D275" s="31">
        <f>SetIndent(E275,(TR!C275-1)*2)</f>
        <v>4</v>
      </c>
      <c r="E275" s="35" t="str">
        <f>IF(ISERROR(FIND("-",TR!B275)),TR!B275&amp;" "&amp;TR!D275,TR!D275)</f>
        <v>The remaining requirements in this section only apply for products that support external DVR functionality.</v>
      </c>
      <c r="F275" s="31" t="str">
        <f>TR!E275</f>
        <v>Com</v>
      </c>
      <c r="G275" s="31" t="str">
        <f>IF(ISERROR(FIND("Adara",TR!F275)),"","Adara ")</f>
        <v xml:space="preserve">Adara </v>
      </c>
      <c r="H275" s="31" t="str">
        <f>IF(ISERROR(FIND("Copernicus",TR!F275)),"","Copernicus ")</f>
        <v xml:space="preserve">Copernicus </v>
      </c>
      <c r="I275" s="31" t="str">
        <f>IF(ISERROR(FIND("Deneb",TR!F275)),"","Deneb ")</f>
        <v xml:space="preserve">Deneb </v>
      </c>
      <c r="J275" s="37" t="str">
        <f t="shared" si="4"/>
        <v xml:space="preserve">Adara Copernicus Deneb </v>
      </c>
      <c r="K275" s="31" t="str">
        <f>IF(ISBLANK(TR!G275),"",TR!G275)</f>
        <v/>
      </c>
      <c r="L275" s="31" t="str">
        <f>IF(ISBLANK(TR!H275),"",TR!H275)</f>
        <v>FR-DSRSW-1364</v>
      </c>
      <c r="M275" s="30" t="str">
        <f>TR!J275</f>
        <v>Approved</v>
      </c>
      <c r="N275" s="31" t="str">
        <f>IF(OR(M275="Modified",M275="Cosmetic"),VLOOKUP(B275,PrevPFS!B$1:E$833,4,FALSE),"")</f>
        <v/>
      </c>
    </row>
    <row r="276" spans="1:14" ht="45" x14ac:dyDescent="0.25">
      <c r="A276" s="31" t="str">
        <f>IF(ISNONTEXT(TR!K276),"",TR!K276)</f>
        <v>TR-0-EDVRHDD-FPR-2366</v>
      </c>
      <c r="B276" s="32" t="str">
        <f>TR!A276</f>
        <v>TR-DSRSW-1572</v>
      </c>
      <c r="C276" s="31" t="b">
        <f>ISERROR(FIND("-",TR!B276))</f>
        <v>0</v>
      </c>
      <c r="D276" s="31">
        <f>SetIndent(E276,(TR!C276-1)*2)</f>
        <v>4</v>
      </c>
      <c r="E276" s="35" t="str">
        <f>IF(ISERROR(FIND("-",TR!B276)),TR!B276&amp;" "&amp;TR!D276,TR!D276)</f>
        <v>The product SHALL support up to two active recording sessions total on any combination of HDDs, internal or external, while simultaneously supporting up to one playback session from an HDD, internal or external.</v>
      </c>
      <c r="F276" s="31" t="str">
        <f>TR!E276</f>
        <v>Req</v>
      </c>
      <c r="G276" s="31" t="str">
        <f>IF(ISERROR(FIND("Adara",TR!F276)),"","Adara ")</f>
        <v xml:space="preserve">Adara </v>
      </c>
      <c r="H276" s="31" t="str">
        <f>IF(ISERROR(FIND("Copernicus",TR!F276)),"","Copernicus ")</f>
        <v xml:space="preserve">Copernicus </v>
      </c>
      <c r="I276" s="31" t="str">
        <f>IF(ISERROR(FIND("Deneb",TR!F276)),"","Deneb ")</f>
        <v xml:space="preserve">Deneb </v>
      </c>
      <c r="J276" s="37" t="str">
        <f t="shared" si="4"/>
        <v xml:space="preserve">Adara Copernicus Deneb </v>
      </c>
      <c r="K276" s="31" t="str">
        <f>IF(ISBLANK(TR!G276),"",TR!G276)</f>
        <v>DSR600, DSR605 support External DVR</v>
      </c>
      <c r="L276" s="31" t="str">
        <f>IF(ISBLANK(TR!H276),"",TR!H276)</f>
        <v>FR-DSRSW-1364</v>
      </c>
      <c r="M276" s="30" t="str">
        <f>TR!J276</f>
        <v>Approved</v>
      </c>
      <c r="N276" s="31" t="str">
        <f>IF(OR(M276="Modified",M276="Cosmetic"),VLOOKUP(B276,PrevPFS!B$1:E$833,4,FALSE),"")</f>
        <v/>
      </c>
    </row>
    <row r="277" spans="1:14" ht="45" x14ac:dyDescent="0.25">
      <c r="A277" s="31" t="str">
        <f>IF(ISNONTEXT(TR!K277),"",TR!K277)</f>
        <v>TR-0-EDVRHDD-FPR-2373</v>
      </c>
      <c r="B277" s="32" t="str">
        <f>TR!A277</f>
        <v>TR-DSRSW-1573</v>
      </c>
      <c r="C277" s="31" t="b">
        <f>ISERROR(FIND("-",TR!B277))</f>
        <v>0</v>
      </c>
      <c r="D277" s="31">
        <f>SetIndent(E277,(TR!C277-1)*2)</f>
        <v>4</v>
      </c>
      <c r="E277" s="35" t="str">
        <f>IF(ISERROR(FIND("-",TR!B277)),TR!B277&amp;" "&amp;TR!D277,TR!D277)</f>
        <v>The product SHALL provide an API that allows an application to determine if an external HDD is connected.</v>
      </c>
      <c r="F277" s="31" t="str">
        <f>TR!E277</f>
        <v>Req</v>
      </c>
      <c r="G277" s="31" t="str">
        <f>IF(ISERROR(FIND("Adara",TR!F277)),"","Adara ")</f>
        <v xml:space="preserve">Adara </v>
      </c>
      <c r="H277" s="31" t="str">
        <f>IF(ISERROR(FIND("Copernicus",TR!F277)),"","Copernicus ")</f>
        <v xml:space="preserve">Copernicus </v>
      </c>
      <c r="I277" s="31" t="str">
        <f>IF(ISERROR(FIND("Deneb",TR!F277)),"","Deneb ")</f>
        <v xml:space="preserve">Deneb </v>
      </c>
      <c r="J277" s="37" t="str">
        <f t="shared" si="4"/>
        <v xml:space="preserve">Adara Copernicus Deneb </v>
      </c>
      <c r="K277" s="31" t="str">
        <f>IF(ISBLANK(TR!G277),"",TR!G277)</f>
        <v/>
      </c>
      <c r="L277" s="31" t="str">
        <f>IF(ISBLANK(TR!H277),"",TR!H277)</f>
        <v>FR-DSRSW-1364</v>
      </c>
      <c r="M277" s="30" t="str">
        <f>TR!J277</f>
        <v>Approved</v>
      </c>
      <c r="N277" s="31" t="str">
        <f>IF(OR(M277="Modified",M277="Cosmetic"),VLOOKUP(B277,PrevPFS!B$1:E$833,4,FALSE),"")</f>
        <v/>
      </c>
    </row>
    <row r="278" spans="1:14" ht="45" x14ac:dyDescent="0.25">
      <c r="A278" s="31" t="str">
        <f>IF(ISNONTEXT(TR!K278),"",TR!K278)</f>
        <v>TR-0-EDVRHDD-FPR-2374</v>
      </c>
      <c r="B278" s="32" t="str">
        <f>TR!A278</f>
        <v>TR-DSRSW-1574</v>
      </c>
      <c r="C278" s="31" t="b">
        <f>ISERROR(FIND("-",TR!B278))</f>
        <v>0</v>
      </c>
      <c r="D278" s="31">
        <f>SetIndent(E278,(TR!C278-1)*2)</f>
        <v>4</v>
      </c>
      <c r="E278" s="35" t="str">
        <f>IF(ISERROR(FIND("-",TR!B278)),TR!B278&amp;" "&amp;TR!D278,TR!D278)</f>
        <v>The product SHALL provide an API that allows an application to determine if an external HDD is connected that has been formatted and paired for use with the product.</v>
      </c>
      <c r="F278" s="31" t="str">
        <f>TR!E278</f>
        <v>Req</v>
      </c>
      <c r="G278" s="31" t="str">
        <f>IF(ISERROR(FIND("Adara",TR!F278)),"","Adara ")</f>
        <v xml:space="preserve">Adara </v>
      </c>
      <c r="H278" s="31" t="str">
        <f>IF(ISERROR(FIND("Copernicus",TR!F278)),"","Copernicus ")</f>
        <v xml:space="preserve">Copernicus </v>
      </c>
      <c r="I278" s="31" t="str">
        <f>IF(ISERROR(FIND("Deneb",TR!F278)),"","Deneb ")</f>
        <v xml:space="preserve">Deneb </v>
      </c>
      <c r="J278" s="37" t="str">
        <f t="shared" si="4"/>
        <v xml:space="preserve">Adara Copernicus Deneb </v>
      </c>
      <c r="K278" s="31" t="str">
        <f>IF(ISBLANK(TR!G278),"",TR!G278)</f>
        <v/>
      </c>
      <c r="L278" s="31" t="str">
        <f>IF(ISBLANK(TR!H278),"",TR!H278)</f>
        <v>FR-DSRSW-1364</v>
      </c>
      <c r="M278" s="30" t="str">
        <f>TR!J278</f>
        <v>Approved</v>
      </c>
      <c r="N278" s="31" t="str">
        <f>IF(OR(M278="Modified",M278="Cosmetic"),VLOOKUP(B278,PrevPFS!B$1:E$833,4,FALSE),"")</f>
        <v/>
      </c>
    </row>
    <row r="279" spans="1:14" ht="45" x14ac:dyDescent="0.25">
      <c r="A279" s="31" t="str">
        <f>IF(ISNONTEXT(TR!K279),"",TR!K279)</f>
        <v>TR-0-EDVRHDD-FPR-2375</v>
      </c>
      <c r="B279" s="32" t="str">
        <f>TR!A279</f>
        <v>TR-DSRSW-1575</v>
      </c>
      <c r="C279" s="31" t="b">
        <f>ISERROR(FIND("-",TR!B279))</f>
        <v>0</v>
      </c>
      <c r="D279" s="31">
        <f>SetIndent(E279,(TR!C279-1)*2)</f>
        <v>4</v>
      </c>
      <c r="E279" s="35" t="str">
        <f>IF(ISERROR(FIND("-",TR!B279)),TR!B279&amp;" "&amp;TR!D279,TR!D279)</f>
        <v>The product SHALL notify a registered application when an eHDD has been disconnected.</v>
      </c>
      <c r="F279" s="31" t="str">
        <f>TR!E279</f>
        <v>Req</v>
      </c>
      <c r="G279" s="31" t="str">
        <f>IF(ISERROR(FIND("Adara",TR!F279)),"","Adara ")</f>
        <v xml:space="preserve">Adara </v>
      </c>
      <c r="H279" s="31" t="str">
        <f>IF(ISERROR(FIND("Copernicus",TR!F279)),"","Copernicus ")</f>
        <v xml:space="preserve">Copernicus </v>
      </c>
      <c r="I279" s="31" t="str">
        <f>IF(ISERROR(FIND("Deneb",TR!F279)),"","Deneb ")</f>
        <v xml:space="preserve">Deneb </v>
      </c>
      <c r="J279" s="37" t="str">
        <f t="shared" si="4"/>
        <v xml:space="preserve">Adara Copernicus Deneb </v>
      </c>
      <c r="K279" s="31" t="str">
        <f>IF(ISBLANK(TR!G279),"",TR!G279)</f>
        <v/>
      </c>
      <c r="L279" s="31" t="str">
        <f>IF(ISBLANK(TR!H279),"",TR!H279)</f>
        <v>FR-DSRSW-1364</v>
      </c>
      <c r="M279" s="30" t="str">
        <f>TR!J279</f>
        <v>Approved</v>
      </c>
      <c r="N279" s="31" t="str">
        <f>IF(OR(M279="Modified",M279="Cosmetic"),VLOOKUP(B279,PrevPFS!B$1:E$833,4,FALSE),"")</f>
        <v/>
      </c>
    </row>
    <row r="280" spans="1:14" ht="45" x14ac:dyDescent="0.25">
      <c r="A280" s="31" t="str">
        <f>IF(ISNONTEXT(TR!K280),"",TR!K280)</f>
        <v>TR-0-EDVRHDD-FPR-2370</v>
      </c>
      <c r="B280" s="32" t="str">
        <f>TR!A280</f>
        <v>TR-DSRSW-1576</v>
      </c>
      <c r="C280" s="31" t="b">
        <f>ISERROR(FIND("-",TR!B280))</f>
        <v>0</v>
      </c>
      <c r="D280" s="31">
        <f>SetIndent(E280,(TR!C280-1)*2)</f>
        <v>4</v>
      </c>
      <c r="E280" s="35" t="str">
        <f>IF(ISERROR(FIND("-",TR!B280)),TR!B280&amp;" "&amp;TR!D280,TR!D280)</f>
        <v>The product SHALL notify a registered application when an eHDD has been connected and mounted.</v>
      </c>
      <c r="F280" s="31" t="str">
        <f>TR!E280</f>
        <v>Req</v>
      </c>
      <c r="G280" s="31" t="str">
        <f>IF(ISERROR(FIND("Adara",TR!F280)),"","Adara ")</f>
        <v xml:space="preserve">Adara </v>
      </c>
      <c r="H280" s="31" t="str">
        <f>IF(ISERROR(FIND("Copernicus",TR!F280)),"","Copernicus ")</f>
        <v xml:space="preserve">Copernicus </v>
      </c>
      <c r="I280" s="31" t="str">
        <f>IF(ISERROR(FIND("Deneb",TR!F280)),"","Deneb ")</f>
        <v xml:space="preserve">Deneb </v>
      </c>
      <c r="J280" s="37" t="str">
        <f t="shared" si="4"/>
        <v xml:space="preserve">Adara Copernicus Deneb </v>
      </c>
      <c r="K280" s="31" t="str">
        <f>IF(ISBLANK(TR!G280),"",TR!G280)</f>
        <v/>
      </c>
      <c r="L280" s="31" t="str">
        <f>IF(ISBLANK(TR!H280),"",TR!H280)</f>
        <v>FR-DSRSW-1364</v>
      </c>
      <c r="M280" s="30" t="str">
        <f>TR!J280</f>
        <v>Approved</v>
      </c>
      <c r="N280" s="31" t="str">
        <f>IF(OR(M280="Modified",M280="Cosmetic"),VLOOKUP(B280,PrevPFS!B$1:E$833,4,FALSE),"")</f>
        <v/>
      </c>
    </row>
    <row r="281" spans="1:14" ht="45" x14ac:dyDescent="0.25">
      <c r="A281" s="31" t="str">
        <f>IF(ISNONTEXT(TR!K281),"",TR!K281)</f>
        <v>TR-0-EDVRHDD-FPR-2379</v>
      </c>
      <c r="B281" s="32" t="str">
        <f>TR!A281</f>
        <v>TR-DSRSW-1577</v>
      </c>
      <c r="C281" s="31" t="b">
        <f>ISERROR(FIND("-",TR!B281))</f>
        <v>0</v>
      </c>
      <c r="D281" s="31">
        <f>SetIndent(E281,(TR!C281-1)*2)</f>
        <v>4</v>
      </c>
      <c r="E281" s="35" t="str">
        <f>IF(ISERROR(FIND("-",TR!B281)),TR!B281&amp;" "&amp;TR!D281,TR!D281)</f>
        <v>The product SHALL provide the software application with the eHDD connection status (connected/disconnected).</v>
      </c>
      <c r="F281" s="31" t="str">
        <f>TR!E281</f>
        <v>Req</v>
      </c>
      <c r="G281" s="31" t="str">
        <f>IF(ISERROR(FIND("Adara",TR!F281)),"","Adara ")</f>
        <v xml:space="preserve">Adara </v>
      </c>
      <c r="H281" s="31" t="str">
        <f>IF(ISERROR(FIND("Copernicus",TR!F281)),"","Copernicus ")</f>
        <v xml:space="preserve">Copernicus </v>
      </c>
      <c r="I281" s="31" t="str">
        <f>IF(ISERROR(FIND("Deneb",TR!F281)),"","Deneb ")</f>
        <v xml:space="preserve">Deneb </v>
      </c>
      <c r="J281" s="37" t="str">
        <f t="shared" si="4"/>
        <v xml:space="preserve">Adara Copernicus Deneb </v>
      </c>
      <c r="K281" s="31" t="str">
        <f>IF(ISBLANK(TR!G281),"",TR!G281)</f>
        <v/>
      </c>
      <c r="L281" s="31" t="str">
        <f>IF(ISBLANK(TR!H281),"",TR!H281)</f>
        <v>FR-DSRSW-1364</v>
      </c>
      <c r="M281" s="30" t="str">
        <f>TR!J281</f>
        <v>Approved</v>
      </c>
      <c r="N281" s="31" t="str">
        <f>IF(OR(M281="Modified",M281="Cosmetic"),VLOOKUP(B281,PrevPFS!B$1:E$833,4,FALSE),"")</f>
        <v/>
      </c>
    </row>
    <row r="282" spans="1:14" ht="45" x14ac:dyDescent="0.25">
      <c r="A282" s="31" t="str">
        <f>IF(ISNONTEXT(TR!K282),"",TR!K282)</f>
        <v>TR-0-EDVRHDD-FPR-2380</v>
      </c>
      <c r="B282" s="32" t="str">
        <f>TR!A282</f>
        <v>TR-DSRSW-1578</v>
      </c>
      <c r="C282" s="31" t="b">
        <f>ISERROR(FIND("-",TR!B282))</f>
        <v>0</v>
      </c>
      <c r="D282" s="31">
        <f>SetIndent(E282,(TR!C282-1)*2)</f>
        <v>4</v>
      </c>
      <c r="E282" s="35" t="str">
        <f>IF(ISERROR(FIND("-",TR!B282)),TR!B282&amp;" "&amp;TR!D282,TR!D282)</f>
        <v>The product SHALL update the eHDD connection status upon boot up.</v>
      </c>
      <c r="F282" s="31" t="str">
        <f>TR!E282</f>
        <v>Req</v>
      </c>
      <c r="G282" s="31" t="str">
        <f>IF(ISERROR(FIND("Adara",TR!F282)),"","Adara ")</f>
        <v xml:space="preserve">Adara </v>
      </c>
      <c r="H282" s="31" t="str">
        <f>IF(ISERROR(FIND("Copernicus",TR!F282)),"","Copernicus ")</f>
        <v xml:space="preserve">Copernicus </v>
      </c>
      <c r="I282" s="31" t="str">
        <f>IF(ISERROR(FIND("Deneb",TR!F282)),"","Deneb ")</f>
        <v xml:space="preserve">Deneb </v>
      </c>
      <c r="J282" s="37" t="str">
        <f t="shared" si="4"/>
        <v xml:space="preserve">Adara Copernicus Deneb </v>
      </c>
      <c r="K282" s="31" t="str">
        <f>IF(ISBLANK(TR!G282),"",TR!G282)</f>
        <v/>
      </c>
      <c r="L282" s="31" t="str">
        <f>IF(ISBLANK(TR!H282),"",TR!H282)</f>
        <v>FR-DSRSW-1364</v>
      </c>
      <c r="M282" s="30" t="str">
        <f>TR!J282</f>
        <v>Approved</v>
      </c>
      <c r="N282" s="31" t="str">
        <f>IF(OR(M282="Modified",M282="Cosmetic"),VLOOKUP(B282,PrevPFS!B$1:E$833,4,FALSE),"")</f>
        <v/>
      </c>
    </row>
    <row r="283" spans="1:14" ht="45" x14ac:dyDescent="0.25">
      <c r="A283" s="31" t="str">
        <f>IF(ISNONTEXT(TR!K283),"",TR!K283)</f>
        <v>TR-0-EDVRHDD-FPR-2125</v>
      </c>
      <c r="B283" s="32" t="str">
        <f>TR!A283</f>
        <v>TR-DSRSW-1579</v>
      </c>
      <c r="C283" s="31" t="b">
        <f>ISERROR(FIND("-",TR!B283))</f>
        <v>0</v>
      </c>
      <c r="D283" s="31">
        <f>SetIndent(E283,(TR!C283-1)*2)</f>
        <v>4</v>
      </c>
      <c r="E283" s="35" t="str">
        <f>IF(ISERROR(FIND("-",TR!B283)),TR!B283&amp;" "&amp;TR!D283,TR!D283)</f>
        <v>The product SHALL provide available free space on eHDD when eHDD is connected and requested by application.</v>
      </c>
      <c r="F283" s="31" t="str">
        <f>TR!E283</f>
        <v>Req</v>
      </c>
      <c r="G283" s="31" t="str">
        <f>IF(ISERROR(FIND("Adara",TR!F283)),"","Adara ")</f>
        <v xml:space="preserve">Adara </v>
      </c>
      <c r="H283" s="31" t="str">
        <f>IF(ISERROR(FIND("Copernicus",TR!F283)),"","Copernicus ")</f>
        <v xml:space="preserve">Copernicus </v>
      </c>
      <c r="I283" s="31" t="str">
        <f>IF(ISERROR(FIND("Deneb",TR!F283)),"","Deneb ")</f>
        <v xml:space="preserve">Deneb </v>
      </c>
      <c r="J283" s="37" t="str">
        <f t="shared" si="4"/>
        <v xml:space="preserve">Adara Copernicus Deneb </v>
      </c>
      <c r="K283" s="31" t="str">
        <f>IF(ISBLANK(TR!G283),"",TR!G283)</f>
        <v/>
      </c>
      <c r="L283" s="31" t="str">
        <f>IF(ISBLANK(TR!H283),"",TR!H283)</f>
        <v>FR-DSRSW-1364</v>
      </c>
      <c r="M283" s="30" t="str">
        <f>TR!J283</f>
        <v>Approved</v>
      </c>
      <c r="N283" s="31" t="str">
        <f>IF(OR(M283="Modified",M283="Cosmetic"),VLOOKUP(B283,PrevPFS!B$1:E$833,4,FALSE),"")</f>
        <v/>
      </c>
    </row>
    <row r="284" spans="1:14" ht="45" x14ac:dyDescent="0.25">
      <c r="A284" s="31" t="str">
        <f>IF(ISNONTEXT(TR!K284),"",TR!K284)</f>
        <v>TR-0-EDVRHDD-FPR-1631</v>
      </c>
      <c r="B284" s="32" t="str">
        <f>TR!A284</f>
        <v>TR-DSRSW-1580</v>
      </c>
      <c r="C284" s="31" t="b">
        <f>ISERROR(FIND("-",TR!B284))</f>
        <v>0</v>
      </c>
      <c r="D284" s="31">
        <f>SetIndent(E284,(TR!C284-1)*2)</f>
        <v>4</v>
      </c>
      <c r="E284" s="35" t="str">
        <f>IF(ISERROR(FIND("-",TR!B284)),TR!B284&amp;" "&amp;TR!D284,TR!D284)</f>
        <v xml:space="preserve">The product SHALL provide the application with the ability to select a DVR eHDD for a particular record session. </v>
      </c>
      <c r="F284" s="31" t="str">
        <f>TR!E284</f>
        <v>Req</v>
      </c>
      <c r="G284" s="31" t="str">
        <f>IF(ISERROR(FIND("Adara",TR!F284)),"","Adara ")</f>
        <v xml:space="preserve">Adara </v>
      </c>
      <c r="H284" s="31" t="str">
        <f>IF(ISERROR(FIND("Copernicus",TR!F284)),"","Copernicus ")</f>
        <v xml:space="preserve">Copernicus </v>
      </c>
      <c r="I284" s="31" t="str">
        <f>IF(ISERROR(FIND("Deneb",TR!F284)),"","Deneb ")</f>
        <v xml:space="preserve">Deneb </v>
      </c>
      <c r="J284" s="37" t="str">
        <f t="shared" si="4"/>
        <v xml:space="preserve">Adara Copernicus Deneb </v>
      </c>
      <c r="K284" s="31" t="str">
        <f>IF(ISBLANK(TR!G284),"",TR!G284)</f>
        <v/>
      </c>
      <c r="L284" s="31" t="str">
        <f>IF(ISBLANK(TR!H284),"",TR!H284)</f>
        <v>FR-DSRSW-1364</v>
      </c>
      <c r="M284" s="30" t="str">
        <f>TR!J284</f>
        <v>Approved</v>
      </c>
      <c r="N284" s="31" t="str">
        <f>IF(OR(M284="Modified",M284="Cosmetic"),VLOOKUP(B284,PrevPFS!B$1:E$833,4,FALSE),"")</f>
        <v/>
      </c>
    </row>
    <row r="285" spans="1:14" ht="45" x14ac:dyDescent="0.25">
      <c r="A285" s="31" t="str">
        <f>IF(ISNONTEXT(TR!K285),"",TR!K285)</f>
        <v>TR-0-EDVRHDD-FPR-1632</v>
      </c>
      <c r="B285" s="32" t="str">
        <f>TR!A285</f>
        <v>TR-DSRSW-1581</v>
      </c>
      <c r="C285" s="31" t="b">
        <f>ISERROR(FIND("-",TR!B285))</f>
        <v>0</v>
      </c>
      <c r="D285" s="31">
        <f>SetIndent(E285,(TR!C285-1)*2)</f>
        <v>4</v>
      </c>
      <c r="E285" s="35" t="str">
        <f>IF(ISERROR(FIND("-",TR!B285)),TR!B285&amp;" "&amp;TR!D285,TR!D285)</f>
        <v xml:space="preserve">The product SHALL provide the application with the ability to select a DVR eHDD for a particular playback session. </v>
      </c>
      <c r="F285" s="31" t="str">
        <f>TR!E285</f>
        <v>Req</v>
      </c>
      <c r="G285" s="31" t="str">
        <f>IF(ISERROR(FIND("Adara",TR!F285)),"","Adara ")</f>
        <v xml:space="preserve">Adara </v>
      </c>
      <c r="H285" s="31" t="str">
        <f>IF(ISERROR(FIND("Copernicus",TR!F285)),"","Copernicus ")</f>
        <v xml:space="preserve">Copernicus </v>
      </c>
      <c r="I285" s="31" t="str">
        <f>IF(ISERROR(FIND("Deneb",TR!F285)),"","Deneb ")</f>
        <v xml:space="preserve">Deneb </v>
      </c>
      <c r="J285" s="37" t="str">
        <f t="shared" si="4"/>
        <v xml:space="preserve">Adara Copernicus Deneb </v>
      </c>
      <c r="K285" s="31" t="str">
        <f>IF(ISBLANK(TR!G285),"",TR!G285)</f>
        <v/>
      </c>
      <c r="L285" s="31" t="str">
        <f>IF(ISBLANK(TR!H285),"",TR!H285)</f>
        <v>FR-DSRSW-1364</v>
      </c>
      <c r="M285" s="30" t="str">
        <f>TR!J285</f>
        <v>Approved</v>
      </c>
      <c r="N285" s="31" t="str">
        <f>IF(OR(M285="Modified",M285="Cosmetic"),VLOOKUP(B285,PrevPFS!B$1:E$833,4,FALSE),"")</f>
        <v/>
      </c>
    </row>
    <row r="286" spans="1:14" ht="45" x14ac:dyDescent="0.25">
      <c r="A286" s="31" t="str">
        <f>IF(ISNONTEXT(TR!K286),"",TR!K286)</f>
        <v/>
      </c>
      <c r="B286" s="32" t="str">
        <f>TR!A286</f>
        <v>TR-DSRSW-1582</v>
      </c>
      <c r="C286" s="31" t="b">
        <f>ISERROR(FIND("-",TR!B286))</f>
        <v>1</v>
      </c>
      <c r="D286" s="31">
        <f>SetIndent(E286,(TR!C286-1)*2)</f>
        <v>4</v>
      </c>
      <c r="E286" s="35" t="str">
        <f>IF(ISERROR(FIND("-",TR!B286)),TR!B286&amp;" "&amp;TR!D286,TR!D286)</f>
        <v>14.2.1 External DVR Formatting</v>
      </c>
      <c r="F286" s="31" t="str">
        <f>TR!E286</f>
        <v>Hdr</v>
      </c>
      <c r="G286" s="31" t="str">
        <f>IF(ISERROR(FIND("Adara",TR!F286)),"","Adara ")</f>
        <v xml:space="preserve">Adara </v>
      </c>
      <c r="H286" s="31" t="str">
        <f>IF(ISERROR(FIND("Copernicus",TR!F286)),"","Copernicus ")</f>
        <v xml:space="preserve">Copernicus </v>
      </c>
      <c r="I286" s="31" t="str">
        <f>IF(ISERROR(FIND("Deneb",TR!F286)),"","Deneb ")</f>
        <v xml:space="preserve">Deneb </v>
      </c>
      <c r="J286" s="37" t="str">
        <f t="shared" si="4"/>
        <v xml:space="preserve">Adara Copernicus Deneb </v>
      </c>
      <c r="K286" s="31" t="str">
        <f>IF(ISBLANK(TR!G286),"",TR!G286)</f>
        <v/>
      </c>
      <c r="L286" s="31" t="str">
        <f>IF(ISBLANK(TR!H286),"",TR!H286)</f>
        <v>FR-DSRSW-1364</v>
      </c>
      <c r="M286" s="30" t="str">
        <f>TR!J286</f>
        <v>Approved</v>
      </c>
      <c r="N286" s="31" t="str">
        <f>IF(OR(M286="Modified",M286="Cosmetic"),VLOOKUP(B286,PrevPFS!B$1:E$833,4,FALSE),"")</f>
        <v/>
      </c>
    </row>
    <row r="287" spans="1:14" ht="75" x14ac:dyDescent="0.25">
      <c r="A287" s="31" t="str">
        <f>IF(ISNONTEXT(TR!K287),"",TR!K287)</f>
        <v>TR-0-EDVRHDD-FPR-1566</v>
      </c>
      <c r="B287" s="32" t="str">
        <f>TR!A287</f>
        <v>TR-DSRSW-1583</v>
      </c>
      <c r="C287" s="31" t="b">
        <f>ISERROR(FIND("-",TR!B287))</f>
        <v>0</v>
      </c>
      <c r="D287" s="31">
        <f>SetIndent(E287,(TR!C287-1)*2)</f>
        <v>6</v>
      </c>
      <c r="E287" s="38" t="str">
        <f>IF(ISERROR(FIND("-",TR!B287)),TR!B287&amp;" "&amp;TR!D287,TR!D287)</f>
        <v>The product SHALL notify applications that the formatting process is complete, when formatting a DVR eHDD, after the STB has mounted the eHDD. (NOTE: The intent is that application notifies the user that the format and mounting process is complete, thus if the application had displayed an alert to the user not to disconnect the eHDD, then this alert would inform the application to tear down the alert)</v>
      </c>
      <c r="F287" s="31" t="str">
        <f>TR!E287</f>
        <v>Req</v>
      </c>
      <c r="G287" s="31" t="str">
        <f>IF(ISERROR(FIND("Adara",TR!F287)),"","Adara ")</f>
        <v xml:space="preserve">Adara </v>
      </c>
      <c r="H287" s="31" t="str">
        <f>IF(ISERROR(FIND("Copernicus",TR!F287)),"","Copernicus ")</f>
        <v xml:space="preserve">Copernicus </v>
      </c>
      <c r="I287" s="31" t="str">
        <f>IF(ISERROR(FIND("Deneb",TR!F287)),"","Deneb ")</f>
        <v xml:space="preserve">Deneb </v>
      </c>
      <c r="J287" s="37" t="str">
        <f t="shared" si="4"/>
        <v xml:space="preserve">Adara Copernicus Deneb </v>
      </c>
      <c r="K287" s="31" t="str">
        <f>IF(ISBLANK(TR!G287),"",TR!G287)</f>
        <v/>
      </c>
      <c r="L287" s="31" t="str">
        <f>IF(ISBLANK(TR!H287),"",TR!H287)</f>
        <v>FR-DSRSW-1364</v>
      </c>
      <c r="M287" s="30" t="str">
        <f>TR!J287</f>
        <v>Approved</v>
      </c>
      <c r="N287" s="31" t="str">
        <f>IF(OR(M287="Modified",M287="Cosmetic"),VLOOKUP(B287,PrevPFS!B$1:E$833,4,FALSE),"")</f>
        <v/>
      </c>
    </row>
    <row r="288" spans="1:14" ht="45" x14ac:dyDescent="0.25">
      <c r="A288" s="31" t="str">
        <f>IF(ISNONTEXT(TR!K288),"",TR!K288)</f>
        <v>TR-0-EDVRHDD-FPR-1637</v>
      </c>
      <c r="B288" s="32" t="str">
        <f>TR!A288</f>
        <v>TR-DSRSW-1585</v>
      </c>
      <c r="C288" s="31" t="b">
        <f>ISERROR(FIND("-",TR!B288))</f>
        <v>0</v>
      </c>
      <c r="D288" s="31">
        <f>SetIndent(E288,(TR!C288-1)*2)</f>
        <v>6</v>
      </c>
      <c r="E288" s="38" t="str">
        <f>IF(ISERROR(FIND("-",TR!B288)),TR!B288&amp;" "&amp;TR!D288,TR!D288)</f>
        <v>The product SHALL provide an API that allows an application to acquire the HDD Unique ID of a discovered DVR eHDD.</v>
      </c>
      <c r="F288" s="31" t="str">
        <f>TR!E288</f>
        <v>Req</v>
      </c>
      <c r="G288" s="31" t="str">
        <f>IF(ISERROR(FIND("Adara",TR!F288)),"","Adara ")</f>
        <v xml:space="preserve">Adara </v>
      </c>
      <c r="H288" s="31" t="str">
        <f>IF(ISERROR(FIND("Copernicus",TR!F288)),"","Copernicus ")</f>
        <v xml:space="preserve">Copernicus </v>
      </c>
      <c r="I288" s="31" t="str">
        <f>IF(ISERROR(FIND("Deneb",TR!F288)),"","Deneb ")</f>
        <v xml:space="preserve">Deneb </v>
      </c>
      <c r="J288" s="37" t="str">
        <f t="shared" si="4"/>
        <v xml:space="preserve">Adara Copernicus Deneb </v>
      </c>
      <c r="K288" s="31" t="str">
        <f>IF(ISBLANK(TR!G288),"",TR!G288)</f>
        <v/>
      </c>
      <c r="L288" s="31" t="str">
        <f>IF(ISBLANK(TR!H288),"",TR!H288)</f>
        <v>FR-DSRSW-1364</v>
      </c>
      <c r="M288" s="30" t="str">
        <f>TR!J288</f>
        <v>Approved</v>
      </c>
      <c r="N288" s="31" t="str">
        <f>IF(OR(M288="Modified",M288="Cosmetic"),VLOOKUP(B288,PrevPFS!B$1:E$833,4,FALSE),"")</f>
        <v/>
      </c>
    </row>
    <row r="289" spans="1:14" ht="45" x14ac:dyDescent="0.25">
      <c r="A289" s="31" t="str">
        <f>IF(ISNONTEXT(TR!K289),"",TR!K289)</f>
        <v>TR-0-EDVRHDD-FPR-1495</v>
      </c>
      <c r="B289" s="32" t="str">
        <f>TR!A289</f>
        <v>TR-DSRSW-1586</v>
      </c>
      <c r="C289" s="31" t="b">
        <f>ISERROR(FIND("-",TR!B289))</f>
        <v>0</v>
      </c>
      <c r="D289" s="31">
        <f>SetIndent(E289,(TR!C289-1)*2)</f>
        <v>6</v>
      </c>
      <c r="E289" s="38" t="str">
        <f>IF(ISERROR(FIND("-",TR!B289)),TR!B289&amp;" "&amp;TR!D289,TR!D289)</f>
        <v xml:space="preserve">The product SHALL provide an API that allows an application to request that an eHDD be formatted as a DVR eHDD. </v>
      </c>
      <c r="F289" s="31" t="str">
        <f>TR!E289</f>
        <v>Req</v>
      </c>
      <c r="G289" s="31" t="str">
        <f>IF(ISERROR(FIND("Adara",TR!F289)),"","Adara ")</f>
        <v xml:space="preserve">Adara </v>
      </c>
      <c r="H289" s="31" t="str">
        <f>IF(ISERROR(FIND("Copernicus",TR!F289)),"","Copernicus ")</f>
        <v xml:space="preserve">Copernicus </v>
      </c>
      <c r="I289" s="31" t="str">
        <f>IF(ISERROR(FIND("Deneb",TR!F289)),"","Deneb ")</f>
        <v xml:space="preserve">Deneb </v>
      </c>
      <c r="J289" s="37" t="str">
        <f t="shared" si="4"/>
        <v xml:space="preserve">Adara Copernicus Deneb </v>
      </c>
      <c r="K289" s="31" t="str">
        <f>IF(ISBLANK(TR!G289),"",TR!G289)</f>
        <v/>
      </c>
      <c r="L289" s="31" t="str">
        <f>IF(ISBLANK(TR!H289),"",TR!H289)</f>
        <v>FR-DSRSW-1364</v>
      </c>
      <c r="M289" s="30" t="str">
        <f>TR!J289</f>
        <v>Approved</v>
      </c>
      <c r="N289" s="31" t="str">
        <f>IF(OR(M289="Modified",M289="Cosmetic"),VLOOKUP(B289,PrevPFS!B$1:E$833,4,FALSE),"")</f>
        <v/>
      </c>
    </row>
    <row r="290" spans="1:14" ht="45" x14ac:dyDescent="0.25">
      <c r="A290" s="31" t="str">
        <f>IF(ISNONTEXT(TR!K290),"",TR!K290)</f>
        <v>TR-0-EDVRHDD-FPR-2376</v>
      </c>
      <c r="B290" s="32" t="str">
        <f>TR!A290</f>
        <v>TR-DSRSW-1587</v>
      </c>
      <c r="C290" s="31" t="b">
        <f>ISERROR(FIND("-",TR!B290))</f>
        <v>0</v>
      </c>
      <c r="D290" s="31">
        <f>SetIndent(E290,(TR!C290-1)*2)</f>
        <v>6</v>
      </c>
      <c r="E290" s="38" t="str">
        <f>IF(ISERROR(FIND("-",TR!B290)),TR!B290&amp;" "&amp;TR!D290,TR!D290)</f>
        <v>The product SHALL notify a registered application when an eHDD format attempt has failed.</v>
      </c>
      <c r="F290" s="31" t="str">
        <f>TR!E290</f>
        <v>Req</v>
      </c>
      <c r="G290" s="31" t="str">
        <f>IF(ISERROR(FIND("Adara",TR!F290)),"","Adara ")</f>
        <v xml:space="preserve">Adara </v>
      </c>
      <c r="H290" s="31" t="str">
        <f>IF(ISERROR(FIND("Copernicus",TR!F290)),"","Copernicus ")</f>
        <v xml:space="preserve">Copernicus </v>
      </c>
      <c r="I290" s="31" t="str">
        <f>IF(ISERROR(FIND("Deneb",TR!F290)),"","Deneb ")</f>
        <v xml:space="preserve">Deneb </v>
      </c>
      <c r="J290" s="37" t="str">
        <f t="shared" si="4"/>
        <v xml:space="preserve">Adara Copernicus Deneb </v>
      </c>
      <c r="K290" s="31" t="str">
        <f>IF(ISBLANK(TR!G290),"",TR!G290)</f>
        <v/>
      </c>
      <c r="L290" s="31" t="str">
        <f>IF(ISBLANK(TR!H290),"",TR!H290)</f>
        <v>FR-DSRSW-1364</v>
      </c>
      <c r="M290" s="30" t="str">
        <f>TR!J290</f>
        <v>Approved</v>
      </c>
      <c r="N290" s="31" t="str">
        <f>IF(OR(M290="Modified",M290="Cosmetic"),VLOOKUP(B290,PrevPFS!B$1:E$833,4,FALSE),"")</f>
        <v/>
      </c>
    </row>
    <row r="291" spans="1:14" ht="45" x14ac:dyDescent="0.25">
      <c r="A291" s="31" t="str">
        <f>IF(ISNONTEXT(TR!K291),"",TR!K291)</f>
        <v/>
      </c>
      <c r="B291" s="32" t="str">
        <f>TR!A291</f>
        <v>TR-DSRSW-1588</v>
      </c>
      <c r="C291" s="31" t="b">
        <f>ISERROR(FIND("-",TR!B291))</f>
        <v>1</v>
      </c>
      <c r="D291" s="31">
        <f>SetIndent(E291,(TR!C291-1)*2)</f>
        <v>2</v>
      </c>
      <c r="E291" s="34" t="str">
        <f>IF(ISERROR(FIND("-",TR!B291)),TR!B291&amp;" "&amp;TR!D291,TR!D291)</f>
        <v>14.3 DVR Record &amp; Play Functions</v>
      </c>
      <c r="F291" s="31" t="str">
        <f>TR!E291</f>
        <v>Hdr</v>
      </c>
      <c r="G291" s="31" t="str">
        <f>IF(ISERROR(FIND("Adara",TR!F291)),"","Adara ")</f>
        <v xml:space="preserve">Adara </v>
      </c>
      <c r="H291" s="31" t="str">
        <f>IF(ISERROR(FIND("Copernicus",TR!F291)),"","Copernicus ")</f>
        <v xml:space="preserve">Copernicus </v>
      </c>
      <c r="I291" s="31" t="str">
        <f>IF(ISERROR(FIND("Deneb",TR!F291)),"","Deneb ")</f>
        <v xml:space="preserve">Deneb </v>
      </c>
      <c r="J291" s="37" t="str">
        <f t="shared" si="4"/>
        <v xml:space="preserve">Adara Copernicus Deneb </v>
      </c>
      <c r="K291" s="31" t="str">
        <f>IF(ISBLANK(TR!G291),"",TR!G291)</f>
        <v/>
      </c>
      <c r="L291" s="31" t="str">
        <f>IF(ISBLANK(TR!H291),"",TR!H291)</f>
        <v>FR-DSRSW-1365</v>
      </c>
      <c r="M291" s="30" t="str">
        <f>TR!J291</f>
        <v>Approved</v>
      </c>
      <c r="N291" s="31" t="str">
        <f>IF(OR(M291="Modified",M291="Cosmetic"),VLOOKUP(B291,PrevPFS!B$1:E$833,4,FALSE),"")</f>
        <v/>
      </c>
    </row>
    <row r="292" spans="1:14" ht="45" x14ac:dyDescent="0.25">
      <c r="A292" s="31" t="str">
        <f>IF(ISNONTEXT(TR!K292),"",TR!K292)</f>
        <v/>
      </c>
      <c r="B292" s="32" t="str">
        <f>TR!A292</f>
        <v>TR-DSRSW-1589</v>
      </c>
      <c r="C292" s="31" t="b">
        <f>ISERROR(FIND("-",TR!B292))</f>
        <v>1</v>
      </c>
      <c r="D292" s="31">
        <f>SetIndent(E292,(TR!C292-1)*2)</f>
        <v>4</v>
      </c>
      <c r="E292" s="35" t="str">
        <f>IF(ISERROR(FIND("-",TR!B292)),TR!B292&amp;" "&amp;TR!D292,TR!D292)</f>
        <v>14.3.1 DVR Playback</v>
      </c>
      <c r="F292" s="31" t="str">
        <f>TR!E292</f>
        <v>Hdr</v>
      </c>
      <c r="G292" s="31" t="str">
        <f>IF(ISERROR(FIND("Adara",TR!F292)),"","Adara ")</f>
        <v xml:space="preserve">Adara </v>
      </c>
      <c r="H292" s="31" t="str">
        <f>IF(ISERROR(FIND("Copernicus",TR!F292)),"","Copernicus ")</f>
        <v xml:space="preserve">Copernicus </v>
      </c>
      <c r="I292" s="31" t="str">
        <f>IF(ISERROR(FIND("Deneb",TR!F292)),"","Deneb ")</f>
        <v xml:space="preserve">Deneb </v>
      </c>
      <c r="J292" s="37" t="str">
        <f t="shared" si="4"/>
        <v xml:space="preserve">Adara Copernicus Deneb </v>
      </c>
      <c r="K292" s="31" t="str">
        <f>IF(ISBLANK(TR!G292),"",TR!G292)</f>
        <v/>
      </c>
      <c r="L292" s="31" t="str">
        <f>IF(ISBLANK(TR!H292),"",TR!H292)</f>
        <v>FR-DSRSW-1366</v>
      </c>
      <c r="M292" s="30" t="str">
        <f>TR!J292</f>
        <v>Approved</v>
      </c>
      <c r="N292" s="31" t="str">
        <f>IF(OR(M292="Modified",M292="Cosmetic"),VLOOKUP(B292,PrevPFS!B$1:E$833,4,FALSE),"")</f>
        <v/>
      </c>
    </row>
    <row r="293" spans="1:14" ht="45" x14ac:dyDescent="0.25">
      <c r="A293" s="31" t="str">
        <f>IF(ISNONTEXT(TR!K293),"",TR!K293)</f>
        <v>TR-0-LDVRPLAY-FPR-1080</v>
      </c>
      <c r="B293" s="32" t="str">
        <f>TR!A293</f>
        <v>TR-DSRSW-1591</v>
      </c>
      <c r="C293" s="31" t="b">
        <f>ISERROR(FIND("-",TR!B293))</f>
        <v>0</v>
      </c>
      <c r="D293" s="31">
        <f>SetIndent(E293,(TR!C293-1)*2)</f>
        <v>6</v>
      </c>
      <c r="E293" s="38" t="str">
        <f>IF(ISERROR(FIND("-",TR!B293)),TR!B293&amp;" "&amp;TR!D293,TR!D293)</f>
        <v>The product SHALL be capable of real-time (1x) playback of one (1) AV transport stream of supported content from and supported hard disk drive (HDD) to local outputs.</v>
      </c>
      <c r="F293" s="31" t="str">
        <f>TR!E293</f>
        <v>Req</v>
      </c>
      <c r="G293" s="31" t="str">
        <f>IF(ISERROR(FIND("Adara",TR!F293)),"","Adara ")</f>
        <v xml:space="preserve">Adara </v>
      </c>
      <c r="H293" s="31" t="str">
        <f>IF(ISERROR(FIND("Copernicus",TR!F293)),"","Copernicus ")</f>
        <v xml:space="preserve">Copernicus </v>
      </c>
      <c r="I293" s="31" t="str">
        <f>IF(ISERROR(FIND("Deneb",TR!F293)),"","Deneb ")</f>
        <v xml:space="preserve">Deneb </v>
      </c>
      <c r="J293" s="37" t="str">
        <f t="shared" si="4"/>
        <v xml:space="preserve">Adara Copernicus Deneb </v>
      </c>
      <c r="K293" s="31" t="str">
        <f>IF(ISBLANK(TR!G293),"",TR!G293)</f>
        <v/>
      </c>
      <c r="L293" s="31" t="str">
        <f>IF(ISBLANK(TR!H293),"",TR!H293)</f>
        <v>FR-DSRSW-1367</v>
      </c>
      <c r="M293" s="30" t="str">
        <f>TR!J293</f>
        <v>Approved</v>
      </c>
      <c r="N293" s="31" t="str">
        <f>IF(OR(M293="Modified",M293="Cosmetic"),VLOOKUP(B293,PrevPFS!B$1:E$833,4,FALSE),"")</f>
        <v/>
      </c>
    </row>
    <row r="294" spans="1:14" ht="45" x14ac:dyDescent="0.25">
      <c r="A294" s="31" t="str">
        <f>IF(ISNONTEXT(TR!K294),"",TR!K294)</f>
        <v>TR-0-LDVRPLAY-FPR-1028</v>
      </c>
      <c r="B294" s="32" t="str">
        <f>TR!A294</f>
        <v>TR-DSRSW-1592</v>
      </c>
      <c r="C294" s="31" t="b">
        <f>ISERROR(FIND("-",TR!B294))</f>
        <v>0</v>
      </c>
      <c r="D294" s="31">
        <f>SetIndent(E294,(TR!C294-1)*2)</f>
        <v>6</v>
      </c>
      <c r="E294" s="38" t="str">
        <f>IF(ISERROR(FIND("-",TR!B294)),TR!B294&amp;" "&amp;TR!D294,TR!D294)</f>
        <v>The product SHALL select the first audio PID in the PMT that matches the user selected language during content playback.</v>
      </c>
      <c r="F294" s="31" t="str">
        <f>TR!E294</f>
        <v>Req</v>
      </c>
      <c r="G294" s="31" t="str">
        <f>IF(ISERROR(FIND("Adara",TR!F294)),"","Adara ")</f>
        <v xml:space="preserve">Adara </v>
      </c>
      <c r="H294" s="31" t="str">
        <f>IF(ISERROR(FIND("Copernicus",TR!F294)),"","Copernicus ")</f>
        <v xml:space="preserve">Copernicus </v>
      </c>
      <c r="I294" s="31" t="str">
        <f>IF(ISERROR(FIND("Deneb",TR!F294)),"","Deneb ")</f>
        <v xml:space="preserve">Deneb </v>
      </c>
      <c r="J294" s="37" t="str">
        <f t="shared" si="4"/>
        <v xml:space="preserve">Adara Copernicus Deneb </v>
      </c>
      <c r="K294" s="31" t="str">
        <f>IF(ISBLANK(TR!G294),"",TR!G294)</f>
        <v/>
      </c>
      <c r="L294" s="31" t="str">
        <f>IF(ISBLANK(TR!H294),"",TR!H294)</f>
        <v>FR-DSRSW-1367</v>
      </c>
      <c r="M294" s="30" t="str">
        <f>TR!J294</f>
        <v>Approved</v>
      </c>
      <c r="N294" s="31" t="str">
        <f>IF(OR(M294="Modified",M294="Cosmetic"),VLOOKUP(B294,PrevPFS!B$1:E$833,4,FALSE),"")</f>
        <v/>
      </c>
    </row>
    <row r="295" spans="1:14" ht="45" x14ac:dyDescent="0.25">
      <c r="A295" s="31" t="str">
        <f>IF(ISNONTEXT(TR!K295),"",TR!K295)</f>
        <v>TR-0-LDVRPLAY-FPR-1029</v>
      </c>
      <c r="B295" s="32" t="str">
        <f>TR!A295</f>
        <v>TR-DSRSW-1593</v>
      </c>
      <c r="C295" s="31" t="b">
        <f>ISERROR(FIND("-",TR!B295))</f>
        <v>0</v>
      </c>
      <c r="D295" s="31">
        <f>SetIndent(E295,(TR!C295-1)*2)</f>
        <v>6</v>
      </c>
      <c r="E295" s="38" t="str">
        <f>IF(ISERROR(FIND("-",TR!B295)),TR!B295&amp;" "&amp;TR!D295,TR!D295)</f>
        <v>The product SHALL select the first audio PID in the PMT if no audio PID's match the user selected language during content playback.</v>
      </c>
      <c r="F295" s="31" t="str">
        <f>TR!E295</f>
        <v>Req</v>
      </c>
      <c r="G295" s="31" t="str">
        <f>IF(ISERROR(FIND("Adara",TR!F295)),"","Adara ")</f>
        <v xml:space="preserve">Adara </v>
      </c>
      <c r="H295" s="31" t="str">
        <f>IF(ISERROR(FIND("Copernicus",TR!F295)),"","Copernicus ")</f>
        <v xml:space="preserve">Copernicus </v>
      </c>
      <c r="I295" s="31" t="str">
        <f>IF(ISERROR(FIND("Deneb",TR!F295)),"","Deneb ")</f>
        <v xml:space="preserve">Deneb </v>
      </c>
      <c r="J295" s="37" t="str">
        <f t="shared" si="4"/>
        <v xml:space="preserve">Adara Copernicus Deneb </v>
      </c>
      <c r="K295" s="31" t="str">
        <f>IF(ISBLANK(TR!G295),"",TR!G295)</f>
        <v/>
      </c>
      <c r="L295" s="31" t="str">
        <f>IF(ISBLANK(TR!H295),"",TR!H295)</f>
        <v>FR-DSRSW-1367</v>
      </c>
      <c r="M295" s="30" t="str">
        <f>TR!J295</f>
        <v>Approved</v>
      </c>
      <c r="N295" s="31" t="str">
        <f>IF(OR(M295="Modified",M295="Cosmetic"),VLOOKUP(B295,PrevPFS!B$1:E$833,4,FALSE),"")</f>
        <v/>
      </c>
    </row>
    <row r="296" spans="1:14" ht="45" x14ac:dyDescent="0.25">
      <c r="A296" s="31" t="str">
        <f>IF(ISNONTEXT(TR!K296),"",TR!K296)</f>
        <v/>
      </c>
      <c r="B296" s="32" t="str">
        <f>TR!A296</f>
        <v>TR-DSRSW-1596</v>
      </c>
      <c r="C296" s="31" t="b">
        <f>ISERROR(FIND("-",TR!B296))</f>
        <v>1</v>
      </c>
      <c r="D296" s="31">
        <f>SetIndent(E296,(TR!C296-1)*2)</f>
        <v>4</v>
      </c>
      <c r="E296" s="35" t="str">
        <f>IF(ISERROR(FIND("-",TR!B296)),TR!B296&amp;" "&amp;TR!D296,TR!D296)</f>
        <v>14.3.2 DVR Bypass</v>
      </c>
      <c r="F296" s="31" t="str">
        <f>TR!E296</f>
        <v>Hdr</v>
      </c>
      <c r="G296" s="31" t="str">
        <f>IF(ISERROR(FIND("Adara",TR!F296)),"","Adara ")</f>
        <v xml:space="preserve">Adara </v>
      </c>
      <c r="H296" s="31" t="str">
        <f>IF(ISERROR(FIND("Copernicus",TR!F296)),"","Copernicus ")</f>
        <v xml:space="preserve">Copernicus </v>
      </c>
      <c r="I296" s="31" t="str">
        <f>IF(ISERROR(FIND("Deneb",TR!F296)),"","Deneb ")</f>
        <v xml:space="preserve">Deneb </v>
      </c>
      <c r="J296" s="37" t="str">
        <f t="shared" si="4"/>
        <v xml:space="preserve">Adara Copernicus Deneb </v>
      </c>
      <c r="K296" s="31" t="str">
        <f>IF(ISBLANK(TR!G296),"",TR!G296)</f>
        <v/>
      </c>
      <c r="L296" s="31" t="str">
        <f>IF(ISBLANK(TR!H296),"",TR!H296)</f>
        <v>FR-DSRSW-1369</v>
      </c>
      <c r="M296" s="30" t="str">
        <f>TR!J296</f>
        <v>Approved</v>
      </c>
      <c r="N296" s="31" t="str">
        <f>IF(OR(M296="Modified",M296="Cosmetic"),VLOOKUP(B296,PrevPFS!B$1:E$833,4,FALSE),"")</f>
        <v/>
      </c>
    </row>
    <row r="297" spans="1:14" ht="45" x14ac:dyDescent="0.25">
      <c r="A297" s="31" t="str">
        <f>IF(ISNONTEXT(TR!K297),"",TR!K297)</f>
        <v>TR-0-LDVRPLAY-FPR-1064</v>
      </c>
      <c r="B297" s="32" t="str">
        <f>TR!A297</f>
        <v>TR-DSRSW-1598</v>
      </c>
      <c r="C297" s="31" t="b">
        <f>ISERROR(FIND("-",TR!B297))</f>
        <v>0</v>
      </c>
      <c r="D297" s="31">
        <f>SetIndent(E297,(TR!C297-1)*2)</f>
        <v>6</v>
      </c>
      <c r="E297" s="38" t="str">
        <f>IF(ISERROR(FIND("-",TR!B297)),TR!B297&amp;" "&amp;TR!D297,TR!D297)</f>
        <v xml:space="preserve">The product SHALL continue to operate and pass live audio/video to the audio/video outputs when during a hard drive failure. </v>
      </c>
      <c r="F297" s="31" t="str">
        <f>TR!E297</f>
        <v>Req</v>
      </c>
      <c r="G297" s="31" t="str">
        <f>IF(ISERROR(FIND("Adara",TR!F297)),"","Adara ")</f>
        <v xml:space="preserve">Adara </v>
      </c>
      <c r="H297" s="31" t="str">
        <f>IF(ISERROR(FIND("Copernicus",TR!F297)),"","Copernicus ")</f>
        <v xml:space="preserve">Copernicus </v>
      </c>
      <c r="I297" s="31" t="str">
        <f>IF(ISERROR(FIND("Deneb",TR!F297)),"","Deneb ")</f>
        <v xml:space="preserve">Deneb </v>
      </c>
      <c r="J297" s="37" t="str">
        <f t="shared" si="4"/>
        <v xml:space="preserve">Adara Copernicus Deneb </v>
      </c>
      <c r="K297" s="31" t="str">
        <f>IF(ISBLANK(TR!G297),"",TR!G297)</f>
        <v/>
      </c>
      <c r="L297" s="31" t="str">
        <f>IF(ISBLANK(TR!H297),"",TR!H297)</f>
        <v>FR-DSRSW-1370</v>
      </c>
      <c r="M297" s="30" t="str">
        <f>TR!J297</f>
        <v>Approved</v>
      </c>
      <c r="N297" s="31" t="str">
        <f>IF(OR(M297="Modified",M297="Cosmetic"),VLOOKUP(B297,PrevPFS!B$1:E$833,4,FALSE),"")</f>
        <v/>
      </c>
    </row>
    <row r="298" spans="1:14" ht="45" x14ac:dyDescent="0.25">
      <c r="A298" s="31" t="str">
        <f>IF(ISNONTEXT(TR!K298),"",TR!K298)</f>
        <v/>
      </c>
      <c r="B298" s="32" t="str">
        <f>TR!A298</f>
        <v>TR-DSRSW-1599</v>
      </c>
      <c r="C298" s="31" t="b">
        <f>ISERROR(FIND("-",TR!B298))</f>
        <v>1</v>
      </c>
      <c r="D298" s="31">
        <f>SetIndent(E298,(TR!C298-1)*2)</f>
        <v>4</v>
      </c>
      <c r="E298" s="35" t="str">
        <f>IF(ISERROR(FIND("-",TR!B298)),TR!B298&amp;" "&amp;TR!D298,TR!D298)</f>
        <v>14.3.3 DVR Recording</v>
      </c>
      <c r="F298" s="31" t="str">
        <f>TR!E298</f>
        <v>Hdr</v>
      </c>
      <c r="G298" s="31" t="str">
        <f>IF(ISERROR(FIND("Adara",TR!F298)),"","Adara ")</f>
        <v xml:space="preserve">Adara </v>
      </c>
      <c r="H298" s="31" t="str">
        <f>IF(ISERROR(FIND("Copernicus",TR!F298)),"","Copernicus ")</f>
        <v xml:space="preserve">Copernicus </v>
      </c>
      <c r="I298" s="31" t="str">
        <f>IF(ISERROR(FIND("Deneb",TR!F298)),"","Deneb ")</f>
        <v xml:space="preserve">Deneb </v>
      </c>
      <c r="J298" s="37" t="str">
        <f t="shared" si="4"/>
        <v xml:space="preserve">Adara Copernicus Deneb </v>
      </c>
      <c r="K298" s="31" t="str">
        <f>IF(ISBLANK(TR!G298),"",TR!G298)</f>
        <v/>
      </c>
      <c r="L298" s="31" t="str">
        <f>IF(ISBLANK(TR!H298),"",TR!H298)</f>
        <v>FR-DSRSW-1372</v>
      </c>
      <c r="M298" s="30" t="str">
        <f>TR!J298</f>
        <v>Approved</v>
      </c>
      <c r="N298" s="31" t="str">
        <f>IF(OR(M298="Modified",M298="Cosmetic"),VLOOKUP(B298,PrevPFS!B$1:E$833,4,FALSE),"")</f>
        <v/>
      </c>
    </row>
    <row r="299" spans="1:14" ht="45" x14ac:dyDescent="0.25">
      <c r="A299" s="31" t="str">
        <f>IF(ISNONTEXT(TR!K299),"",TR!K299)</f>
        <v>TR-0-LDVRREC-FPR-1220</v>
      </c>
      <c r="B299" s="32" t="str">
        <f>TR!A299</f>
        <v>TR-DSRSW-1601</v>
      </c>
      <c r="C299" s="31" t="b">
        <f>ISERROR(FIND("-",TR!B299))</f>
        <v>0</v>
      </c>
      <c r="D299" s="31">
        <f>SetIndent(E299,(TR!C299-1)*2)</f>
        <v>6</v>
      </c>
      <c r="E299" s="38" t="str">
        <f>IF(ISERROR(FIND("-",TR!B299)),TR!B299&amp;" "&amp;TR!D299,TR!D299)</f>
        <v xml:space="preserve">The product SHALL be capable of concurrently recording up to two (2) AV streams with any combination of MPEG-2, MPEG-4 AVC, or HEVC, encoded content from its tuners to a supported hard disk drive (HDD). </v>
      </c>
      <c r="F299" s="31" t="str">
        <f>TR!E299</f>
        <v>Req</v>
      </c>
      <c r="G299" s="31" t="str">
        <f>IF(ISERROR(FIND("Adara",TR!F299)),"","Adara ")</f>
        <v xml:space="preserve">Adara </v>
      </c>
      <c r="H299" s="31" t="str">
        <f>IF(ISERROR(FIND("Copernicus",TR!F299)),"","Copernicus ")</f>
        <v xml:space="preserve">Copernicus </v>
      </c>
      <c r="I299" s="31" t="str">
        <f>IF(ISERROR(FIND("Deneb",TR!F299)),"","Deneb ")</f>
        <v xml:space="preserve">Deneb </v>
      </c>
      <c r="J299" s="37" t="str">
        <f t="shared" si="4"/>
        <v xml:space="preserve">Adara Copernicus Deneb </v>
      </c>
      <c r="K299" s="31" t="str">
        <f>IF(ISBLANK(TR!G299),"",TR!G299)</f>
        <v/>
      </c>
      <c r="L299" s="31" t="str">
        <f>IF(ISBLANK(TR!H299),"",TR!H299)</f>
        <v>FR-DSRSW-1372</v>
      </c>
      <c r="M299" s="30" t="str">
        <f>TR!J299</f>
        <v>Approved</v>
      </c>
      <c r="N299" s="31" t="str">
        <f>IF(OR(M299="Modified",M299="Cosmetic"),VLOOKUP(B299,PrevPFS!B$1:E$833,4,FALSE),"")</f>
        <v/>
      </c>
    </row>
    <row r="300" spans="1:14" ht="45" x14ac:dyDescent="0.25">
      <c r="A300" s="31" t="str">
        <f>IF(ISNONTEXT(TR!K300),"",TR!K300)</f>
        <v>TR-0-LDVRREC-FPR-1033</v>
      </c>
      <c r="B300" s="32" t="str">
        <f>TR!A300</f>
        <v>TR-DSRSW-1602</v>
      </c>
      <c r="C300" s="31" t="b">
        <f>ISERROR(FIND("-",TR!B300))</f>
        <v>0</v>
      </c>
      <c r="D300" s="31">
        <f>SetIndent(E300,(TR!C300-1)*2)</f>
        <v>6</v>
      </c>
      <c r="E300" s="38" t="str">
        <f>IF(ISERROR(FIND("-",TR!B300)),TR!B300&amp;" "&amp;TR!D300,TR!D300)</f>
        <v xml:space="preserve">The product SHALL be capable of recording all audio, video, and data components (identified via PIDs associated with the PMT) of a target MPEG-2 program being recorded as directed by platform software.  </v>
      </c>
      <c r="F300" s="31" t="str">
        <f>TR!E300</f>
        <v>Req</v>
      </c>
      <c r="G300" s="31" t="str">
        <f>IF(ISERROR(FIND("Adara",TR!F300)),"","Adara ")</f>
        <v xml:space="preserve">Adara </v>
      </c>
      <c r="H300" s="31" t="str">
        <f>IF(ISERROR(FIND("Copernicus",TR!F300)),"","Copernicus ")</f>
        <v xml:space="preserve">Copernicus </v>
      </c>
      <c r="I300" s="31" t="str">
        <f>IF(ISERROR(FIND("Deneb",TR!F300)),"","Deneb ")</f>
        <v xml:space="preserve">Deneb </v>
      </c>
      <c r="J300" s="37" t="str">
        <f t="shared" si="4"/>
        <v xml:space="preserve">Adara Copernicus Deneb </v>
      </c>
      <c r="K300" s="31" t="str">
        <f>IF(ISBLANK(TR!G300),"",TR!G300)</f>
        <v/>
      </c>
      <c r="L300" s="31" t="str">
        <f>IF(ISBLANK(TR!H300),"",TR!H300)</f>
        <v>FR-DSRSW-1372</v>
      </c>
      <c r="M300" s="30" t="str">
        <f>TR!J300</f>
        <v>Approved</v>
      </c>
      <c r="N300" s="31" t="str">
        <f>IF(OR(M300="Modified",M300="Cosmetic"),VLOOKUP(B300,PrevPFS!B$1:E$833,4,FALSE),"")</f>
        <v/>
      </c>
    </row>
    <row r="301" spans="1:14" ht="45" x14ac:dyDescent="0.25">
      <c r="A301" s="31" t="str">
        <f>IF(ISNONTEXT(TR!K301),"",TR!K301)</f>
        <v>TR-0-LDVRREC-FPR-1034</v>
      </c>
      <c r="B301" s="32" t="str">
        <f>TR!A301</f>
        <v>TR-DSRSW-1603</v>
      </c>
      <c r="C301" s="31" t="b">
        <f>ISERROR(FIND("-",TR!B301))</f>
        <v>0</v>
      </c>
      <c r="D301" s="31">
        <f>SetIndent(E301,(TR!C301-1)*2)</f>
        <v>6</v>
      </c>
      <c r="E301" s="38" t="str">
        <f>IF(ISERROR(FIND("-",TR!B301)),TR!B301&amp;" "&amp;TR!D301,TR!D301)</f>
        <v xml:space="preserve">The product SHALL be capable of recording all audio, video, and data components (identified via PIDs associated with the PMT) of a target MPEG-4 program being recorded as directed by platform software.  </v>
      </c>
      <c r="F301" s="31" t="str">
        <f>TR!E301</f>
        <v>Req</v>
      </c>
      <c r="G301" s="31" t="str">
        <f>IF(ISERROR(FIND("Adara",TR!F301)),"","Adara ")</f>
        <v xml:space="preserve">Adara </v>
      </c>
      <c r="H301" s="31" t="str">
        <f>IF(ISERROR(FIND("Copernicus",TR!F301)),"","Copernicus ")</f>
        <v xml:space="preserve">Copernicus </v>
      </c>
      <c r="I301" s="31" t="str">
        <f>IF(ISERROR(FIND("Deneb",TR!F301)),"","Deneb ")</f>
        <v xml:space="preserve">Deneb </v>
      </c>
      <c r="J301" s="37" t="str">
        <f t="shared" si="4"/>
        <v xml:space="preserve">Adara Copernicus Deneb </v>
      </c>
      <c r="K301" s="31" t="str">
        <f>IF(ISBLANK(TR!G301),"",TR!G301)</f>
        <v/>
      </c>
      <c r="L301" s="31" t="str">
        <f>IF(ISBLANK(TR!H301),"",TR!H301)</f>
        <v>FR-DSRSW-1372</v>
      </c>
      <c r="M301" s="30" t="str">
        <f>TR!J301</f>
        <v>Approved</v>
      </c>
      <c r="N301" s="31" t="str">
        <f>IF(OR(M301="Modified",M301="Cosmetic"),VLOOKUP(B301,PrevPFS!B$1:E$833,4,FALSE),"")</f>
        <v/>
      </c>
    </row>
    <row r="302" spans="1:14" ht="45" x14ac:dyDescent="0.25">
      <c r="A302" s="31" t="str">
        <f>IF(ISNONTEXT(TR!K302),"",TR!K302)</f>
        <v>TR-0-LDVRREC-FPR-1034</v>
      </c>
      <c r="B302" s="32" t="str">
        <f>TR!A302</f>
        <v>TR-DSRSW-2181</v>
      </c>
      <c r="C302" s="31" t="b">
        <f>ISERROR(FIND("-",TR!B302))</f>
        <v>0</v>
      </c>
      <c r="D302" s="31">
        <f>SetIndent(E302,(TR!C302-1)*2)</f>
        <v>6</v>
      </c>
      <c r="E302" s="38" t="str">
        <f>IF(ISERROR(FIND("-",TR!B302)),TR!B302&amp;" "&amp;TR!D302,TR!D302)</f>
        <v xml:space="preserve">The product SHALL be capable of recording all audio, video, and data components (identified via PIDs associated with the PMT) of a target HEVC program being recorded as directed by platform software.  </v>
      </c>
      <c r="F302" s="31" t="str">
        <f>TR!E302</f>
        <v>Req</v>
      </c>
      <c r="G302" s="31" t="str">
        <f>IF(ISERROR(FIND("Adara",TR!F302)),"","Adara ")</f>
        <v xml:space="preserve">Adara </v>
      </c>
      <c r="H302" s="31" t="str">
        <f>IF(ISERROR(FIND("Copernicus",TR!F302)),"","Copernicus ")</f>
        <v xml:space="preserve">Copernicus </v>
      </c>
      <c r="I302" s="31" t="str">
        <f>IF(ISERROR(FIND("Deneb",TR!F302)),"","Deneb ")</f>
        <v xml:space="preserve">Deneb </v>
      </c>
      <c r="J302" s="37" t="str">
        <f t="shared" si="4"/>
        <v xml:space="preserve">Adara Copernicus Deneb </v>
      </c>
      <c r="K302" s="31" t="str">
        <f>IF(ISBLANK(TR!G302),"",TR!G302)</f>
        <v/>
      </c>
      <c r="L302" s="31" t="str">
        <f>IF(ISBLANK(TR!H302),"",TR!H302)</f>
        <v>FR-DSRSW-1372</v>
      </c>
      <c r="M302" s="30" t="str">
        <f>TR!J302</f>
        <v>Approved</v>
      </c>
      <c r="N302" s="31" t="str">
        <f>IF(OR(M302="Modified",M302="Cosmetic"),VLOOKUP(B302,PrevPFS!B$1:E$833,4,FALSE),"")</f>
        <v/>
      </c>
    </row>
    <row r="303" spans="1:14" ht="45" x14ac:dyDescent="0.25">
      <c r="A303" s="31" t="str">
        <f>IF(ISNONTEXT(TR!K303),"",TR!K303)</f>
        <v>TR-0-LDVRREC-FPR-1012</v>
      </c>
      <c r="B303" s="32" t="str">
        <f>TR!A303</f>
        <v>TR-DSRSW-1604</v>
      </c>
      <c r="C303" s="31" t="b">
        <f>ISERROR(FIND("-",TR!B303))</f>
        <v>0</v>
      </c>
      <c r="D303" s="31">
        <f>SetIndent(E303,(TR!C303-1)*2)</f>
        <v>6</v>
      </c>
      <c r="E303" s="38" t="str">
        <f>IF(ISERROR(FIND("-",TR!B303)),TR!B303&amp;" "&amp;TR!D303,TR!D303)</f>
        <v xml:space="preserve">The product SHALL be capable of recording variable bit rate encoded and constant bit rate encoded digital AV streams. </v>
      </c>
      <c r="F303" s="31" t="str">
        <f>TR!E303</f>
        <v>Req</v>
      </c>
      <c r="G303" s="31" t="str">
        <f>IF(ISERROR(FIND("Adara",TR!F303)),"","Adara ")</f>
        <v xml:space="preserve">Adara </v>
      </c>
      <c r="H303" s="31" t="str">
        <f>IF(ISERROR(FIND("Copernicus",TR!F303)),"","Copernicus ")</f>
        <v xml:space="preserve">Copernicus </v>
      </c>
      <c r="I303" s="31" t="str">
        <f>IF(ISERROR(FIND("Deneb",TR!F303)),"","Deneb ")</f>
        <v xml:space="preserve">Deneb </v>
      </c>
      <c r="J303" s="37" t="str">
        <f t="shared" si="4"/>
        <v xml:space="preserve">Adara Copernicus Deneb </v>
      </c>
      <c r="K303" s="31" t="str">
        <f>IF(ISBLANK(TR!G303),"",TR!G303)</f>
        <v/>
      </c>
      <c r="L303" s="31" t="str">
        <f>IF(ISBLANK(TR!H303),"",TR!H303)</f>
        <v>FR-DSRSW-1372</v>
      </c>
      <c r="M303" s="30" t="str">
        <f>TR!J303</f>
        <v>Approved</v>
      </c>
      <c r="N303" s="31" t="str">
        <f>IF(OR(M303="Modified",M303="Cosmetic"),VLOOKUP(B303,PrevPFS!B$1:E$833,4,FALSE),"")</f>
        <v/>
      </c>
    </row>
    <row r="304" spans="1:14" ht="45" x14ac:dyDescent="0.25">
      <c r="A304" s="31" t="str">
        <f>IF(ISNONTEXT(TR!K304),"",TR!K304)</f>
        <v/>
      </c>
      <c r="B304" s="32" t="str">
        <f>TR!A304</f>
        <v>TR-DSRSW-1605</v>
      </c>
      <c r="C304" s="31" t="b">
        <f>ISERROR(FIND("-",TR!B304))</f>
        <v>1</v>
      </c>
      <c r="D304" s="31">
        <f>SetIndent(E304,(TR!C304-1)*2)</f>
        <v>4</v>
      </c>
      <c r="E304" s="35" t="str">
        <f>IF(ISERROR(FIND("-",TR!B304)),TR!B304&amp;" "&amp;TR!D304,TR!D304)</f>
        <v>14.3.4 DVR Trick Play</v>
      </c>
      <c r="F304" s="31" t="str">
        <f>TR!E304</f>
        <v>Hdr</v>
      </c>
      <c r="G304" s="31" t="str">
        <f>IF(ISERROR(FIND("Adara",TR!F304)),"","Adara ")</f>
        <v xml:space="preserve">Adara </v>
      </c>
      <c r="H304" s="31" t="str">
        <f>IF(ISERROR(FIND("Copernicus",TR!F304)),"","Copernicus ")</f>
        <v xml:space="preserve">Copernicus </v>
      </c>
      <c r="I304" s="31" t="str">
        <f>IF(ISERROR(FIND("Deneb",TR!F304)),"","Deneb ")</f>
        <v xml:space="preserve">Deneb </v>
      </c>
      <c r="J304" s="37" t="str">
        <f t="shared" si="4"/>
        <v xml:space="preserve">Adara Copernicus Deneb </v>
      </c>
      <c r="K304" s="31" t="str">
        <f>IF(ISBLANK(TR!G304),"",TR!G304)</f>
        <v/>
      </c>
      <c r="L304" s="31" t="str">
        <f>IF(ISBLANK(TR!H304),"",TR!H304)</f>
        <v>FR-DSRSW-1373</v>
      </c>
      <c r="M304" s="30" t="str">
        <f>TR!J304</f>
        <v>Approved</v>
      </c>
      <c r="N304" s="31" t="str">
        <f>IF(OR(M304="Modified",M304="Cosmetic"),VLOOKUP(B304,PrevPFS!B$1:E$833,4,FALSE),"")</f>
        <v/>
      </c>
    </row>
    <row r="305" spans="1:14" ht="45" x14ac:dyDescent="0.25">
      <c r="A305" s="31" t="str">
        <f>IF(ISNONTEXT(TR!K305),"",TR!K305)</f>
        <v>FR-LOCDVR-1080</v>
      </c>
      <c r="B305" s="32" t="str">
        <f>TR!A305</f>
        <v>TR-DSRSW-1606</v>
      </c>
      <c r="C305" s="31" t="b">
        <f>ISERROR(FIND("-",TR!B305))</f>
        <v>0</v>
      </c>
      <c r="D305" s="31">
        <f>SetIndent(E305,(TR!C305-1)*2)</f>
        <v>6</v>
      </c>
      <c r="E305" s="38" t="str">
        <f>IF(ISERROR(FIND("-",TR!B305)),TR!B305&amp;" "&amp;TR!D305,TR!D305)</f>
        <v>The product SHALL support trick-play of the stream being played back.</v>
      </c>
      <c r="F305" s="31" t="str">
        <f>TR!E305</f>
        <v>Req</v>
      </c>
      <c r="G305" s="31" t="str">
        <f>IF(ISERROR(FIND("Adara",TR!F305)),"","Adara ")</f>
        <v xml:space="preserve">Adara </v>
      </c>
      <c r="H305" s="31" t="str">
        <f>IF(ISERROR(FIND("Copernicus",TR!F305)),"","Copernicus ")</f>
        <v xml:space="preserve">Copernicus </v>
      </c>
      <c r="I305" s="31" t="str">
        <f>IF(ISERROR(FIND("Deneb",TR!F305)),"","Deneb ")</f>
        <v xml:space="preserve">Deneb </v>
      </c>
      <c r="J305" s="37" t="str">
        <f t="shared" si="4"/>
        <v xml:space="preserve">Adara Copernicus Deneb </v>
      </c>
      <c r="K305" s="31" t="str">
        <f>IF(ISBLANK(TR!G305),"",TR!G305)</f>
        <v/>
      </c>
      <c r="L305" s="31" t="str">
        <f>IF(ISBLANK(TR!H305),"",TR!H305)</f>
        <v>FR-DSRSW-1374</v>
      </c>
      <c r="M305" s="30" t="str">
        <f>TR!J305</f>
        <v>Approved</v>
      </c>
      <c r="N305" s="31" t="str">
        <f>IF(OR(M305="Modified",M305="Cosmetic"),VLOOKUP(B305,PrevPFS!B$1:E$833,4,FALSE),"")</f>
        <v/>
      </c>
    </row>
    <row r="306" spans="1:14" ht="45" x14ac:dyDescent="0.25">
      <c r="A306" s="31" t="str">
        <f>IF(ISNONTEXT(TR!K306),"",TR!K306)</f>
        <v>TR-0-LDVRTRK-FPR-1006</v>
      </c>
      <c r="B306" s="32" t="str">
        <f>TR!A306</f>
        <v>TR-DSRSW-1609</v>
      </c>
      <c r="C306" s="31" t="b">
        <f>ISERROR(FIND("-",TR!B306))</f>
        <v>0</v>
      </c>
      <c r="D306" s="31">
        <f>SetIndent(E306,(TR!C306-1)*2)</f>
        <v>6</v>
      </c>
      <c r="E306" s="38" t="str">
        <f>IF(ISERROR(FIND("-",TR!B306)),TR!B306&amp;" "&amp;TR!D306,TR!D306)</f>
        <v>The product SHALL support a "Pause" capability on a stream being played back from a</v>
      </c>
      <c r="F306" s="31" t="str">
        <f>TR!E306</f>
        <v>Req</v>
      </c>
      <c r="G306" s="31" t="str">
        <f>IF(ISERROR(FIND("Adara",TR!F306)),"","Adara ")</f>
        <v xml:space="preserve">Adara </v>
      </c>
      <c r="H306" s="31" t="str">
        <f>IF(ISERROR(FIND("Copernicus",TR!F306)),"","Copernicus ")</f>
        <v xml:space="preserve">Copernicus </v>
      </c>
      <c r="I306" s="31" t="str">
        <f>IF(ISERROR(FIND("Deneb",TR!F306)),"","Deneb ")</f>
        <v xml:space="preserve">Deneb </v>
      </c>
      <c r="J306" s="37" t="str">
        <f t="shared" si="4"/>
        <v xml:space="preserve">Adara Copernicus Deneb </v>
      </c>
      <c r="K306" s="31" t="str">
        <f>IF(ISBLANK(TR!G306),"",TR!G306)</f>
        <v/>
      </c>
      <c r="L306" s="31" t="str">
        <f>IF(ISBLANK(TR!H306),"",TR!H306)</f>
        <v>FR-DSRSW-1374</v>
      </c>
      <c r="M306" s="30" t="str">
        <f>TR!J306</f>
        <v>Approved</v>
      </c>
      <c r="N306" s="31" t="str">
        <f>IF(OR(M306="Modified",M306="Cosmetic"),VLOOKUP(B306,PrevPFS!B$1:E$833,4,FALSE),"")</f>
        <v/>
      </c>
    </row>
    <row r="307" spans="1:14" ht="45" x14ac:dyDescent="0.25">
      <c r="A307" s="31" t="str">
        <f>IF(ISNONTEXT(TR!K307),"",TR!K307)</f>
        <v>TR-0-LDVRTRK-FPR-1026</v>
      </c>
      <c r="B307" s="32" t="str">
        <f>TR!A307</f>
        <v>TR-DSRSW-1613</v>
      </c>
      <c r="C307" s="31" t="b">
        <f>ISERROR(FIND("-",TR!B307))</f>
        <v>0</v>
      </c>
      <c r="D307" s="31">
        <f>SetIndent(E307,(TR!C307-1)*2)</f>
        <v>6</v>
      </c>
      <c r="E307" s="38" t="str">
        <f>IF(ISERROR(FIND("-",TR!B307)),TR!B307&amp;" "&amp;TR!D307,TR!D307)</f>
        <v>The product SHALL support a "Skip Forward" capability, in units of seconds, to any place on a stream being played back from a hard disk drive (HDD).  This requirement applies for all  supported coding formats.[keyword: jump ]</v>
      </c>
      <c r="F307" s="31" t="str">
        <f>TR!E307</f>
        <v>Req</v>
      </c>
      <c r="G307" s="31" t="str">
        <f>IF(ISERROR(FIND("Adara",TR!F307)),"","Adara ")</f>
        <v xml:space="preserve">Adara </v>
      </c>
      <c r="H307" s="31" t="str">
        <f>IF(ISERROR(FIND("Copernicus",TR!F307)),"","Copernicus ")</f>
        <v xml:space="preserve">Copernicus </v>
      </c>
      <c r="I307" s="31" t="str">
        <f>IF(ISERROR(FIND("Deneb",TR!F307)),"","Deneb ")</f>
        <v xml:space="preserve">Deneb </v>
      </c>
      <c r="J307" s="37" t="str">
        <f t="shared" si="4"/>
        <v xml:space="preserve">Adara Copernicus Deneb </v>
      </c>
      <c r="K307" s="31" t="str">
        <f>IF(ISBLANK(TR!G307),"",TR!G307)</f>
        <v/>
      </c>
      <c r="L307" s="31" t="str">
        <f>IF(ISBLANK(TR!H307),"",TR!H307)</f>
        <v>FR-DSRSW-1374</v>
      </c>
      <c r="M307" s="30" t="str">
        <f>TR!J307</f>
        <v>Approved</v>
      </c>
      <c r="N307" s="31" t="str">
        <f>IF(OR(M307="Modified",M307="Cosmetic"),VLOOKUP(B307,PrevPFS!B$1:E$833,4,FALSE),"")</f>
        <v/>
      </c>
    </row>
    <row r="308" spans="1:14" ht="45" x14ac:dyDescent="0.25">
      <c r="A308" s="31" t="str">
        <f>IF(ISNONTEXT(TR!K308),"",TR!K308)</f>
        <v>TR-0-LDVRTRK-FPR-1130</v>
      </c>
      <c r="B308" s="32" t="str">
        <f>TR!A308</f>
        <v>TR-DSRSW-1614</v>
      </c>
      <c r="C308" s="31" t="b">
        <f>ISERROR(FIND("-",TR!B308))</f>
        <v>0</v>
      </c>
      <c r="D308" s="31">
        <f>SetIndent(E308,(TR!C308-1)*2)</f>
        <v>6</v>
      </c>
      <c r="E308" s="38" t="str">
        <f>IF(ISERROR(FIND("-",TR!B308)),TR!B308&amp;" "&amp;TR!D308,TR!D308)</f>
        <v>The product SHALL support a "Skip Backward" capability, in units of seconds, to any place on a stream being played back from a hard disk drive (HDD).  This requirement applies for all  supported coding formats.[keyword: jump ]</v>
      </c>
      <c r="F308" s="31" t="str">
        <f>TR!E308</f>
        <v>Req</v>
      </c>
      <c r="G308" s="31" t="str">
        <f>IF(ISERROR(FIND("Adara",TR!F308)),"","Adara ")</f>
        <v xml:space="preserve">Adara </v>
      </c>
      <c r="H308" s="31" t="str">
        <f>IF(ISERROR(FIND("Copernicus",TR!F308)),"","Copernicus ")</f>
        <v xml:space="preserve">Copernicus </v>
      </c>
      <c r="I308" s="31" t="str">
        <f>IF(ISERROR(FIND("Deneb",TR!F308)),"","Deneb ")</f>
        <v xml:space="preserve">Deneb </v>
      </c>
      <c r="J308" s="37" t="str">
        <f t="shared" si="4"/>
        <v xml:space="preserve">Adara Copernicus Deneb </v>
      </c>
      <c r="K308" s="31" t="str">
        <f>IF(ISBLANK(TR!G308),"",TR!G308)</f>
        <v/>
      </c>
      <c r="L308" s="31" t="str">
        <f>IF(ISBLANK(TR!H308),"",TR!H308)</f>
        <v>FR-DSRSW-1374</v>
      </c>
      <c r="M308" s="30" t="str">
        <f>TR!J308</f>
        <v>Approved</v>
      </c>
      <c r="N308" s="31" t="str">
        <f>IF(OR(M308="Modified",M308="Cosmetic"),VLOOKUP(B308,PrevPFS!B$1:E$833,4,FALSE),"")</f>
        <v/>
      </c>
    </row>
    <row r="309" spans="1:14" ht="45" x14ac:dyDescent="0.25">
      <c r="A309" s="31" t="str">
        <f>IF(ISNONTEXT(TR!K309),"",TR!K309)</f>
        <v>TR-0-LDVRTRK-FPR-1025</v>
      </c>
      <c r="B309" s="32" t="str">
        <f>TR!A309</f>
        <v>TR-DSRSW-1615</v>
      </c>
      <c r="C309" s="31" t="b">
        <f>ISERROR(FIND("-",TR!B309))</f>
        <v>0</v>
      </c>
      <c r="D309" s="31">
        <f>SetIndent(E309,(TR!C309-1)*2)</f>
        <v>6</v>
      </c>
      <c r="E309" s="38" t="str">
        <f>IF(ISERROR(FIND("-",TR!B309)),TR!B309&amp;" "&amp;TR!D309,TR!D309)</f>
        <v>The product SHALL mute audio corresponding to video in DVR trick play.</v>
      </c>
      <c r="F309" s="31" t="str">
        <f>TR!E309</f>
        <v>Req</v>
      </c>
      <c r="G309" s="31" t="str">
        <f>IF(ISERROR(FIND("Adara",TR!F309)),"","Adara ")</f>
        <v xml:space="preserve">Adara </v>
      </c>
      <c r="H309" s="31" t="str">
        <f>IF(ISERROR(FIND("Copernicus",TR!F309)),"","Copernicus ")</f>
        <v xml:space="preserve">Copernicus </v>
      </c>
      <c r="I309" s="31" t="str">
        <f>IF(ISERROR(FIND("Deneb",TR!F309)),"","Deneb ")</f>
        <v xml:space="preserve">Deneb </v>
      </c>
      <c r="J309" s="37" t="str">
        <f t="shared" si="4"/>
        <v xml:space="preserve">Adara Copernicus Deneb </v>
      </c>
      <c r="K309" s="31" t="str">
        <f>IF(ISBLANK(TR!G309),"",TR!G309)</f>
        <v/>
      </c>
      <c r="L309" s="31" t="str">
        <f>IF(ISBLANK(TR!H309),"",TR!H309)</f>
        <v>FR-DSRSW-1374</v>
      </c>
      <c r="M309" s="30" t="str">
        <f>TR!J309</f>
        <v>Approved</v>
      </c>
      <c r="N309" s="31" t="str">
        <f>IF(OR(M309="Modified",M309="Cosmetic"),VLOOKUP(B309,PrevPFS!B$1:E$833,4,FALSE),"")</f>
        <v/>
      </c>
    </row>
    <row r="310" spans="1:14" ht="45" x14ac:dyDescent="0.25">
      <c r="A310" s="31" t="str">
        <f>IF(ISNONTEXT(TR!K310),"",TR!K310)</f>
        <v>TR-0-DVRMP4-1010</v>
      </c>
      <c r="B310" s="32" t="str">
        <f>TR!A310</f>
        <v>TR-DSRSW-1625</v>
      </c>
      <c r="C310" s="31" t="b">
        <f>ISERROR(FIND("-",TR!B310))</f>
        <v>0</v>
      </c>
      <c r="D310" s="31">
        <f>SetIndent(E310,(TR!C310-1)*2)</f>
        <v>6</v>
      </c>
      <c r="E310" s="38" t="str">
        <f>IF(ISERROR(FIND("-",TR!B310)),TR!B310&amp;" "&amp;TR!D310,TR!D310)</f>
        <v>The product SHALL allow the application to specify the speed and direction of trick-play for DVR content.</v>
      </c>
      <c r="F310" s="31" t="str">
        <f>TR!E310</f>
        <v>Req</v>
      </c>
      <c r="G310" s="31" t="str">
        <f>IF(ISERROR(FIND("Adara",TR!F310)),"","Adara ")</f>
        <v xml:space="preserve">Adara </v>
      </c>
      <c r="H310" s="31" t="str">
        <f>IF(ISERROR(FIND("Copernicus",TR!F310)),"","Copernicus ")</f>
        <v xml:space="preserve">Copernicus </v>
      </c>
      <c r="I310" s="31" t="str">
        <f>IF(ISERROR(FIND("Deneb",TR!F310)),"","Deneb ")</f>
        <v xml:space="preserve">Deneb </v>
      </c>
      <c r="J310" s="37" t="str">
        <f t="shared" si="4"/>
        <v xml:space="preserve">Adara Copernicus Deneb </v>
      </c>
      <c r="K310" s="31" t="str">
        <f>IF(ISBLANK(TR!G310),"",TR!G310)</f>
        <v/>
      </c>
      <c r="L310" s="31" t="str">
        <f>IF(ISBLANK(TR!H310),"",TR!H310)</f>
        <v>FR-DSRSW-1374
FR-DSRSW-1484</v>
      </c>
      <c r="M310" s="30" t="str">
        <f>TR!J310</f>
        <v>Approved</v>
      </c>
      <c r="N310" s="31" t="str">
        <f>IF(OR(M310="Modified",M310="Cosmetic"),VLOOKUP(B310,PrevPFS!B$1:E$833,4,FALSE),"")</f>
        <v/>
      </c>
    </row>
    <row r="311" spans="1:14" ht="45" x14ac:dyDescent="0.25">
      <c r="A311" s="31" t="str">
        <f>IF(ISNONTEXT(TR!K311),"",TR!K311)</f>
        <v/>
      </c>
      <c r="B311" s="32" t="str">
        <f>TR!A311</f>
        <v>TR-DSRSW-2463</v>
      </c>
      <c r="C311" s="31" t="b">
        <f>ISERROR(FIND("-",TR!B311))</f>
        <v>1</v>
      </c>
      <c r="D311" s="31">
        <f>SetIndent(E311,(TR!C311-1)*2)</f>
        <v>2</v>
      </c>
      <c r="E311" s="34" t="str">
        <f>IF(ISERROR(FIND("-",TR!B311)),TR!B311&amp;" "&amp;TR!D311,TR!D311)</f>
        <v>14.4 DVR File Functions</v>
      </c>
      <c r="F311" s="31" t="str">
        <f>TR!E311</f>
        <v>Hdr</v>
      </c>
      <c r="G311" s="31" t="str">
        <f>IF(ISERROR(FIND("Adara",TR!F311)),"","Adara ")</f>
        <v xml:space="preserve">Adara </v>
      </c>
      <c r="H311" s="31" t="str">
        <f>IF(ISERROR(FIND("Copernicus",TR!F311)),"","Copernicus ")</f>
        <v xml:space="preserve">Copernicus </v>
      </c>
      <c r="I311" s="31" t="str">
        <f>IF(ISERROR(FIND("Deneb",TR!F311)),"","Deneb ")</f>
        <v xml:space="preserve">Deneb </v>
      </c>
      <c r="J311" s="37" t="str">
        <f t="shared" si="4"/>
        <v xml:space="preserve">Adara Copernicus Deneb </v>
      </c>
      <c r="K311" s="31" t="str">
        <f>IF(ISBLANK(TR!G311),"",TR!G311)</f>
        <v/>
      </c>
      <c r="L311" s="31" t="str">
        <f>IF(ISBLANK(TR!H311),"",TR!H311)</f>
        <v/>
      </c>
      <c r="M311" s="30" t="str">
        <f>TR!J311</f>
        <v>Approved</v>
      </c>
      <c r="N311" s="31" t="str">
        <f>IF(OR(M311="Modified",M311="Cosmetic"),VLOOKUP(B311,PrevPFS!B$1:E$833,4,FALSE),"")</f>
        <v/>
      </c>
    </row>
    <row r="312" spans="1:14" ht="45" x14ac:dyDescent="0.25">
      <c r="A312" s="31" t="str">
        <f>IF(ISNONTEXT(TR!K312),"",TR!K312)</f>
        <v/>
      </c>
      <c r="B312" s="32" t="str">
        <f>TR!A312</f>
        <v>TR-DSRSW-2464</v>
      </c>
      <c r="C312" s="31" t="b">
        <f>ISERROR(FIND("-",TR!B312))</f>
        <v>1</v>
      </c>
      <c r="D312" s="31">
        <f>SetIndent(E312,(TR!C312-1)*2)</f>
        <v>4</v>
      </c>
      <c r="E312" s="35" t="str">
        <f>IF(ISERROR(FIND("-",TR!B312)),TR!B312&amp;" "&amp;TR!D312,TR!D312)</f>
        <v>14.4.1 File Format</v>
      </c>
      <c r="F312" s="31" t="str">
        <f>TR!E312</f>
        <v>Hdr</v>
      </c>
      <c r="G312" s="31" t="str">
        <f>IF(ISERROR(FIND("Adara",TR!F312)),"","Adara ")</f>
        <v xml:space="preserve">Adara </v>
      </c>
      <c r="H312" s="31" t="str">
        <f>IF(ISERROR(FIND("Copernicus",TR!F312)),"","Copernicus ")</f>
        <v xml:space="preserve">Copernicus </v>
      </c>
      <c r="I312" s="31" t="str">
        <f>IF(ISERROR(FIND("Deneb",TR!F312)),"","Deneb ")</f>
        <v xml:space="preserve">Deneb </v>
      </c>
      <c r="J312" s="37" t="str">
        <f t="shared" si="4"/>
        <v xml:space="preserve">Adara Copernicus Deneb </v>
      </c>
      <c r="K312" s="31" t="str">
        <f>IF(ISBLANK(TR!G312),"",TR!G312)</f>
        <v/>
      </c>
      <c r="L312" s="31" t="str">
        <f>IF(ISBLANK(TR!H312),"",TR!H312)</f>
        <v>FR-DSRSW-1481</v>
      </c>
      <c r="M312" s="30" t="str">
        <f>TR!J312</f>
        <v>Approved</v>
      </c>
      <c r="N312" s="31" t="str">
        <f>IF(OR(M312="Modified",M312="Cosmetic"),VLOOKUP(B312,PrevPFS!B$1:E$833,4,FALSE),"")</f>
        <v/>
      </c>
    </row>
    <row r="313" spans="1:14" ht="45" x14ac:dyDescent="0.25">
      <c r="A313" s="31" t="str">
        <f>IF(ISNONTEXT(TR!K313),"",TR!K313)</f>
        <v/>
      </c>
      <c r="B313" s="32" t="str">
        <f>TR!A313</f>
        <v>TR-DSRSW-2465</v>
      </c>
      <c r="C313" s="31" t="b">
        <f>ISERROR(FIND("-",TR!B313))</f>
        <v>0</v>
      </c>
      <c r="D313" s="31">
        <f>SetIndent(E313,(TR!C313-1)*2)</f>
        <v>6</v>
      </c>
      <c r="E313" s="38" t="str">
        <f>IF(ISERROR(FIND("-",TR!B313)),TR!B313&amp;" "&amp;TR!D313,TR!D313)</f>
        <v>The product SHALL implement a DVR recording file structure/manifest that is compatible with code releases that implement DVR file append and spit capability. (Note: The intent here is to avoid incompatible DVR file formats)</v>
      </c>
      <c r="F313" s="31" t="str">
        <f>TR!E313</f>
        <v>Req</v>
      </c>
      <c r="G313" s="31" t="str">
        <f>IF(ISERROR(FIND("Adara",TR!F313)),"","Adara ")</f>
        <v xml:space="preserve">Adara </v>
      </c>
      <c r="H313" s="31" t="str">
        <f>IF(ISERROR(FIND("Copernicus",TR!F313)),"","Copernicus ")</f>
        <v xml:space="preserve">Copernicus </v>
      </c>
      <c r="I313" s="31" t="str">
        <f>IF(ISERROR(FIND("Deneb",TR!F313)),"","Deneb ")</f>
        <v xml:space="preserve">Deneb </v>
      </c>
      <c r="J313" s="37" t="str">
        <f t="shared" si="4"/>
        <v xml:space="preserve">Adara Copernicus Deneb </v>
      </c>
      <c r="K313" s="31" t="str">
        <f>IF(ISBLANK(TR!G313),"",TR!G313)</f>
        <v/>
      </c>
      <c r="L313" s="31" t="str">
        <f>IF(ISBLANK(TR!H313),"",TR!H313)</f>
        <v>FR-DSRSW-1481
FR-DSRSW-1534</v>
      </c>
      <c r="M313" s="30" t="str">
        <f>TR!J313</f>
        <v>Approved</v>
      </c>
      <c r="N313" s="31" t="str">
        <f>IF(OR(M313="Modified",M313="Cosmetic"),VLOOKUP(B313,PrevPFS!B$1:E$833,4,FALSE),"")</f>
        <v/>
      </c>
    </row>
    <row r="314" spans="1:14" ht="45" x14ac:dyDescent="0.25">
      <c r="A314" s="31" t="str">
        <f>IF(ISNONTEXT(TR!K314),"",TR!K314)</f>
        <v/>
      </c>
      <c r="B314" s="32" t="str">
        <f>TR!A314</f>
        <v>TR-DSRSW-2238</v>
      </c>
      <c r="C314" s="31" t="b">
        <f>ISERROR(FIND("-",TR!B314))</f>
        <v>1</v>
      </c>
      <c r="D314" s="31">
        <f>SetIndent(E314,(TR!C314-1)*2)</f>
        <v>4</v>
      </c>
      <c r="E314" s="35" t="str">
        <f>IF(ISERROR(FIND("-",TR!B314)),TR!B314&amp;" "&amp;TR!D314,TR!D314)</f>
        <v>14.4.2 Append</v>
      </c>
      <c r="F314" s="31" t="str">
        <f>TR!E314</f>
        <v>Hdr</v>
      </c>
      <c r="G314" s="31" t="str">
        <f>IF(ISERROR(FIND("Adara",TR!F314)),"","Adara ")</f>
        <v xml:space="preserve">Adara </v>
      </c>
      <c r="H314" s="31" t="str">
        <f>IF(ISERROR(FIND("Copernicus",TR!F314)),"","Copernicus ")</f>
        <v xml:space="preserve">Copernicus </v>
      </c>
      <c r="I314" s="31" t="str">
        <f>IF(ISERROR(FIND("Deneb",TR!F314)),"","Deneb ")</f>
        <v xml:space="preserve">Deneb </v>
      </c>
      <c r="J314" s="37" t="str">
        <f t="shared" si="4"/>
        <v xml:space="preserve">Adara Copernicus Deneb </v>
      </c>
      <c r="K314" s="31" t="str">
        <f>IF(ISBLANK(TR!G314),"",TR!G314)</f>
        <v/>
      </c>
      <c r="L314" s="31" t="str">
        <f>IF(ISBLANK(TR!H314),"",TR!H314)</f>
        <v>FR-DSRSW-1481</v>
      </c>
      <c r="M314" s="30" t="str">
        <f>TR!J314</f>
        <v>Approved</v>
      </c>
      <c r="N314" s="31" t="str">
        <f>IF(OR(M314="Modified",M314="Cosmetic"),VLOOKUP(B314,PrevPFS!B$1:E$833,4,FALSE),"")</f>
        <v/>
      </c>
    </row>
    <row r="315" spans="1:14" ht="45" x14ac:dyDescent="0.25">
      <c r="A315" s="31" t="str">
        <f>IF(ISNONTEXT(TR!K315),"",TR!K315)</f>
        <v/>
      </c>
      <c r="B315" s="32" t="str">
        <f>TR!A315</f>
        <v>TR-DSRSW-2362</v>
      </c>
      <c r="C315" s="31" t="b">
        <f>ISERROR(FIND("-",TR!B315))</f>
        <v>0</v>
      </c>
      <c r="D315" s="31">
        <f>SetIndent(E315,(TR!C315-1)*2)</f>
        <v>6</v>
      </c>
      <c r="E315" s="38" t="str">
        <f>IF(ISERROR(FIND("-",TR!B315)),TR!B315&amp;" "&amp;TR!D315,TR!D315)</f>
        <v>The product SHALL provide an “append API” that allows the application to append progam streams.</v>
      </c>
      <c r="F315" s="31" t="str">
        <f>TR!E315</f>
        <v>Req</v>
      </c>
      <c r="G315" s="31" t="str">
        <f>IF(ISERROR(FIND("Adara",TR!F315)),"","Adara ")</f>
        <v xml:space="preserve">Adara </v>
      </c>
      <c r="H315" s="31" t="str">
        <f>IF(ISERROR(FIND("Copernicus",TR!F315)),"","Copernicus ")</f>
        <v xml:space="preserve">Copernicus </v>
      </c>
      <c r="I315" s="31" t="str">
        <f>IF(ISERROR(FIND("Deneb",TR!F315)),"","Deneb ")</f>
        <v xml:space="preserve">Deneb </v>
      </c>
      <c r="J315" s="37" t="str">
        <f t="shared" si="4"/>
        <v xml:space="preserve">Adara Copernicus Deneb </v>
      </c>
      <c r="K315" s="31" t="str">
        <f>IF(ISBLANK(TR!G315),"",TR!G315)</f>
        <v/>
      </c>
      <c r="L315" s="31" t="str">
        <f>IF(ISBLANK(TR!H315),"",TR!H315)</f>
        <v>FR-DSRSW-1481</v>
      </c>
      <c r="M315" s="30" t="str">
        <f>TR!J315</f>
        <v>Approved</v>
      </c>
      <c r="N315" s="31" t="str">
        <f>IF(OR(M315="Modified",M315="Cosmetic"),VLOOKUP(B315,PrevPFS!B$1:E$833,4,FALSE),"")</f>
        <v/>
      </c>
    </row>
    <row r="316" spans="1:14" ht="45" x14ac:dyDescent="0.25">
      <c r="A316" s="31" t="str">
        <f>IF(ISNONTEXT(TR!K316),"",TR!K316)</f>
        <v/>
      </c>
      <c r="B316" s="32" t="str">
        <f>TR!A316</f>
        <v>TR-DSRSW-2484</v>
      </c>
      <c r="C316" s="31" t="b">
        <f>ISERROR(FIND("-",TR!B316))</f>
        <v>0</v>
      </c>
      <c r="D316" s="31">
        <f>SetIndent(E316,(TR!C316-1)*2)</f>
        <v>6</v>
      </c>
      <c r="E316" s="38" t="str">
        <f>IF(ISERROR(FIND("-",TR!B316)),TR!B316&amp;" "&amp;TR!D316,TR!D316)</f>
        <v>The product SHALL support appending DVR AV program files that occur due to a channel override.</v>
      </c>
      <c r="F316" s="31" t="str">
        <f>TR!E316</f>
        <v>Req</v>
      </c>
      <c r="G316" s="31" t="str">
        <f>IF(ISERROR(FIND("Adara",TR!F316)),"","Adara ")</f>
        <v xml:space="preserve">Adara </v>
      </c>
      <c r="H316" s="31" t="str">
        <f>IF(ISERROR(FIND("Copernicus",TR!F316)),"","Copernicus ")</f>
        <v xml:space="preserve">Copernicus </v>
      </c>
      <c r="I316" s="31" t="str">
        <f>IF(ISERROR(FIND("Deneb",TR!F316)),"","Deneb ")</f>
        <v xml:space="preserve">Deneb </v>
      </c>
      <c r="J316" s="37" t="str">
        <f t="shared" si="4"/>
        <v xml:space="preserve">Adara Copernicus Deneb </v>
      </c>
      <c r="K316" s="31" t="str">
        <f>IF(ISBLANK(TR!G316),"",TR!G316)</f>
        <v/>
      </c>
      <c r="L316" s="31" t="str">
        <f>IF(ISBLANK(TR!H316),"",TR!H316)</f>
        <v>FR-DSRSW-1483</v>
      </c>
      <c r="M316" s="30" t="str">
        <f>TR!J316</f>
        <v>Approved</v>
      </c>
      <c r="N316" s="31" t="str">
        <f>IF(OR(M316="Modified",M316="Cosmetic"),VLOOKUP(B316,PrevPFS!B$1:E$833,4,FALSE),"")</f>
        <v/>
      </c>
    </row>
    <row r="317" spans="1:14" ht="45" x14ac:dyDescent="0.25">
      <c r="A317" s="31" t="str">
        <f>IF(ISNONTEXT(TR!K317),"",TR!K317)</f>
        <v/>
      </c>
      <c r="B317" s="32" t="str">
        <f>TR!A317</f>
        <v>TR-DSRSW-2485</v>
      </c>
      <c r="C317" s="31" t="b">
        <f>ISERROR(FIND("-",TR!B317))</f>
        <v>0</v>
      </c>
      <c r="D317" s="31">
        <f>SetIndent(E317,(TR!C317-1)*2)</f>
        <v>6</v>
      </c>
      <c r="E317" s="38" t="str">
        <f>IF(ISERROR(FIND("-",TR!B317)),TR!B317&amp;" "&amp;TR!D317,TR!D317)</f>
        <v>The product SHALL support appending DVR AV program files that occur due to a power loss.</v>
      </c>
      <c r="F317" s="31" t="str">
        <f>TR!E317</f>
        <v>Req</v>
      </c>
      <c r="G317" s="31" t="str">
        <f>IF(ISERROR(FIND("Adara",TR!F317)),"","Adara ")</f>
        <v xml:space="preserve">Adara </v>
      </c>
      <c r="H317" s="31" t="str">
        <f>IF(ISERROR(FIND("Copernicus",TR!F317)),"","Copernicus ")</f>
        <v xml:space="preserve">Copernicus </v>
      </c>
      <c r="I317" s="31" t="str">
        <f>IF(ISERROR(FIND("Deneb",TR!F317)),"","Deneb ")</f>
        <v xml:space="preserve">Deneb </v>
      </c>
      <c r="J317" s="37" t="str">
        <f t="shared" si="4"/>
        <v xml:space="preserve">Adara Copernicus Deneb </v>
      </c>
      <c r="K317" s="31" t="str">
        <f>IF(ISBLANK(TR!G317),"",TR!G317)</f>
        <v/>
      </c>
      <c r="L317" s="31" t="str">
        <f>IF(ISBLANK(TR!H317),"",TR!H317)</f>
        <v>FR-DSRSW-1483</v>
      </c>
      <c r="M317" s="30" t="str">
        <f>TR!J317</f>
        <v>Approved</v>
      </c>
      <c r="N317" s="31" t="str">
        <f>IF(OR(M317="Modified",M317="Cosmetic"),VLOOKUP(B317,PrevPFS!B$1:E$833,4,FALSE),"")</f>
        <v/>
      </c>
    </row>
    <row r="318" spans="1:14" ht="45" x14ac:dyDescent="0.25">
      <c r="A318" s="31" t="str">
        <f>IF(ISNONTEXT(TR!K318),"",TR!K318)</f>
        <v/>
      </c>
      <c r="B318" s="32" t="str">
        <f>TR!A318</f>
        <v>TR-DSRSW-2363</v>
      </c>
      <c r="C318" s="31" t="b">
        <f>ISERROR(FIND("-",TR!B318))</f>
        <v>0</v>
      </c>
      <c r="D318" s="31">
        <f>SetIndent(E318,(TR!C318-1)*2)</f>
        <v>6</v>
      </c>
      <c r="E318" s="38" t="str">
        <f>IF(ISERROR(FIND("-",TR!B318)),TR!B318&amp;" "&amp;TR!D318,TR!D318)</f>
        <v>The product SHALL provide an append API that allows one file to be a live foreground (LOD) recording.</v>
      </c>
      <c r="F318" s="31" t="str">
        <f>TR!E318</f>
        <v>Req</v>
      </c>
      <c r="G318" s="31" t="str">
        <f>IF(ISERROR(FIND("Adara",TR!F318)),"","Adara ")</f>
        <v xml:space="preserve">Adara </v>
      </c>
      <c r="H318" s="31" t="str">
        <f>IF(ISERROR(FIND("Copernicus",TR!F318)),"","Copernicus ")</f>
        <v xml:space="preserve">Copernicus </v>
      </c>
      <c r="I318" s="31" t="str">
        <f>IF(ISERROR(FIND("Deneb",TR!F318)),"","Deneb ")</f>
        <v xml:space="preserve">Deneb </v>
      </c>
      <c r="J318" s="37" t="str">
        <f t="shared" si="4"/>
        <v xml:space="preserve">Adara Copernicus Deneb </v>
      </c>
      <c r="K318" s="31" t="str">
        <f>IF(ISBLANK(TR!G318),"",TR!G318)</f>
        <v/>
      </c>
      <c r="L318" s="31" t="str">
        <f>IF(ISBLANK(TR!H318),"",TR!H318)</f>
        <v>FR-DSRSW-1481</v>
      </c>
      <c r="M318" s="30" t="str">
        <f>TR!J318</f>
        <v>Approved</v>
      </c>
      <c r="N318" s="31" t="str">
        <f>IF(OR(M318="Modified",M318="Cosmetic"),VLOOKUP(B318,PrevPFS!B$1:E$833,4,FALSE),"")</f>
        <v/>
      </c>
    </row>
    <row r="319" spans="1:14" ht="45" x14ac:dyDescent="0.25">
      <c r="A319" s="31" t="str">
        <f>IF(ISNONTEXT(TR!K319),"",TR!K319)</f>
        <v/>
      </c>
      <c r="B319" s="32" t="str">
        <f>TR!A319</f>
        <v>TR-DSRSW-2364</v>
      </c>
      <c r="C319" s="31" t="b">
        <f>ISERROR(FIND("-",TR!B319))</f>
        <v>0</v>
      </c>
      <c r="D319" s="31">
        <f>SetIndent(E319,(TR!C319-1)*2)</f>
        <v>6</v>
      </c>
      <c r="E319" s="38" t="str">
        <f>IF(ISERROR(FIND("-",TR!B319)),TR!B319&amp;" "&amp;TR!D319,TR!D319)</f>
        <v>The product SHALL provide an append API that allows one file to be a live background recording.</v>
      </c>
      <c r="F319" s="31" t="str">
        <f>TR!E319</f>
        <v>Req</v>
      </c>
      <c r="G319" s="31" t="str">
        <f>IF(ISERROR(FIND("Adara",TR!F319)),"","Adara ")</f>
        <v xml:space="preserve">Adara </v>
      </c>
      <c r="H319" s="31" t="str">
        <f>IF(ISERROR(FIND("Copernicus",TR!F319)),"","Copernicus ")</f>
        <v xml:space="preserve">Copernicus </v>
      </c>
      <c r="I319" s="31" t="str">
        <f>IF(ISERROR(FIND("Deneb",TR!F319)),"","Deneb ")</f>
        <v xml:space="preserve">Deneb </v>
      </c>
      <c r="J319" s="37" t="str">
        <f t="shared" si="4"/>
        <v xml:space="preserve">Adara Copernicus Deneb </v>
      </c>
      <c r="K319" s="31" t="str">
        <f>IF(ISBLANK(TR!G319),"",TR!G319)</f>
        <v/>
      </c>
      <c r="L319" s="31" t="str">
        <f>IF(ISBLANK(TR!H319),"",TR!H319)</f>
        <v>FR-DSRSW-1481</v>
      </c>
      <c r="M319" s="30" t="str">
        <f>TR!J319</f>
        <v>Approved</v>
      </c>
      <c r="N319" s="31" t="str">
        <f>IF(OR(M319="Modified",M319="Cosmetic"),VLOOKUP(B319,PrevPFS!B$1:E$833,4,FALSE),"")</f>
        <v/>
      </c>
    </row>
    <row r="320" spans="1:14" ht="45" x14ac:dyDescent="0.25">
      <c r="A320" s="31" t="str">
        <f>IF(ISNONTEXT(TR!K320),"",TR!K320)</f>
        <v/>
      </c>
      <c r="B320" s="32" t="str">
        <f>TR!A320</f>
        <v>TR-DSRSW-2365</v>
      </c>
      <c r="C320" s="31" t="b">
        <f>ISERROR(FIND("-",TR!B320))</f>
        <v>0</v>
      </c>
      <c r="D320" s="31">
        <f>SetIndent(E320,(TR!C320-1)*2)</f>
        <v>6</v>
      </c>
      <c r="E320" s="38" t="str">
        <f>IF(ISERROR(FIND("-",TR!B320)),TR!B320&amp;" "&amp;TR!D320,TR!D320)</f>
        <v>The product SHALL provide an append API that allows the appended files to be any of the supported audio and video formats.</v>
      </c>
      <c r="F320" s="31" t="str">
        <f>TR!E320</f>
        <v>Req</v>
      </c>
      <c r="G320" s="31" t="str">
        <f>IF(ISERROR(FIND("Adara",TR!F320)),"","Adara ")</f>
        <v xml:space="preserve">Adara </v>
      </c>
      <c r="H320" s="31" t="str">
        <f>IF(ISERROR(FIND("Copernicus",TR!F320)),"","Copernicus ")</f>
        <v xml:space="preserve">Copernicus </v>
      </c>
      <c r="I320" s="31" t="str">
        <f>IF(ISERROR(FIND("Deneb",TR!F320)),"","Deneb ")</f>
        <v xml:space="preserve">Deneb </v>
      </c>
      <c r="J320" s="37" t="str">
        <f t="shared" si="4"/>
        <v xml:space="preserve">Adara Copernicus Deneb </v>
      </c>
      <c r="K320" s="31" t="str">
        <f>IF(ISBLANK(TR!G320),"",TR!G320)</f>
        <v/>
      </c>
      <c r="L320" s="31" t="str">
        <f>IF(ISBLANK(TR!H320),"",TR!H320)</f>
        <v>FR-DSRSW-1481</v>
      </c>
      <c r="M320" s="30" t="str">
        <f>TR!J320</f>
        <v>Approved</v>
      </c>
      <c r="N320" s="31" t="str">
        <f>IF(OR(M320="Modified",M320="Cosmetic"),VLOOKUP(B320,PrevPFS!B$1:E$833,4,FALSE),"")</f>
        <v/>
      </c>
    </row>
    <row r="321" spans="1:14" ht="45" x14ac:dyDescent="0.25">
      <c r="A321" s="31" t="str">
        <f>IF(ISNONTEXT(TR!K321),"",TR!K321)</f>
        <v/>
      </c>
      <c r="B321" s="32" t="str">
        <f>TR!A321</f>
        <v>TR-DSRSW-2366</v>
      </c>
      <c r="C321" s="31" t="b">
        <f>ISERROR(FIND("-",TR!B321))</f>
        <v>0</v>
      </c>
      <c r="D321" s="31">
        <f>SetIndent(E321,(TR!C321-1)*2)</f>
        <v>6</v>
      </c>
      <c r="E321" s="38" t="str">
        <f>IF(ISERROR(FIND("-",TR!B321)),TR!B321&amp;" "&amp;TR!D321,TR!D321)</f>
        <v>The product SHALL provide an append API that allows the appended files to be different audio formats or video formats.</v>
      </c>
      <c r="F321" s="31" t="str">
        <f>TR!E321</f>
        <v>Req</v>
      </c>
      <c r="G321" s="31" t="str">
        <f>IF(ISERROR(FIND("Adara",TR!F321)),"","Adara ")</f>
        <v xml:space="preserve">Adara </v>
      </c>
      <c r="H321" s="31" t="str">
        <f>IF(ISERROR(FIND("Copernicus",TR!F321)),"","Copernicus ")</f>
        <v xml:space="preserve">Copernicus </v>
      </c>
      <c r="I321" s="31" t="str">
        <f>IF(ISERROR(FIND("Deneb",TR!F321)),"","Deneb ")</f>
        <v xml:space="preserve">Deneb </v>
      </c>
      <c r="J321" s="37" t="str">
        <f t="shared" si="4"/>
        <v xml:space="preserve">Adara Copernicus Deneb </v>
      </c>
      <c r="K321" s="31" t="str">
        <f>IF(ISBLANK(TR!G321),"",TR!G321)</f>
        <v/>
      </c>
      <c r="L321" s="31" t="str">
        <f>IF(ISBLANK(TR!H321),"",TR!H321)</f>
        <v>FR-DSRSW-1481</v>
      </c>
      <c r="M321" s="30" t="str">
        <f>TR!J321</f>
        <v>Approved</v>
      </c>
      <c r="N321" s="31" t="str">
        <f>IF(OR(M321="Modified",M321="Cosmetic"),VLOOKUP(B321,PrevPFS!B$1:E$833,4,FALSE),"")</f>
        <v/>
      </c>
    </row>
    <row r="322" spans="1:14" x14ac:dyDescent="0.25">
      <c r="A322" s="31" t="str">
        <f>IF(ISNONTEXT(TR!K322),"",TR!K322)</f>
        <v/>
      </c>
      <c r="B322" s="32" t="str">
        <f>TR!A322</f>
        <v>TR-DSRSW-2241</v>
      </c>
      <c r="C322" s="31" t="b">
        <f>ISERROR(FIND("-",TR!B322))</f>
        <v>1</v>
      </c>
      <c r="D322" s="31">
        <f>SetIndent(E322,(TR!C322-1)*2)</f>
        <v>4</v>
      </c>
      <c r="E322" s="35" t="str">
        <f>IF(ISERROR(FIND("-",TR!B322)),TR!B322&amp;" "&amp;TR!D322,TR!D322)</f>
        <v>14.4.3 Split</v>
      </c>
      <c r="F322" s="31" t="str">
        <f>TR!E322</f>
        <v>Hdr</v>
      </c>
      <c r="G322" s="31" t="str">
        <f>IF(ISERROR(FIND("Adara",TR!F322)),"","Adara ")</f>
        <v/>
      </c>
      <c r="H322" s="31" t="str">
        <f>IF(ISERROR(FIND("Copernicus",TR!F322)),"","Copernicus ")</f>
        <v/>
      </c>
      <c r="I322" s="31" t="str">
        <f>IF(ISERROR(FIND("Deneb",TR!F322)),"","Deneb ")</f>
        <v/>
      </c>
      <c r="J322" s="37" t="str">
        <f t="shared" si="4"/>
        <v/>
      </c>
      <c r="K322" s="31" t="str">
        <f>IF(ISBLANK(TR!G322),"",TR!G322)</f>
        <v/>
      </c>
      <c r="L322" s="31" t="str">
        <f>IF(ISBLANK(TR!H322),"",TR!H322)</f>
        <v>FR-DSRSW-1529</v>
      </c>
      <c r="M322" s="30" t="str">
        <f>TR!J322</f>
        <v>Deferred</v>
      </c>
      <c r="N322" s="31" t="str">
        <f>IF(OR(M322="Modified",M322="Cosmetic"),VLOOKUP(B322,PrevPFS!B$1:E$833,4,FALSE),"")</f>
        <v/>
      </c>
    </row>
    <row r="323" spans="1:14" ht="30" x14ac:dyDescent="0.25">
      <c r="A323" s="31" t="str">
        <f>IF(ISNONTEXT(TR!K323),"",TR!K323)</f>
        <v/>
      </c>
      <c r="B323" s="32" t="str">
        <f>TR!A323</f>
        <v>TR-DSRSW-2450</v>
      </c>
      <c r="C323" s="31" t="b">
        <f>ISERROR(FIND("-",TR!B323))</f>
        <v>0</v>
      </c>
      <c r="D323" s="31">
        <f>SetIndent(E323,(TR!C323-1)*2)</f>
        <v>6</v>
      </c>
      <c r="E323" s="38" t="str">
        <f>IF(ISERROR(FIND("-",TR!B323)),TR!B323&amp;" "&amp;TR!D323,TR!D323)</f>
        <v>The product SHALL provide an “split API” that allows the application to split a DVR program file into seperate DVR files.</v>
      </c>
      <c r="F323" s="31" t="str">
        <f>TR!E323</f>
        <v>Req</v>
      </c>
      <c r="G323" s="31" t="str">
        <f>IF(ISERROR(FIND("Adara",TR!F323)),"","Adara ")</f>
        <v/>
      </c>
      <c r="H323" s="31" t="str">
        <f>IF(ISERROR(FIND("Copernicus",TR!F323)),"","Copernicus ")</f>
        <v/>
      </c>
      <c r="I323" s="31" t="str">
        <f>IF(ISERROR(FIND("Deneb",TR!F323)),"","Deneb ")</f>
        <v/>
      </c>
      <c r="J323" s="37" t="str">
        <f t="shared" ref="J323:J386" si="5">G323&amp;H323&amp;I323</f>
        <v/>
      </c>
      <c r="K323" s="31" t="str">
        <f>IF(ISBLANK(TR!G323),"",TR!G323)</f>
        <v/>
      </c>
      <c r="L323" s="31" t="str">
        <f>IF(ISBLANK(TR!H323),"",TR!H323)</f>
        <v>FR-DSRSW-1529</v>
      </c>
      <c r="M323" s="30" t="str">
        <f>TR!J323</f>
        <v>Deferred</v>
      </c>
      <c r="N323" s="31" t="str">
        <f>IF(OR(M323="Modified",M323="Cosmetic"),VLOOKUP(B323,PrevPFS!B$1:E$833,4,FALSE),"")</f>
        <v/>
      </c>
    </row>
    <row r="324" spans="1:14" ht="30" x14ac:dyDescent="0.25">
      <c r="A324" s="31" t="str">
        <f>IF(ISNONTEXT(TR!K324),"",TR!K324)</f>
        <v/>
      </c>
      <c r="B324" s="32" t="str">
        <f>TR!A324</f>
        <v>TR-DSRSW-2453</v>
      </c>
      <c r="C324" s="31" t="b">
        <f>ISERROR(FIND("-",TR!B324))</f>
        <v>0</v>
      </c>
      <c r="D324" s="31">
        <f>SetIndent(E324,(TR!C324-1)*2)</f>
        <v>6</v>
      </c>
      <c r="E324" s="38" t="str">
        <f>IF(ISERROR(FIND("-",TR!B324)),TR!B324&amp;" "&amp;TR!D324,TR!D324)</f>
        <v>The product SHALL provide an split API that allows the target file to be a live foreground DVR recording.</v>
      </c>
      <c r="F324" s="31" t="str">
        <f>TR!E324</f>
        <v>Req</v>
      </c>
      <c r="G324" s="31" t="str">
        <f>IF(ISERROR(FIND("Adara",TR!F324)),"","Adara ")</f>
        <v/>
      </c>
      <c r="H324" s="31" t="str">
        <f>IF(ISERROR(FIND("Copernicus",TR!F324)),"","Copernicus ")</f>
        <v/>
      </c>
      <c r="I324" s="31" t="str">
        <f>IF(ISERROR(FIND("Deneb",TR!F324)),"","Deneb ")</f>
        <v/>
      </c>
      <c r="J324" s="37" t="str">
        <f t="shared" si="5"/>
        <v/>
      </c>
      <c r="K324" s="31" t="str">
        <f>IF(ISBLANK(TR!G324),"",TR!G324)</f>
        <v/>
      </c>
      <c r="L324" s="31" t="str">
        <f>IF(ISBLANK(TR!H324),"",TR!H324)</f>
        <v>FR-DSRSW-1529</v>
      </c>
      <c r="M324" s="30" t="str">
        <f>TR!J324</f>
        <v>Deferred</v>
      </c>
      <c r="N324" s="31" t="str">
        <f>IF(OR(M324="Modified",M324="Cosmetic"),VLOOKUP(B324,PrevPFS!B$1:E$833,4,FALSE),"")</f>
        <v/>
      </c>
    </row>
    <row r="325" spans="1:14" ht="30" x14ac:dyDescent="0.25">
      <c r="A325" s="31" t="str">
        <f>IF(ISNONTEXT(TR!K325),"",TR!K325)</f>
        <v/>
      </c>
      <c r="B325" s="32" t="str">
        <f>TR!A325</f>
        <v>TR-DSRSW-2443</v>
      </c>
      <c r="C325" s="31" t="b">
        <f>ISERROR(FIND("-",TR!B325))</f>
        <v>0</v>
      </c>
      <c r="D325" s="31">
        <f>SetIndent(E325,(TR!C325-1)*2)</f>
        <v>6</v>
      </c>
      <c r="E325" s="38" t="str">
        <f>IF(ISERROR(FIND("-",TR!B325)),TR!B325&amp;" "&amp;TR!D325,TR!D325)</f>
        <v>The product SHALL provide an split API that allows the target file to be a live background DVR recording.</v>
      </c>
      <c r="F325" s="31" t="str">
        <f>TR!E325</f>
        <v>Req</v>
      </c>
      <c r="G325" s="31" t="str">
        <f>IF(ISERROR(FIND("Adara",TR!F325)),"","Adara ")</f>
        <v/>
      </c>
      <c r="H325" s="31" t="str">
        <f>IF(ISERROR(FIND("Copernicus",TR!F325)),"","Copernicus ")</f>
        <v/>
      </c>
      <c r="I325" s="31" t="str">
        <f>IF(ISERROR(FIND("Deneb",TR!F325)),"","Deneb ")</f>
        <v/>
      </c>
      <c r="J325" s="37" t="str">
        <f t="shared" si="5"/>
        <v/>
      </c>
      <c r="K325" s="31" t="str">
        <f>IF(ISBLANK(TR!G325),"",TR!G325)</f>
        <v/>
      </c>
      <c r="L325" s="31" t="str">
        <f>IF(ISBLANK(TR!H325),"",TR!H325)</f>
        <v>FR-DSRSW-1529</v>
      </c>
      <c r="M325" s="30" t="str">
        <f>TR!J325</f>
        <v>Deferred</v>
      </c>
      <c r="N325" s="31" t="str">
        <f>IF(OR(M325="Modified",M325="Cosmetic"),VLOOKUP(B325,PrevPFS!B$1:E$833,4,FALSE),"")</f>
        <v/>
      </c>
    </row>
    <row r="326" spans="1:14" ht="30" x14ac:dyDescent="0.25">
      <c r="A326" s="31" t="str">
        <f>IF(ISNONTEXT(TR!K326),"",TR!K326)</f>
        <v/>
      </c>
      <c r="B326" s="32" t="str">
        <f>TR!A326</f>
        <v>TR-DSRSW-2454</v>
      </c>
      <c r="C326" s="31" t="b">
        <f>ISERROR(FIND("-",TR!B326))</f>
        <v>0</v>
      </c>
      <c r="D326" s="31">
        <f>SetIndent(E326,(TR!C326-1)*2)</f>
        <v>6</v>
      </c>
      <c r="E326" s="38" t="str">
        <f>IF(ISERROR(FIND("-",TR!B326)),TR!B326&amp;" "&amp;TR!D326,TR!D326)</f>
        <v>The product SHALL provide an split API that allows the target file to be a completed DVR recording.</v>
      </c>
      <c r="F326" s="31" t="str">
        <f>TR!E326</f>
        <v>Req</v>
      </c>
      <c r="G326" s="31" t="str">
        <f>IF(ISERROR(FIND("Adara",TR!F326)),"","Adara ")</f>
        <v/>
      </c>
      <c r="H326" s="31" t="str">
        <f>IF(ISERROR(FIND("Copernicus",TR!F326)),"","Copernicus ")</f>
        <v/>
      </c>
      <c r="I326" s="31" t="str">
        <f>IF(ISERROR(FIND("Deneb",TR!F326)),"","Deneb ")</f>
        <v/>
      </c>
      <c r="J326" s="37" t="str">
        <f t="shared" si="5"/>
        <v/>
      </c>
      <c r="K326" s="31" t="str">
        <f>IF(ISBLANK(TR!G326),"",TR!G326)</f>
        <v/>
      </c>
      <c r="L326" s="31" t="str">
        <f>IF(ISBLANK(TR!H326),"",TR!H326)</f>
        <v>FR-DSRSW-1529</v>
      </c>
      <c r="M326" s="30" t="str">
        <f>TR!J326</f>
        <v>Deferred</v>
      </c>
      <c r="N326" s="31" t="str">
        <f>IF(OR(M326="Modified",M326="Cosmetic"),VLOOKUP(B326,PrevPFS!B$1:E$833,4,FALSE),"")</f>
        <v/>
      </c>
    </row>
    <row r="327" spans="1:14" x14ac:dyDescent="0.25">
      <c r="A327" s="31" t="str">
        <f>IF(ISNONTEXT(TR!K327),"",TR!K327)</f>
        <v/>
      </c>
      <c r="B327" s="32" t="str">
        <f>TR!A327</f>
        <v>TR-DSRSW-2442</v>
      </c>
      <c r="C327" s="31" t="b">
        <f>ISERROR(FIND("-",TR!B327))</f>
        <v>0</v>
      </c>
      <c r="D327" s="31">
        <f>SetIndent(E327,(TR!C327-1)*2)</f>
        <v>6</v>
      </c>
      <c r="E327" s="38" t="str">
        <f>IF(ISERROR(FIND("-",TR!B327)),TR!B327&amp;" "&amp;TR!D327,TR!D327)</f>
        <v>The product SHALL continue to play an active file resulting from a split recording.</v>
      </c>
      <c r="F327" s="31" t="str">
        <f>TR!E327</f>
        <v>Req</v>
      </c>
      <c r="G327" s="31" t="str">
        <f>IF(ISERROR(FIND("Adara",TR!F327)),"","Adara ")</f>
        <v/>
      </c>
      <c r="H327" s="31" t="str">
        <f>IF(ISERROR(FIND("Copernicus",TR!F327)),"","Copernicus ")</f>
        <v/>
      </c>
      <c r="I327" s="31" t="str">
        <f>IF(ISERROR(FIND("Deneb",TR!F327)),"","Deneb ")</f>
        <v/>
      </c>
      <c r="J327" s="37" t="str">
        <f t="shared" si="5"/>
        <v/>
      </c>
      <c r="K327" s="31" t="str">
        <f>IF(ISBLANK(TR!G327),"",TR!G327)</f>
        <v/>
      </c>
      <c r="L327" s="31" t="str">
        <f>IF(ISBLANK(TR!H327),"",TR!H327)</f>
        <v>FR-DSRSW-1529</v>
      </c>
      <c r="M327" s="30" t="str">
        <f>TR!J327</f>
        <v>Deferred</v>
      </c>
      <c r="N327" s="31" t="str">
        <f>IF(OR(M327="Modified",M327="Cosmetic"),VLOOKUP(B327,PrevPFS!B$1:E$833,4,FALSE),"")</f>
        <v/>
      </c>
    </row>
    <row r="328" spans="1:14" x14ac:dyDescent="0.25">
      <c r="A328" s="31" t="str">
        <f>IF(ISNONTEXT(TR!K328),"",TR!K328)</f>
        <v/>
      </c>
      <c r="B328" s="32" t="str">
        <f>TR!A328</f>
        <v>TR-DSRSW-2451</v>
      </c>
      <c r="C328" s="31" t="b">
        <f>ISERROR(FIND("-",TR!B328))</f>
        <v>0</v>
      </c>
      <c r="D328" s="31">
        <f>SetIndent(E328,(TR!C328-1)*2)</f>
        <v>6</v>
      </c>
      <c r="E328" s="38" t="str">
        <f>IF(ISERROR(FIND("-",TR!B328)),TR!B328&amp;" "&amp;TR!D328,TR!D328)</f>
        <v>The product SHALL continue to record an active file resulting from a split recording.</v>
      </c>
      <c r="F328" s="31" t="str">
        <f>TR!E328</f>
        <v>Req</v>
      </c>
      <c r="G328" s="31" t="str">
        <f>IF(ISERROR(FIND("Adara",TR!F328)),"","Adara ")</f>
        <v/>
      </c>
      <c r="H328" s="31" t="str">
        <f>IF(ISERROR(FIND("Copernicus",TR!F328)),"","Copernicus ")</f>
        <v/>
      </c>
      <c r="I328" s="31" t="str">
        <f>IF(ISERROR(FIND("Deneb",TR!F328)),"","Deneb ")</f>
        <v/>
      </c>
      <c r="J328" s="37" t="str">
        <f t="shared" si="5"/>
        <v/>
      </c>
      <c r="K328" s="31" t="str">
        <f>IF(ISBLANK(TR!G328),"",TR!G328)</f>
        <v/>
      </c>
      <c r="L328" s="31" t="str">
        <f>IF(ISBLANK(TR!H328),"",TR!H328)</f>
        <v>FR-DSRSW-1529</v>
      </c>
      <c r="M328" s="30" t="str">
        <f>TR!J328</f>
        <v>Deferred</v>
      </c>
      <c r="N328" s="31" t="str">
        <f>IF(OR(M328="Modified",M328="Cosmetic"),VLOOKUP(B328,PrevPFS!B$1:E$833,4,FALSE),"")</f>
        <v/>
      </c>
    </row>
    <row r="329" spans="1:14" ht="45" x14ac:dyDescent="0.25">
      <c r="A329" s="31" t="str">
        <f>IF(ISNONTEXT(TR!K329),"",TR!K329)</f>
        <v/>
      </c>
      <c r="B329" s="32" t="str">
        <f>TR!A329</f>
        <v>TR-DSRSW-2513</v>
      </c>
      <c r="C329" s="31" t="b">
        <f>ISERROR(FIND("-",TR!B329))</f>
        <v>1</v>
      </c>
      <c r="D329" s="31">
        <f>SetIndent(E329,(TR!C329-1)*2)</f>
        <v>4</v>
      </c>
      <c r="E329" s="35" t="str">
        <f>IF(ISERROR(FIND("-",TR!B329)),TR!B329&amp;" "&amp;TR!D329,TR!D329)</f>
        <v>14.4.4 DVR DST and Time Zone Adjustments</v>
      </c>
      <c r="F329" s="31" t="str">
        <f>TR!E329</f>
        <v>Hdr</v>
      </c>
      <c r="G329" s="31" t="str">
        <f>IF(ISERROR(FIND("Adara",TR!F329)),"","Adara ")</f>
        <v xml:space="preserve">Adara </v>
      </c>
      <c r="H329" s="31" t="str">
        <f>IF(ISERROR(FIND("Copernicus",TR!F329)),"","Copernicus ")</f>
        <v xml:space="preserve">Copernicus </v>
      </c>
      <c r="I329" s="31" t="str">
        <f>IF(ISERROR(FIND("Deneb",TR!F329)),"","Deneb ")</f>
        <v xml:space="preserve">Deneb </v>
      </c>
      <c r="J329" s="37" t="str">
        <f t="shared" si="5"/>
        <v xml:space="preserve">Adara Copernicus Deneb </v>
      </c>
      <c r="K329" s="31" t="str">
        <f>IF(ISBLANK(TR!G329),"",TR!G329)</f>
        <v/>
      </c>
      <c r="L329" s="31" t="str">
        <f>IF(ISBLANK(TR!H329),"",TR!H329)</f>
        <v/>
      </c>
      <c r="M329" s="30" t="str">
        <f>TR!J329</f>
        <v>Approved</v>
      </c>
      <c r="N329" s="31" t="str">
        <f>IF(OR(M329="Modified",M329="Cosmetic"),VLOOKUP(B329,PrevPFS!B$1:E$833,4,FALSE),"")</f>
        <v/>
      </c>
    </row>
    <row r="330" spans="1:14" ht="45" x14ac:dyDescent="0.25">
      <c r="A330" s="31" t="str">
        <f>IF(ISNONTEXT(TR!K330),"",TR!K330)</f>
        <v/>
      </c>
      <c r="B330" s="32" t="str">
        <f>TR!A330</f>
        <v>TR-DSRSW-2514</v>
      </c>
      <c r="C330" s="31" t="b">
        <f>ISERROR(FIND("-",TR!B330))</f>
        <v>0</v>
      </c>
      <c r="D330" s="31">
        <f>SetIndent(E330,(TR!C330-1)*2)</f>
        <v>6</v>
      </c>
      <c r="E330" s="38" t="str">
        <f>IF(ISERROR(FIND("-",TR!B330)),TR!B330&amp;" "&amp;TR!D330,TR!D330)</f>
        <v xml:space="preserve">The product SHALL record guide recordings at the proper UTC time as given by the application, through DST transitions or time zone adjustments.  </v>
      </c>
      <c r="F330" s="31" t="str">
        <f>TR!E330</f>
        <v>Req</v>
      </c>
      <c r="G330" s="31" t="str">
        <f>IF(ISERROR(FIND("Adara",TR!F330)),"","Adara ")</f>
        <v xml:space="preserve">Adara </v>
      </c>
      <c r="H330" s="31" t="str">
        <f>IF(ISERROR(FIND("Copernicus",TR!F330)),"","Copernicus ")</f>
        <v xml:space="preserve">Copernicus </v>
      </c>
      <c r="I330" s="31" t="str">
        <f>IF(ISERROR(FIND("Deneb",TR!F330)),"","Deneb ")</f>
        <v xml:space="preserve">Deneb </v>
      </c>
      <c r="J330" s="37" t="str">
        <f t="shared" si="5"/>
        <v xml:space="preserve">Adara Copernicus Deneb </v>
      </c>
      <c r="K330" s="31" t="str">
        <f>IF(ISBLANK(TR!G330),"",TR!G330)</f>
        <v/>
      </c>
      <c r="L330" s="31" t="str">
        <f>IF(ISBLANK(TR!H330),"",TR!H330)</f>
        <v/>
      </c>
      <c r="M330" s="30" t="str">
        <f>TR!J330</f>
        <v>Approved</v>
      </c>
      <c r="N330" s="31" t="str">
        <f>IF(OR(M330="Modified",M330="Cosmetic"),VLOOKUP(B330,PrevPFS!B$1:E$833,4,FALSE),"")</f>
        <v/>
      </c>
    </row>
    <row r="331" spans="1:14" ht="60" x14ac:dyDescent="0.25">
      <c r="A331" s="31" t="str">
        <f>IF(ISNONTEXT(TR!K331),"",TR!K331)</f>
        <v/>
      </c>
      <c r="B331" s="32" t="str">
        <f>TR!A331</f>
        <v>TR-DSRSW-2515</v>
      </c>
      <c r="C331" s="31" t="b">
        <f>ISERROR(FIND("-",TR!B331))</f>
        <v>0</v>
      </c>
      <c r="D331" s="31">
        <f>SetIndent(E331,(TR!C331-1)*2)</f>
        <v>6</v>
      </c>
      <c r="E331" s="38" t="str">
        <f>IF(ISERROR(FIND("-",TR!B331)),TR!B331&amp;" "&amp;TR!D331,TR!D331)</f>
        <v>The product SHALL record manual recordings at the proper local time as given by the application, through DST transitions and time zone adjustments.  (e.g., in local time, if a 03:00 to 04:00 manual recording is set up for every night prior to a DST transition, then a 03:00 to 04:00 manual recording will be set up for every night after a DST transition).</v>
      </c>
      <c r="F331" s="31" t="str">
        <f>TR!E331</f>
        <v>Req</v>
      </c>
      <c r="G331" s="31" t="str">
        <f>IF(ISERROR(FIND("Adara",TR!F331)),"","Adara ")</f>
        <v xml:space="preserve">Adara </v>
      </c>
      <c r="H331" s="31" t="str">
        <f>IF(ISERROR(FIND("Copernicus",TR!F331)),"","Copernicus ")</f>
        <v xml:space="preserve">Copernicus </v>
      </c>
      <c r="I331" s="31" t="str">
        <f>IF(ISERROR(FIND("Deneb",TR!F331)),"","Deneb ")</f>
        <v xml:space="preserve">Deneb </v>
      </c>
      <c r="J331" s="37" t="str">
        <f t="shared" si="5"/>
        <v xml:space="preserve">Adara Copernicus Deneb </v>
      </c>
      <c r="K331" s="31" t="str">
        <f>IF(ISBLANK(TR!G331),"",TR!G331)</f>
        <v/>
      </c>
      <c r="L331" s="31" t="str">
        <f>IF(ISBLANK(TR!H331),"",TR!H331)</f>
        <v/>
      </c>
      <c r="M331" s="30" t="str">
        <f>TR!J331</f>
        <v>Approved</v>
      </c>
      <c r="N331" s="31" t="str">
        <f>IF(OR(M331="Modified",M331="Cosmetic"),VLOOKUP(B331,PrevPFS!B$1:E$833,4,FALSE),"")</f>
        <v/>
      </c>
    </row>
    <row r="332" spans="1:14" x14ac:dyDescent="0.25">
      <c r="A332" s="31" t="str">
        <f>IF(ISNONTEXT(TR!K332),"",TR!K332)</f>
        <v/>
      </c>
      <c r="B332" s="32" t="str">
        <f>TR!A332</f>
        <v>TR-DSRSW-2561</v>
      </c>
      <c r="C332" s="31" t="b">
        <f>ISERROR(FIND("-",TR!B332))</f>
        <v>1</v>
      </c>
      <c r="D332" s="31">
        <f>SetIndent(E332,(TR!C332-1)*2)</f>
        <v>4</v>
      </c>
      <c r="E332" s="35" t="str">
        <f>IF(ISERROR(FIND("-",TR!B332)),TR!B332&amp;" "&amp;TR!D332,TR!D332)</f>
        <v>14.4.5 DVR API</v>
      </c>
      <c r="F332" s="31" t="str">
        <f>TR!E332</f>
        <v>Hdr</v>
      </c>
      <c r="G332" s="31" t="str">
        <f>IF(ISERROR(FIND("Adara",TR!F332)),"","Adara ")</f>
        <v/>
      </c>
      <c r="H332" s="31" t="str">
        <f>IF(ISERROR(FIND("Copernicus",TR!F332)),"","Copernicus ")</f>
        <v/>
      </c>
      <c r="I332" s="31" t="str">
        <f>IF(ISERROR(FIND("Deneb",TR!F332)),"","Deneb ")</f>
        <v xml:space="preserve">Deneb </v>
      </c>
      <c r="J332" s="37" t="str">
        <f t="shared" si="5"/>
        <v xml:space="preserve">Deneb </v>
      </c>
      <c r="K332" s="31" t="str">
        <f>IF(ISBLANK(TR!G332),"",TR!G332)</f>
        <v/>
      </c>
      <c r="L332" s="31" t="str">
        <f>IF(ISBLANK(TR!H332),"",TR!H332)</f>
        <v>FR-DSRSW-1539</v>
      </c>
      <c r="M332" s="30" t="str">
        <f>TR!J332</f>
        <v>Added</v>
      </c>
      <c r="N332" s="31" t="str">
        <f>IF(OR(M332="Modified",M332="Cosmetic"),VLOOKUP(B332,PrevPFS!B$1:E$833,4,FALSE),"")</f>
        <v/>
      </c>
    </row>
    <row r="333" spans="1:14" ht="30" x14ac:dyDescent="0.25">
      <c r="A333" s="31" t="str">
        <f>IF(ISNONTEXT(TR!K333),"",TR!K333)</f>
        <v/>
      </c>
      <c r="B333" s="32" t="str">
        <f>TR!A333</f>
        <v>TR-DSRSW-2562</v>
      </c>
      <c r="C333" s="31" t="b">
        <f>ISERROR(FIND("-",TR!B333))</f>
        <v>0</v>
      </c>
      <c r="D333" s="31">
        <f>SetIndent(E333,(TR!C333-1)*2)</f>
        <v>6</v>
      </c>
      <c r="E333" s="38" t="str">
        <f>IF(ISERROR(FIND("-",TR!B333)),TR!B333&amp;" "&amp;TR!D333,TR!D333)</f>
        <v>The product SHALL notify the application of success or failure for any recording related API call.</v>
      </c>
      <c r="F333" s="31" t="str">
        <f>TR!E333</f>
        <v>Req</v>
      </c>
      <c r="G333" s="31" t="str">
        <f>IF(ISERROR(FIND("Adara",TR!F333)),"","Adara ")</f>
        <v/>
      </c>
      <c r="H333" s="31" t="str">
        <f>IF(ISERROR(FIND("Copernicus",TR!F333)),"","Copernicus ")</f>
        <v/>
      </c>
      <c r="I333" s="31" t="str">
        <f>IF(ISERROR(FIND("Deneb",TR!F333)),"","Deneb ")</f>
        <v xml:space="preserve">Deneb </v>
      </c>
      <c r="J333" s="37" t="str">
        <f t="shared" si="5"/>
        <v xml:space="preserve">Deneb </v>
      </c>
      <c r="K333" s="31" t="str">
        <f>IF(ISBLANK(TR!G333),"",TR!G333)</f>
        <v/>
      </c>
      <c r="L333" s="31" t="str">
        <f>IF(ISBLANK(TR!H333),"",TR!H333)</f>
        <v>FR-DSRSW-1540</v>
      </c>
      <c r="M333" s="30" t="str">
        <f>TR!J333</f>
        <v>Added</v>
      </c>
      <c r="N333" s="31" t="str">
        <f>IF(OR(M333="Modified",M333="Cosmetic"),VLOOKUP(B333,PrevPFS!B$1:E$833,4,FALSE),"")</f>
        <v/>
      </c>
    </row>
    <row r="334" spans="1:14" ht="30" x14ac:dyDescent="0.25">
      <c r="A334" s="31" t="str">
        <f>IF(ISNONTEXT(TR!K334),"",TR!K334)</f>
        <v/>
      </c>
      <c r="B334" s="32" t="str">
        <f>TR!A334</f>
        <v>TR-DSRSW-2564</v>
      </c>
      <c r="C334" s="31" t="b">
        <f>ISERROR(FIND("-",TR!B334))</f>
        <v>0</v>
      </c>
      <c r="D334" s="31">
        <f>SetIndent(E334,(TR!C334-1)*2)</f>
        <v>6</v>
      </c>
      <c r="E334" s="38" t="str">
        <f>IF(ISERROR(FIND("-",TR!B334)),TR!B334&amp;" "&amp;TR!D334,TR!D334)</f>
        <v>The product SHALL allow the application to associate a generic metadata buffer, up to 128 bytes, with a recoding.</v>
      </c>
      <c r="F334" s="31" t="str">
        <f>TR!E334</f>
        <v>Req</v>
      </c>
      <c r="G334" s="31" t="str">
        <f>IF(ISERROR(FIND("Adara",TR!F334)),"","Adara ")</f>
        <v/>
      </c>
      <c r="H334" s="31" t="str">
        <f>IF(ISERROR(FIND("Copernicus",TR!F334)),"","Copernicus ")</f>
        <v/>
      </c>
      <c r="I334" s="31" t="str">
        <f>IF(ISERROR(FIND("Deneb",TR!F334)),"","Deneb ")</f>
        <v xml:space="preserve">Deneb </v>
      </c>
      <c r="J334" s="37" t="str">
        <f t="shared" si="5"/>
        <v xml:space="preserve">Deneb </v>
      </c>
      <c r="K334" s="31" t="str">
        <f>IF(ISBLANK(TR!G334),"",TR!G334)</f>
        <v/>
      </c>
      <c r="L334" s="31" t="str">
        <f>IF(ISBLANK(TR!H334),"",TR!H334)</f>
        <v>FR-DSRSW-1542</v>
      </c>
      <c r="M334" s="30" t="str">
        <f>TR!J334</f>
        <v>Added</v>
      </c>
      <c r="N334" s="31" t="str">
        <f>IF(OR(M334="Modified",M334="Cosmetic"),VLOOKUP(B334,PrevPFS!B$1:E$833,4,FALSE),"")</f>
        <v/>
      </c>
    </row>
    <row r="335" spans="1:14" ht="45" x14ac:dyDescent="0.25">
      <c r="A335" s="31" t="str">
        <f>IF(ISNONTEXT(TR!K335),"",TR!K335)</f>
        <v/>
      </c>
      <c r="B335" s="32" t="str">
        <f>TR!A335</f>
        <v>TR-DSRSW-1627</v>
      </c>
      <c r="C335" s="31" t="b">
        <f>ISERROR(FIND("-",TR!B335))</f>
        <v>1</v>
      </c>
      <c r="D335" s="31">
        <f>SetIndent(E335,(TR!C335-1)*2)</f>
        <v>0</v>
      </c>
      <c r="E335" s="33" t="str">
        <f>IF(ISERROR(FIND("-",TR!B335)),TR!B335&amp;" "&amp;TR!D335,TR!D335)</f>
        <v>15 Time</v>
      </c>
      <c r="F335" s="31" t="str">
        <f>TR!E335</f>
        <v>Hdr</v>
      </c>
      <c r="G335" s="31" t="str">
        <f>IF(ISERROR(FIND("Adara",TR!F335)),"","Adara ")</f>
        <v xml:space="preserve">Adara </v>
      </c>
      <c r="H335" s="31" t="str">
        <f>IF(ISERROR(FIND("Copernicus",TR!F335)),"","Copernicus ")</f>
        <v xml:space="preserve">Copernicus </v>
      </c>
      <c r="I335" s="31" t="str">
        <f>IF(ISERROR(FIND("Deneb",TR!F335)),"","Deneb ")</f>
        <v xml:space="preserve">Deneb </v>
      </c>
      <c r="J335" s="37" t="str">
        <f t="shared" si="5"/>
        <v xml:space="preserve">Adara Copernicus Deneb </v>
      </c>
      <c r="K335" s="31" t="str">
        <f>IF(ISBLANK(TR!G335),"",TR!G335)</f>
        <v/>
      </c>
      <c r="L335" s="31" t="str">
        <f>IF(ISBLANK(TR!H335),"",TR!H335)</f>
        <v>FR-DSRSW-1376</v>
      </c>
      <c r="M335" s="30" t="str">
        <f>TR!J335</f>
        <v>Approved</v>
      </c>
      <c r="N335" s="31" t="str">
        <f>IF(OR(M335="Modified",M335="Cosmetic"),VLOOKUP(B335,PrevPFS!B$1:E$833,4,FALSE),"")</f>
        <v/>
      </c>
    </row>
    <row r="336" spans="1:14" ht="45" x14ac:dyDescent="0.25">
      <c r="A336" s="31" t="str">
        <f>IF(ISNONTEXT(TR!K336),"",TR!K336)</f>
        <v/>
      </c>
      <c r="B336" s="32" t="str">
        <f>TR!A336</f>
        <v>TR-DSRSW-2499</v>
      </c>
      <c r="C336" s="31" t="b">
        <f>ISERROR(FIND("-",TR!B336))</f>
        <v>1</v>
      </c>
      <c r="D336" s="31">
        <f>SetIndent(E336,(TR!C336-1)*2)</f>
        <v>2</v>
      </c>
      <c r="E336" s="34" t="str">
        <f>IF(ISERROR(FIND("-",TR!B336)),TR!B336&amp;" "&amp;TR!D336,TR!D336)</f>
        <v>15.1 DCII System Time</v>
      </c>
      <c r="F336" s="31" t="str">
        <f>TR!E336</f>
        <v>Hdr</v>
      </c>
      <c r="G336" s="31" t="str">
        <f>IF(ISERROR(FIND("Adara",TR!F336)),"","Adara ")</f>
        <v xml:space="preserve">Adara </v>
      </c>
      <c r="H336" s="31" t="str">
        <f>IF(ISERROR(FIND("Copernicus",TR!F336)),"","Copernicus ")</f>
        <v xml:space="preserve">Copernicus </v>
      </c>
      <c r="I336" s="31" t="str">
        <f>IF(ISERROR(FIND("Deneb",TR!F336)),"","Deneb ")</f>
        <v xml:space="preserve">Deneb </v>
      </c>
      <c r="J336" s="37" t="str">
        <f t="shared" si="5"/>
        <v xml:space="preserve">Adara Copernicus Deneb </v>
      </c>
      <c r="K336" s="31" t="str">
        <f>IF(ISBLANK(TR!G336),"",TR!G336)</f>
        <v/>
      </c>
      <c r="L336" s="31" t="str">
        <f>IF(ISBLANK(TR!H336),"",TR!H336)</f>
        <v/>
      </c>
      <c r="M336" s="30" t="str">
        <f>TR!J336</f>
        <v>Approved</v>
      </c>
      <c r="N336" s="31" t="str">
        <f>IF(OR(M336="Modified",M336="Cosmetic"),VLOOKUP(B336,PrevPFS!B$1:E$833,4,FALSE),"")</f>
        <v/>
      </c>
    </row>
    <row r="337" spans="1:14" ht="45" x14ac:dyDescent="0.25">
      <c r="A337" s="31" t="str">
        <f>IF(ISNONTEXT(TR!K337),"",TR!K337)</f>
        <v/>
      </c>
      <c r="B337" s="32" t="str">
        <f>TR!A337</f>
        <v>TR-DSRSW-2500</v>
      </c>
      <c r="C337" s="31" t="b">
        <f>ISERROR(FIND("-",TR!B337))</f>
        <v>0</v>
      </c>
      <c r="D337" s="31">
        <f>SetIndent(E337,(TR!C337-1)*2)</f>
        <v>4</v>
      </c>
      <c r="E337" s="35" t="str">
        <f>IF(ISERROR(FIND("-",TR!B337)),TR!B337&amp;" "&amp;TR!D337,TR!D337)</f>
        <v>The product SHALL synchronize system time to GPS time, including the GPS_UTC_offset (in seconds), as given in the DCII System Time message.</v>
      </c>
      <c r="F337" s="31" t="str">
        <f>TR!E337</f>
        <v>Req</v>
      </c>
      <c r="G337" s="31" t="str">
        <f>IF(ISERROR(FIND("Adara",TR!F337)),"","Adara ")</f>
        <v xml:space="preserve">Adara </v>
      </c>
      <c r="H337" s="31" t="str">
        <f>IF(ISERROR(FIND("Copernicus",TR!F337)),"","Copernicus ")</f>
        <v xml:space="preserve">Copernicus </v>
      </c>
      <c r="I337" s="31" t="str">
        <f>IF(ISERROR(FIND("Deneb",TR!F337)),"","Deneb ")</f>
        <v xml:space="preserve">Deneb </v>
      </c>
      <c r="J337" s="37" t="str">
        <f t="shared" si="5"/>
        <v xml:space="preserve">Adara Copernicus Deneb </v>
      </c>
      <c r="K337" s="31" t="str">
        <f>IF(ISBLANK(TR!G337),"",TR!G337)</f>
        <v/>
      </c>
      <c r="L337" s="31" t="str">
        <f>IF(ISBLANK(TR!H337),"",TR!H337)</f>
        <v/>
      </c>
      <c r="M337" s="30" t="str">
        <f>TR!J337</f>
        <v>Approved</v>
      </c>
      <c r="N337" s="31" t="str">
        <f>IF(OR(M337="Modified",M337="Cosmetic"),VLOOKUP(B337,PrevPFS!B$1:E$833,4,FALSE),"")</f>
        <v/>
      </c>
    </row>
    <row r="338" spans="1:14" ht="75" x14ac:dyDescent="0.25">
      <c r="A338" s="31" t="str">
        <f>IF(ISNONTEXT(TR!K338),"",TR!K338)</f>
        <v/>
      </c>
      <c r="B338" s="32" t="str">
        <f>TR!A338</f>
        <v>TR-DSRSW-2501</v>
      </c>
      <c r="C338" s="31" t="b">
        <f>ISERROR(FIND("-",TR!B338))</f>
        <v>0</v>
      </c>
      <c r="D338" s="31">
        <f>SetIndent(E338,(TR!C338-1)*2)</f>
        <v>4</v>
      </c>
      <c r="E338" s="35" t="str">
        <f>IF(ISERROR(FIND("-",TR!B338)),TR!B338&amp;" "&amp;TR!D338,TR!D338)</f>
        <v>The product SHALL adjust local time by the time_zone offset (in minutes) given in the unit_information_message.   
(Note: 
The time zone is given in the DCII Unit Information message as the number of minutes between the product's local time and UTC time.)</v>
      </c>
      <c r="F338" s="31" t="str">
        <f>TR!E338</f>
        <v>Req</v>
      </c>
      <c r="G338" s="31" t="str">
        <f>IF(ISERROR(FIND("Adara",TR!F338)),"","Adara ")</f>
        <v xml:space="preserve">Adara </v>
      </c>
      <c r="H338" s="31" t="str">
        <f>IF(ISERROR(FIND("Copernicus",TR!F338)),"","Copernicus ")</f>
        <v xml:space="preserve">Copernicus </v>
      </c>
      <c r="I338" s="31" t="str">
        <f>IF(ISERROR(FIND("Deneb",TR!F338)),"","Deneb ")</f>
        <v xml:space="preserve">Deneb </v>
      </c>
      <c r="J338" s="37" t="str">
        <f t="shared" si="5"/>
        <v xml:space="preserve">Adara Copernicus Deneb </v>
      </c>
      <c r="K338" s="31" t="str">
        <f>IF(ISBLANK(TR!G338),"",TR!G338)</f>
        <v/>
      </c>
      <c r="L338" s="31" t="str">
        <f>IF(ISBLANK(TR!H338),"",TR!H338)</f>
        <v/>
      </c>
      <c r="M338" s="30" t="str">
        <f>TR!J338</f>
        <v>Approved</v>
      </c>
      <c r="N338" s="31" t="str">
        <f>IF(OR(M338="Modified",M338="Cosmetic"),VLOOKUP(B338,PrevPFS!B$1:E$833,4,FALSE),"")</f>
        <v/>
      </c>
    </row>
    <row r="339" spans="1:14" ht="225" x14ac:dyDescent="0.25">
      <c r="A339" s="31" t="str">
        <f>IF(ISNONTEXT(TR!K339),"",TR!K339)</f>
        <v/>
      </c>
      <c r="B339" s="32" t="str">
        <f>TR!A339</f>
        <v>TR-DSRSW-2503</v>
      </c>
      <c r="C339" s="31" t="b">
        <f>ISERROR(FIND("-",TR!B339))</f>
        <v>0</v>
      </c>
      <c r="D339" s="31">
        <f>SetIndent(E339,(TR!C339-1)*2)</f>
        <v>4</v>
      </c>
      <c r="E339" s="35" t="str">
        <f>IF(ISERROR(FIND("-",TR!B339)),TR!B339&amp;" "&amp;TR!D339,TR!D339)</f>
        <v>The product SHALL add one hour to local time when in daylight savings time as given in the unit_information_message
    daylight_savings_enable flag, 
    daylight_savings_entry_time, and 
    daylight_savings_exit_time.
(Note: 
The software engineer and system test engineer should be aware that there are six possible positions for current time with respect to UIM DST entry and exit times:
    current_time &lt; DST_Entry &lt; DST_Exit == standard_time
    DST_Entry &lt; current_time &lt; DST_Exit == daylight_savings_time
    DST_Entry &lt; DST_Exit &lt; current_time == standard_time
    current_time &lt; DST_Exit &lt; DST_Entry == daylight_savings_time 
    DST_Exit &lt; current_time &lt; DST_Entry == standard_time 
    DST_Exit &lt; DST_Entry &lt; current_time == daylight_savings_time 
)</v>
      </c>
      <c r="F339" s="31" t="str">
        <f>TR!E339</f>
        <v>Req</v>
      </c>
      <c r="G339" s="31" t="str">
        <f>IF(ISERROR(FIND("Adara",TR!F339)),"","Adara ")</f>
        <v xml:space="preserve">Adara </v>
      </c>
      <c r="H339" s="31" t="str">
        <f>IF(ISERROR(FIND("Copernicus",TR!F339)),"","Copernicus ")</f>
        <v xml:space="preserve">Copernicus </v>
      </c>
      <c r="I339" s="31" t="str">
        <f>IF(ISERROR(FIND("Deneb",TR!F339)),"","Deneb ")</f>
        <v xml:space="preserve">Deneb </v>
      </c>
      <c r="J339" s="37" t="str">
        <f t="shared" si="5"/>
        <v xml:space="preserve">Adara Copernicus Deneb </v>
      </c>
      <c r="K339" s="31" t="str">
        <f>IF(ISBLANK(TR!G339),"",TR!G339)</f>
        <v/>
      </c>
      <c r="L339" s="31" t="str">
        <f>IF(ISBLANK(TR!H339),"",TR!H339)</f>
        <v/>
      </c>
      <c r="M339" s="30" t="str">
        <f>TR!J339</f>
        <v>Approved</v>
      </c>
      <c r="N339" s="31" t="str">
        <f>IF(OR(M339="Modified",M339="Cosmetic"),VLOOKUP(B339,PrevPFS!B$1:E$833,4,FALSE),"")</f>
        <v/>
      </c>
    </row>
    <row r="340" spans="1:14" ht="45" x14ac:dyDescent="0.25">
      <c r="A340" s="31" t="str">
        <f>IF(ISNONTEXT(TR!K340),"",TR!K340)</f>
        <v>FR-NETDAT-1264</v>
      </c>
      <c r="B340" s="32" t="str">
        <f>TR!A340</f>
        <v>TR-DSRSW-1628</v>
      </c>
      <c r="C340" s="31" t="b">
        <f>ISERROR(FIND("-",TR!B340))</f>
        <v>1</v>
      </c>
      <c r="D340" s="31">
        <f>SetIndent(E340,(TR!C340-1)*2)</f>
        <v>2</v>
      </c>
      <c r="E340" s="34" t="str">
        <f>IF(ISERROR(FIND("-",TR!B340)),TR!B340&amp;" "&amp;TR!D340,TR!D340)</f>
        <v>15.2 Synchronization of System Time with NTP Time</v>
      </c>
      <c r="F340" s="31" t="str">
        <f>TR!E340</f>
        <v>Hdr</v>
      </c>
      <c r="G340" s="31" t="str">
        <f>IF(ISERROR(FIND("Adara",TR!F340)),"","Adara ")</f>
        <v xml:space="preserve">Adara </v>
      </c>
      <c r="H340" s="31" t="str">
        <f>IF(ISERROR(FIND("Copernicus",TR!F340)),"","Copernicus ")</f>
        <v xml:space="preserve">Copernicus </v>
      </c>
      <c r="I340" s="31" t="str">
        <f>IF(ISERROR(FIND("Deneb",TR!F340)),"","Deneb ")</f>
        <v xml:space="preserve">Deneb </v>
      </c>
      <c r="J340" s="37" t="str">
        <f t="shared" si="5"/>
        <v xml:space="preserve">Adara Copernicus Deneb </v>
      </c>
      <c r="K340" s="31" t="str">
        <f>IF(ISBLANK(TR!G340),"",TR!G340)</f>
        <v/>
      </c>
      <c r="L340" s="31" t="str">
        <f>IF(ISBLANK(TR!H340),"",TR!H340)</f>
        <v>FR-DSRSW-1377</v>
      </c>
      <c r="M340" s="30" t="str">
        <f>TR!J340</f>
        <v>Approved</v>
      </c>
      <c r="N340" s="31" t="str">
        <f>IF(OR(M340="Modified",M340="Cosmetic"),VLOOKUP(B340,PrevPFS!B$1:E$833,4,FALSE),"")</f>
        <v/>
      </c>
    </row>
    <row r="341" spans="1:14" ht="45" x14ac:dyDescent="0.25">
      <c r="A341" s="31" t="str">
        <f>IF(ISNONTEXT(TR!K341),"",TR!K341)</f>
        <v>TR-0-NTP-FPR-1003</v>
      </c>
      <c r="B341" s="32" t="str">
        <f>TR!A341</f>
        <v>TR-DSRSW-1629</v>
      </c>
      <c r="C341" s="31" t="b">
        <f>ISERROR(FIND("-",TR!B341))</f>
        <v>0</v>
      </c>
      <c r="D341" s="31">
        <f>SetIndent(E341,(TR!C341-1)*2)</f>
        <v>4</v>
      </c>
      <c r="E341" s="35" t="str">
        <f>IF(ISERROR(FIND("-",TR!B341)),TR!B341&amp;" "&amp;TR!D341,TR!D341)</f>
        <v>The product SHALL provide an API that allows the application to request that the product synchronize system time to an application-specified NTP time server.</v>
      </c>
      <c r="F341" s="31" t="str">
        <f>TR!E341</f>
        <v>Req</v>
      </c>
      <c r="G341" s="31" t="str">
        <f>IF(ISERROR(FIND("Adara",TR!F341)),"","Adara ")</f>
        <v xml:space="preserve">Adara </v>
      </c>
      <c r="H341" s="31" t="str">
        <f>IF(ISERROR(FIND("Copernicus",TR!F341)),"","Copernicus ")</f>
        <v xml:space="preserve">Copernicus </v>
      </c>
      <c r="I341" s="31" t="str">
        <f>IF(ISERROR(FIND("Deneb",TR!F341)),"","Deneb ")</f>
        <v xml:space="preserve">Deneb </v>
      </c>
      <c r="J341" s="37" t="str">
        <f t="shared" si="5"/>
        <v xml:space="preserve">Adara Copernicus Deneb </v>
      </c>
      <c r="K341" s="31" t="str">
        <f>IF(ISBLANK(TR!G341),"",TR!G341)</f>
        <v/>
      </c>
      <c r="L341" s="31" t="str">
        <f>IF(ISBLANK(TR!H341),"",TR!H341)</f>
        <v>FR-DSRSW-1377</v>
      </c>
      <c r="M341" s="30" t="str">
        <f>TR!J341</f>
        <v>Approved</v>
      </c>
      <c r="N341" s="31" t="str">
        <f>IF(OR(M341="Modified",M341="Cosmetic"),VLOOKUP(B341,PrevPFS!B$1:E$833,4,FALSE),"")</f>
        <v/>
      </c>
    </row>
    <row r="342" spans="1:14" ht="45" x14ac:dyDescent="0.25">
      <c r="A342" s="31" t="str">
        <f>IF(ISNONTEXT(TR!K342),"",TR!K342)</f>
        <v>TR-0-NTP-FPR-1004</v>
      </c>
      <c r="B342" s="32" t="str">
        <f>TR!A342</f>
        <v>TR-DSRSW-1630</v>
      </c>
      <c r="C342" s="31" t="b">
        <f>ISERROR(FIND("-",TR!B342))</f>
        <v>0</v>
      </c>
      <c r="D342" s="31">
        <f>SetIndent(E342,(TR!C342-1)*2)</f>
        <v>4</v>
      </c>
      <c r="E342" s="35" t="str">
        <f>IF(ISERROR(FIND("-",TR!B342)),TR!B342&amp;" "&amp;TR!D342,TR!D342)</f>
        <v>The product SHALL, when requested by NTP time synchronization request, read the NTP time from the specified NTP time server.</v>
      </c>
      <c r="F342" s="31" t="str">
        <f>TR!E342</f>
        <v>Req</v>
      </c>
      <c r="G342" s="31" t="str">
        <f>IF(ISERROR(FIND("Adara",TR!F342)),"","Adara ")</f>
        <v xml:space="preserve">Adara </v>
      </c>
      <c r="H342" s="31" t="str">
        <f>IF(ISERROR(FIND("Copernicus",TR!F342)),"","Copernicus ")</f>
        <v xml:space="preserve">Copernicus </v>
      </c>
      <c r="I342" s="31" t="str">
        <f>IF(ISERROR(FIND("Deneb",TR!F342)),"","Deneb ")</f>
        <v xml:space="preserve">Deneb </v>
      </c>
      <c r="J342" s="37" t="str">
        <f t="shared" si="5"/>
        <v xml:space="preserve">Adara Copernicus Deneb </v>
      </c>
      <c r="K342" s="31" t="str">
        <f>IF(ISBLANK(TR!G342),"",TR!G342)</f>
        <v/>
      </c>
      <c r="L342" s="31" t="str">
        <f>IF(ISBLANK(TR!H342),"",TR!H342)</f>
        <v>FR-DSRSW-1377</v>
      </c>
      <c r="M342" s="30" t="str">
        <f>TR!J342</f>
        <v>Approved</v>
      </c>
      <c r="N342" s="31" t="str">
        <f>IF(OR(M342="Modified",M342="Cosmetic"),VLOOKUP(B342,PrevPFS!B$1:E$833,4,FALSE),"")</f>
        <v/>
      </c>
    </row>
    <row r="343" spans="1:14" ht="45" x14ac:dyDescent="0.25">
      <c r="A343" s="31" t="str">
        <f>IF(ISNONTEXT(TR!K343),"",TR!K343)</f>
        <v>TR-0-NTP-FPR-1005</v>
      </c>
      <c r="B343" s="32" t="str">
        <f>TR!A343</f>
        <v>TR-DSRSW-1631</v>
      </c>
      <c r="C343" s="31" t="b">
        <f>ISERROR(FIND("-",TR!B343))</f>
        <v>0</v>
      </c>
      <c r="D343" s="31">
        <f>SetIndent(E343,(TR!C343-1)*2)</f>
        <v>4</v>
      </c>
      <c r="E343" s="35" t="str">
        <f>IF(ISERROR(FIND("-",TR!B343)),TR!B343&amp;" "&amp;TR!D343,TR!D343)</f>
        <v>The product SHALL synchronize system time to NTP time when a valid response is received from the specified NTP time server, in response to an NTP time request.</v>
      </c>
      <c r="F343" s="31" t="str">
        <f>TR!E343</f>
        <v>Req</v>
      </c>
      <c r="G343" s="31" t="str">
        <f>IF(ISERROR(FIND("Adara",TR!F343)),"","Adara ")</f>
        <v xml:space="preserve">Adara </v>
      </c>
      <c r="H343" s="31" t="str">
        <f>IF(ISERROR(FIND("Copernicus",TR!F343)),"","Copernicus ")</f>
        <v xml:space="preserve">Copernicus </v>
      </c>
      <c r="I343" s="31" t="str">
        <f>IF(ISERROR(FIND("Deneb",TR!F343)),"","Deneb ")</f>
        <v xml:space="preserve">Deneb </v>
      </c>
      <c r="J343" s="37" t="str">
        <f t="shared" si="5"/>
        <v xml:space="preserve">Adara Copernicus Deneb </v>
      </c>
      <c r="K343" s="31" t="str">
        <f>IF(ISBLANK(TR!G343),"",TR!G343)</f>
        <v/>
      </c>
      <c r="L343" s="31" t="str">
        <f>IF(ISBLANK(TR!H343),"",TR!H343)</f>
        <v>FR-DSRSW-1377</v>
      </c>
      <c r="M343" s="30" t="str">
        <f>TR!J343</f>
        <v>Approved</v>
      </c>
      <c r="N343" s="31" t="str">
        <f>IF(OR(M343="Modified",M343="Cosmetic"),VLOOKUP(B343,PrevPFS!B$1:E$833,4,FALSE),"")</f>
        <v/>
      </c>
    </row>
    <row r="344" spans="1:14" ht="45" x14ac:dyDescent="0.25">
      <c r="A344" s="31" t="str">
        <f>IF(ISNONTEXT(TR!K344),"",TR!K344)</f>
        <v/>
      </c>
      <c r="B344" s="32" t="str">
        <f>TR!A344</f>
        <v>TR-DSRSW-2182</v>
      </c>
      <c r="C344" s="31" t="b">
        <f>ISERROR(FIND("-",TR!B344))</f>
        <v>1</v>
      </c>
      <c r="D344" s="31">
        <f>SetIndent(E344,(TR!C344-1)*2)</f>
        <v>0</v>
      </c>
      <c r="E344" s="33" t="str">
        <f>IF(ISERROR(FIND("-",TR!B344)),TR!B344&amp;" "&amp;TR!D344,TR!D344)</f>
        <v>16 IP VOD HLS Streaming</v>
      </c>
      <c r="F344" s="31" t="str">
        <f>TR!E344</f>
        <v>Hdr</v>
      </c>
      <c r="G344" s="31" t="str">
        <f>IF(ISERROR(FIND("Adara",TR!F344)),"","Adara ")</f>
        <v xml:space="preserve">Adara </v>
      </c>
      <c r="H344" s="31" t="str">
        <f>IF(ISERROR(FIND("Copernicus",TR!F344)),"","Copernicus ")</f>
        <v xml:space="preserve">Copernicus </v>
      </c>
      <c r="I344" s="31" t="str">
        <f>IF(ISERROR(FIND("Deneb",TR!F344)),"","Deneb ")</f>
        <v xml:space="preserve">Deneb </v>
      </c>
      <c r="J344" s="37" t="str">
        <f t="shared" si="5"/>
        <v xml:space="preserve">Adara Copernicus Deneb </v>
      </c>
      <c r="K344" s="31" t="str">
        <f>IF(ISBLANK(TR!G344),"",TR!G344)</f>
        <v/>
      </c>
      <c r="L344" s="31" t="str">
        <f>IF(ISBLANK(TR!H344),"",TR!H344)</f>
        <v>FR-DSRSW-1488</v>
      </c>
      <c r="M344" s="30" t="str">
        <f>TR!J344</f>
        <v>Approved</v>
      </c>
      <c r="N344" s="31" t="str">
        <f>IF(OR(M344="Modified",M344="Cosmetic"),VLOOKUP(B344,PrevPFS!B$1:E$833,4,FALSE),"")</f>
        <v/>
      </c>
    </row>
    <row r="345" spans="1:14" ht="45" x14ac:dyDescent="0.25">
      <c r="A345" s="31" t="str">
        <f>IF(ISNONTEXT(TR!K345),"",TR!K345)</f>
        <v/>
      </c>
      <c r="B345" s="32" t="str">
        <f>TR!A345</f>
        <v>TR-DSRSW-2184</v>
      </c>
      <c r="C345" s="31" t="b">
        <f>ISERROR(FIND("-",TR!B345))</f>
        <v>1</v>
      </c>
      <c r="D345" s="31">
        <f>SetIndent(E345,(TR!C345-1)*2)</f>
        <v>2</v>
      </c>
      <c r="E345" s="34" t="str">
        <f>IF(ISERROR(FIND("-",TR!B345)),TR!B345&amp;" "&amp;TR!D345,TR!D345)</f>
        <v>16.1 General</v>
      </c>
      <c r="F345" s="31" t="str">
        <f>TR!E345</f>
        <v>Hdr</v>
      </c>
      <c r="G345" s="31" t="str">
        <f>IF(ISERROR(FIND("Adara",TR!F345)),"","Adara ")</f>
        <v xml:space="preserve">Adara </v>
      </c>
      <c r="H345" s="31" t="str">
        <f>IF(ISERROR(FIND("Copernicus",TR!F345)),"","Copernicus ")</f>
        <v xml:space="preserve">Copernicus </v>
      </c>
      <c r="I345" s="31" t="str">
        <f>IF(ISERROR(FIND("Deneb",TR!F345)),"","Deneb ")</f>
        <v xml:space="preserve">Deneb </v>
      </c>
      <c r="J345" s="37" t="str">
        <f t="shared" si="5"/>
        <v xml:space="preserve">Adara Copernicus Deneb </v>
      </c>
      <c r="K345" s="31" t="str">
        <f>IF(ISBLANK(TR!G345),"",TR!G345)</f>
        <v/>
      </c>
      <c r="L345" s="31" t="str">
        <f>IF(ISBLANK(TR!H345),"",TR!H345)</f>
        <v>FR-DSRSW-1461</v>
      </c>
      <c r="M345" s="30" t="str">
        <f>TR!J345</f>
        <v>Approved</v>
      </c>
      <c r="N345" s="31" t="str">
        <f>IF(OR(M345="Modified",M345="Cosmetic"),VLOOKUP(B345,PrevPFS!B$1:E$833,4,FALSE),"")</f>
        <v/>
      </c>
    </row>
    <row r="346" spans="1:14" ht="45" x14ac:dyDescent="0.25">
      <c r="A346" s="31" t="str">
        <f>IF(ISNONTEXT(TR!K346),"",TR!K346)</f>
        <v>FR-NETDAT-1254</v>
      </c>
      <c r="B346" s="32" t="str">
        <f>TR!A346</f>
        <v>TR-DSRSW-1633</v>
      </c>
      <c r="C346" s="31" t="b">
        <f>ISERROR(FIND("-",TR!B346))</f>
        <v>0</v>
      </c>
      <c r="D346" s="31">
        <f>SetIndent(E346,(TR!C346-1)*2)</f>
        <v>4</v>
      </c>
      <c r="E346" s="35" t="str">
        <f>IF(ISERROR(FIND("-",TR!B346)),TR!B346&amp;" "&amp;TR!D346,TR!D346)</f>
        <v>The product SHALL support an IP VOD HLS streaming application.</v>
      </c>
      <c r="F346" s="31" t="str">
        <f>TR!E346</f>
        <v>Req</v>
      </c>
      <c r="G346" s="31" t="str">
        <f>IF(ISERROR(FIND("Adara",TR!F346)),"","Adara ")</f>
        <v xml:space="preserve">Adara </v>
      </c>
      <c r="H346" s="31" t="str">
        <f>IF(ISERROR(FIND("Copernicus",TR!F346)),"","Copernicus ")</f>
        <v xml:space="preserve">Copernicus </v>
      </c>
      <c r="I346" s="31" t="str">
        <f>IF(ISERROR(FIND("Deneb",TR!F346)),"","Deneb ")</f>
        <v xml:space="preserve">Deneb </v>
      </c>
      <c r="J346" s="37" t="str">
        <f t="shared" si="5"/>
        <v xml:space="preserve">Adara Copernicus Deneb </v>
      </c>
      <c r="K346" s="31" t="str">
        <f>IF(ISBLANK(TR!G346),"",TR!G346)</f>
        <v/>
      </c>
      <c r="L346" s="31" t="str">
        <f>IF(ISBLANK(TR!H346),"",TR!H346)</f>
        <v>FR-DSRSW-1461</v>
      </c>
      <c r="M346" s="30" t="str">
        <f>TR!J346</f>
        <v>Approved</v>
      </c>
      <c r="N346" s="31" t="str">
        <f>IF(OR(M346="Modified",M346="Cosmetic"),VLOOKUP(B346,PrevPFS!B$1:E$833,4,FALSE),"")</f>
        <v/>
      </c>
    </row>
    <row r="347" spans="1:14" ht="45" x14ac:dyDescent="0.25">
      <c r="A347" s="31" t="str">
        <f>IF(ISNONTEXT(TR!K347),"",TR!K347)</f>
        <v>TR-0-IPSTREAM-FPR-1009</v>
      </c>
      <c r="B347" s="32" t="str">
        <f>TR!A347</f>
        <v>TR-DSRSW-1634</v>
      </c>
      <c r="C347" s="31" t="b">
        <f>ISERROR(FIND("-",TR!B347))</f>
        <v>0</v>
      </c>
      <c r="D347" s="31">
        <f>SetIndent(E347,(TR!C347-1)*2)</f>
        <v>4</v>
      </c>
      <c r="E347" s="35" t="str">
        <f>IF(ISERROR(FIND("-",TR!B347)),TR!B347&amp;" "&amp;TR!D347,TR!D347)</f>
        <v>The product SHALL support variable length chunks in duration.</v>
      </c>
      <c r="F347" s="31" t="str">
        <f>TR!E347</f>
        <v>Req</v>
      </c>
      <c r="G347" s="31" t="str">
        <f>IF(ISERROR(FIND("Adara",TR!F347)),"","Adara ")</f>
        <v xml:space="preserve">Adara </v>
      </c>
      <c r="H347" s="31" t="str">
        <f>IF(ISERROR(FIND("Copernicus",TR!F347)),"","Copernicus ")</f>
        <v xml:space="preserve">Copernicus </v>
      </c>
      <c r="I347" s="31" t="str">
        <f>IF(ISERROR(FIND("Deneb",TR!F347)),"","Deneb ")</f>
        <v xml:space="preserve">Deneb </v>
      </c>
      <c r="J347" s="37" t="str">
        <f t="shared" si="5"/>
        <v xml:space="preserve">Adara Copernicus Deneb </v>
      </c>
      <c r="K347" s="31" t="str">
        <f>IF(ISBLANK(TR!G347),"",TR!G347)</f>
        <v/>
      </c>
      <c r="L347" s="31" t="str">
        <f>IF(ISBLANK(TR!H347),"",TR!H347)</f>
        <v>FR-DSRSW-1461</v>
      </c>
      <c r="M347" s="30" t="str">
        <f>TR!J347</f>
        <v>Approved</v>
      </c>
      <c r="N347" s="31" t="str">
        <f>IF(OR(M347="Modified",M347="Cosmetic"),VLOOKUP(B347,PrevPFS!B$1:E$833,4,FALSE),"")</f>
        <v/>
      </c>
    </row>
    <row r="348" spans="1:14" ht="45" x14ac:dyDescent="0.25">
      <c r="A348" s="31" t="str">
        <f>IF(ISNONTEXT(TR!K348),"",TR!K348)</f>
        <v/>
      </c>
      <c r="B348" s="32" t="str">
        <f>TR!A348</f>
        <v>TR-DSRSW-1635</v>
      </c>
      <c r="C348" s="31" t="b">
        <f>ISERROR(FIND("-",TR!B348))</f>
        <v>0</v>
      </c>
      <c r="D348" s="31">
        <f>SetIndent(E348,(TR!C348-1)*2)</f>
        <v>4</v>
      </c>
      <c r="E348" s="35" t="str">
        <f>IF(ISERROR(FIND("-",TR!B348)),TR!B348&amp;" "&amp;TR!D348,TR!D348)</f>
        <v>Note: The typical length of chunks is expected to be of the order of a second or a few seconds</v>
      </c>
      <c r="F348" s="31" t="str">
        <f>TR!E348</f>
        <v>Com</v>
      </c>
      <c r="G348" s="31" t="str">
        <f>IF(ISERROR(FIND("Adara",TR!F348)),"","Adara ")</f>
        <v xml:space="preserve">Adara </v>
      </c>
      <c r="H348" s="31" t="str">
        <f>IF(ISERROR(FIND("Copernicus",TR!F348)),"","Copernicus ")</f>
        <v xml:space="preserve">Copernicus </v>
      </c>
      <c r="I348" s="31" t="str">
        <f>IF(ISERROR(FIND("Deneb",TR!F348)),"","Deneb ")</f>
        <v xml:space="preserve">Deneb </v>
      </c>
      <c r="J348" s="37" t="str">
        <f t="shared" si="5"/>
        <v xml:space="preserve">Adara Copernicus Deneb </v>
      </c>
      <c r="K348" s="31" t="str">
        <f>IF(ISBLANK(TR!G348),"",TR!G348)</f>
        <v/>
      </c>
      <c r="L348" s="31" t="str">
        <f>IF(ISBLANK(TR!H348),"",TR!H348)</f>
        <v>FR-DSRSW-1461</v>
      </c>
      <c r="M348" s="30" t="str">
        <f>TR!J348</f>
        <v>Approved</v>
      </c>
      <c r="N348" s="31" t="str">
        <f>IF(OR(M348="Modified",M348="Cosmetic"),VLOOKUP(B348,PrevPFS!B$1:E$833,4,FALSE),"")</f>
        <v/>
      </c>
    </row>
    <row r="349" spans="1:14" ht="45" x14ac:dyDescent="0.25">
      <c r="A349" s="31" t="str">
        <f>IF(ISNONTEXT(TR!K349),"",TR!K349)</f>
        <v>TR-0-IPSTREAM-FPR-1015</v>
      </c>
      <c r="B349" s="32" t="str">
        <f>TR!A349</f>
        <v>TR-DSRSW-1636</v>
      </c>
      <c r="C349" s="31" t="b">
        <f>ISERROR(FIND("-",TR!B349))</f>
        <v>0</v>
      </c>
      <c r="D349" s="31">
        <f>SetIndent(E349,(TR!C349-1)*2)</f>
        <v>4</v>
      </c>
      <c r="E349" s="35" t="str">
        <f>IF(ISERROR(FIND("-",TR!B349)),TR!B349&amp;" "&amp;TR!D349,TR!D349)</f>
        <v>The product SHALL be resilient and support input media streams that are highly jittered or are missing PCRs, have sloppy adherence to MPEG buffer models, have stream discontinuities without the MPEG-defined discontinuity indicators.</v>
      </c>
      <c r="F349" s="31" t="str">
        <f>TR!E349</f>
        <v>Req</v>
      </c>
      <c r="G349" s="31" t="str">
        <f>IF(ISERROR(FIND("Adara",TR!F349)),"","Adara ")</f>
        <v xml:space="preserve">Adara </v>
      </c>
      <c r="H349" s="31" t="str">
        <f>IF(ISERROR(FIND("Copernicus",TR!F349)),"","Copernicus ")</f>
        <v xml:space="preserve">Copernicus </v>
      </c>
      <c r="I349" s="31" t="str">
        <f>IF(ISERROR(FIND("Deneb",TR!F349)),"","Deneb ")</f>
        <v xml:space="preserve">Deneb </v>
      </c>
      <c r="J349" s="37" t="str">
        <f t="shared" si="5"/>
        <v xml:space="preserve">Adara Copernicus Deneb </v>
      </c>
      <c r="K349" s="31" t="str">
        <f>IF(ISBLANK(TR!G349),"",TR!G349)</f>
        <v/>
      </c>
      <c r="L349" s="31" t="str">
        <f>IF(ISBLANK(TR!H349),"",TR!H349)</f>
        <v>FR-DSRSW-1461</v>
      </c>
      <c r="M349" s="30" t="str">
        <f>TR!J349</f>
        <v>Approved</v>
      </c>
      <c r="N349" s="31" t="str">
        <f>IF(OR(M349="Modified",M349="Cosmetic"),VLOOKUP(B349,PrevPFS!B$1:E$833,4,FALSE),"")</f>
        <v/>
      </c>
    </row>
    <row r="350" spans="1:14" ht="45" x14ac:dyDescent="0.25">
      <c r="A350" s="31" t="str">
        <f>IF(ISNONTEXT(TR!K350),"",TR!K350)</f>
        <v>TR-0-IPSTREAM-FPR-1201</v>
      </c>
      <c r="B350" s="32" t="str">
        <f>TR!A350</f>
        <v>TR-DSRSW-1637</v>
      </c>
      <c r="C350" s="31" t="b">
        <f>ISERROR(FIND("-",TR!B350))</f>
        <v>0</v>
      </c>
      <c r="D350" s="31">
        <f>SetIndent(E350,(TR!C350-1)*2)</f>
        <v>4</v>
      </c>
      <c r="E350" s="35" t="str">
        <f>IF(ISERROR(FIND("-",TR!B350)),TR!B350&amp;" "&amp;TR!D350,TR!D350)</f>
        <v>The product SHALL support streams with media files that may be encrypted.</v>
      </c>
      <c r="F350" s="31" t="str">
        <f>TR!E350</f>
        <v>Req</v>
      </c>
      <c r="G350" s="31" t="str">
        <f>IF(ISERROR(FIND("Adara",TR!F350)),"","Adara ")</f>
        <v xml:space="preserve">Adara </v>
      </c>
      <c r="H350" s="31" t="str">
        <f>IF(ISERROR(FIND("Copernicus",TR!F350)),"","Copernicus ")</f>
        <v xml:space="preserve">Copernicus </v>
      </c>
      <c r="I350" s="31" t="str">
        <f>IF(ISERROR(FIND("Deneb",TR!F350)),"","Deneb ")</f>
        <v xml:space="preserve">Deneb </v>
      </c>
      <c r="J350" s="37" t="str">
        <f t="shared" si="5"/>
        <v xml:space="preserve">Adara Copernicus Deneb </v>
      </c>
      <c r="K350" s="31" t="str">
        <f>IF(ISBLANK(TR!G350),"",TR!G350)</f>
        <v/>
      </c>
      <c r="L350" s="31" t="str">
        <f>IF(ISBLANK(TR!H350),"",TR!H350)</f>
        <v>FR-DSRSW-1461</v>
      </c>
      <c r="M350" s="30" t="str">
        <f>TR!J350</f>
        <v>Approved</v>
      </c>
      <c r="N350" s="31" t="str">
        <f>IF(OR(M350="Modified",M350="Cosmetic"),VLOOKUP(B350,PrevPFS!B$1:E$833,4,FALSE),"")</f>
        <v/>
      </c>
    </row>
    <row r="351" spans="1:14" ht="180" x14ac:dyDescent="0.25">
      <c r="A351" s="31" t="str">
        <f>IF(ISNONTEXT(TR!K351),"",TR!K351)</f>
        <v/>
      </c>
      <c r="B351" s="32" t="str">
        <f>TR!A351</f>
        <v>TR-DSRSW-1638</v>
      </c>
      <c r="C351" s="31" t="b">
        <f>ISERROR(FIND("-",TR!B351))</f>
        <v>0</v>
      </c>
      <c r="D351" s="31">
        <f>SetIndent(E351,(TR!C351-1)*2)</f>
        <v>4</v>
      </c>
      <c r="E351" s="35" t="str">
        <f>IF(ISERROR(FIND("-",TR!B351)),TR!B351&amp;" "&amp;TR!D351,TR!D351)</f>
        <v>Notes:
1. Media files could have the encryption method as NONE (unencrypted media files) or AES-128. Media files with Encryption method NONE denote unencrypted content, in which case, there is no notion of URI and Initialization vector attributes related to the key.
2. In case of media files with Encryption method of AES-128 encryption, the product needs to look at the URI attribute, which specifies how to obtain the key. If the Initialization vector is specified, the product needs to use the Initialization vector along with the key. The Initialization vector must be interpreted as a 128 bit hex number in such cases
3. If there is no initialization vector specified, the product needs to use the sequence number of the media file as the Initialization vector along with the key. This is as per the HLS spec and may not apply in case Secure Media is used with HLS.
4. In case of a stream that fully complies with HLS, the key occurs in EXT-X-KEY tag.</v>
      </c>
      <c r="F351" s="31" t="str">
        <f>TR!E351</f>
        <v>Com</v>
      </c>
      <c r="G351" s="31" t="str">
        <f>IF(ISERROR(FIND("Adara",TR!F351)),"","Adara ")</f>
        <v xml:space="preserve">Adara </v>
      </c>
      <c r="H351" s="31" t="str">
        <f>IF(ISERROR(FIND("Copernicus",TR!F351)),"","Copernicus ")</f>
        <v xml:space="preserve">Copernicus </v>
      </c>
      <c r="I351" s="31" t="str">
        <f>IF(ISERROR(FIND("Deneb",TR!F351)),"","Deneb ")</f>
        <v xml:space="preserve">Deneb </v>
      </c>
      <c r="J351" s="37" t="str">
        <f t="shared" si="5"/>
        <v xml:space="preserve">Adara Copernicus Deneb </v>
      </c>
      <c r="K351" s="31" t="str">
        <f>IF(ISBLANK(TR!G351),"",TR!G351)</f>
        <v/>
      </c>
      <c r="L351" s="31" t="str">
        <f>IF(ISBLANK(TR!H351),"",TR!H351)</f>
        <v>FR-DSRSW-1461</v>
      </c>
      <c r="M351" s="30" t="str">
        <f>TR!J351</f>
        <v>Approved</v>
      </c>
      <c r="N351" s="31" t="str">
        <f>IF(OR(M351="Modified",M351="Cosmetic"),VLOOKUP(B351,PrevPFS!B$1:E$833,4,FALSE),"")</f>
        <v/>
      </c>
    </row>
    <row r="352" spans="1:14" ht="45" x14ac:dyDescent="0.25">
      <c r="A352" s="31" t="str">
        <f>IF(ISNONTEXT(TR!K352),"",TR!K352)</f>
        <v>TR-0-IPSTREAM-FPR-1259</v>
      </c>
      <c r="B352" s="32" t="str">
        <f>TR!A352</f>
        <v>TR-DSRSW-1643</v>
      </c>
      <c r="C352" s="31" t="b">
        <f>ISERROR(FIND("-",TR!B352))</f>
        <v>0</v>
      </c>
      <c r="D352" s="31">
        <f>SetIndent(E352,(TR!C352-1)*2)</f>
        <v>4</v>
      </c>
      <c r="E352" s="35" t="str">
        <f>IF(ISERROR(FIND("-",TR!B352)),TR!B352&amp;" "&amp;TR!D352,TR!D352)</f>
        <v>The product SHALL support streaming HLS video content at up to 8 Mbits/sec.</v>
      </c>
      <c r="F352" s="31" t="str">
        <f>TR!E352</f>
        <v>Req</v>
      </c>
      <c r="G352" s="31" t="str">
        <f>IF(ISERROR(FIND("Adara",TR!F352)),"","Adara ")</f>
        <v xml:space="preserve">Adara </v>
      </c>
      <c r="H352" s="31" t="str">
        <f>IF(ISERROR(FIND("Copernicus",TR!F352)),"","Copernicus ")</f>
        <v xml:space="preserve">Copernicus </v>
      </c>
      <c r="I352" s="31" t="str">
        <f>IF(ISERROR(FIND("Deneb",TR!F352)),"","Deneb ")</f>
        <v xml:space="preserve">Deneb </v>
      </c>
      <c r="J352" s="37" t="str">
        <f t="shared" si="5"/>
        <v xml:space="preserve">Adara Copernicus Deneb </v>
      </c>
      <c r="K352" s="31" t="str">
        <f>IF(ISBLANK(TR!G352),"",TR!G352)</f>
        <v/>
      </c>
      <c r="L352" s="31" t="str">
        <f>IF(ISBLANK(TR!H352),"",TR!H352)</f>
        <v>FR-DSRSW-1461</v>
      </c>
      <c r="M352" s="30" t="str">
        <f>TR!J352</f>
        <v>Approved</v>
      </c>
      <c r="N352" s="31" t="str">
        <f>IF(OR(M352="Modified",M352="Cosmetic"),VLOOKUP(B352,PrevPFS!B$1:E$833,4,FALSE),"")</f>
        <v/>
      </c>
    </row>
    <row r="353" spans="1:14" ht="45" x14ac:dyDescent="0.25">
      <c r="A353" s="31" t="str">
        <f>IF(ISNONTEXT(TR!K353),"",TR!K353)</f>
        <v>TR-0-IPSTREAM-FPR-1260</v>
      </c>
      <c r="B353" s="32" t="str">
        <f>TR!A353</f>
        <v>TR-DSRSW-1644</v>
      </c>
      <c r="C353" s="31" t="b">
        <f>ISERROR(FIND("-",TR!B353))</f>
        <v>0</v>
      </c>
      <c r="D353" s="31">
        <f>SetIndent(E353,(TR!C353-1)*2)</f>
        <v>4</v>
      </c>
      <c r="E353" s="35" t="str">
        <f>IF(ISERROR(FIND("-",TR!B353)),TR!B353&amp;" "&amp;TR!D353,TR!D353)</f>
        <v>The product SHALL support streaming HLS audio content at up to 200 kbits/sec.</v>
      </c>
      <c r="F353" s="31" t="str">
        <f>TR!E353</f>
        <v>Req</v>
      </c>
      <c r="G353" s="31" t="str">
        <f>IF(ISERROR(FIND("Adara",TR!F353)),"","Adara ")</f>
        <v xml:space="preserve">Adara </v>
      </c>
      <c r="H353" s="31" t="str">
        <f>IF(ISERROR(FIND("Copernicus",TR!F353)),"","Copernicus ")</f>
        <v xml:space="preserve">Copernicus </v>
      </c>
      <c r="I353" s="31" t="str">
        <f>IF(ISERROR(FIND("Deneb",TR!F353)),"","Deneb ")</f>
        <v xml:space="preserve">Deneb </v>
      </c>
      <c r="J353" s="37" t="str">
        <f t="shared" si="5"/>
        <v xml:space="preserve">Adara Copernicus Deneb </v>
      </c>
      <c r="K353" s="31" t="str">
        <f>IF(ISBLANK(TR!G353),"",TR!G353)</f>
        <v/>
      </c>
      <c r="L353" s="31" t="str">
        <f>IF(ISBLANK(TR!H353),"",TR!H353)</f>
        <v>FR-DSRSW-1461</v>
      </c>
      <c r="M353" s="30" t="str">
        <f>TR!J353</f>
        <v>Approved</v>
      </c>
      <c r="N353" s="31" t="str">
        <f>IF(OR(M353="Modified",M353="Cosmetic"),VLOOKUP(B353,PrevPFS!B$1:E$833,4,FALSE),"")</f>
        <v/>
      </c>
    </row>
    <row r="354" spans="1:14" ht="45" x14ac:dyDescent="0.25">
      <c r="A354" s="31" t="str">
        <f>IF(ISNONTEXT(TR!K354),"",TR!K354)</f>
        <v>Buffer Related Requirements</v>
      </c>
      <c r="B354" s="32" t="str">
        <f>TR!A354</f>
        <v>TR-DSRSW-1645</v>
      </c>
      <c r="C354" s="31" t="b">
        <f>ISERROR(FIND("-",TR!B354))</f>
        <v>1</v>
      </c>
      <c r="D354" s="31">
        <f>SetIndent(E354,(TR!C354-1)*2)</f>
        <v>2</v>
      </c>
      <c r="E354" s="34" t="str">
        <f>IF(ISERROR(FIND("-",TR!B354)),TR!B354&amp;" "&amp;TR!D354,TR!D354)</f>
        <v>16.2 Buffer Related Requirements</v>
      </c>
      <c r="F354" s="31" t="str">
        <f>TR!E354</f>
        <v>Hdr</v>
      </c>
      <c r="G354" s="31" t="str">
        <f>IF(ISERROR(FIND("Adara",TR!F354)),"","Adara ")</f>
        <v xml:space="preserve">Adara </v>
      </c>
      <c r="H354" s="31" t="str">
        <f>IF(ISERROR(FIND("Copernicus",TR!F354)),"","Copernicus ")</f>
        <v xml:space="preserve">Copernicus </v>
      </c>
      <c r="I354" s="31" t="str">
        <f>IF(ISERROR(FIND("Deneb",TR!F354)),"","Deneb ")</f>
        <v xml:space="preserve">Deneb </v>
      </c>
      <c r="J354" s="37" t="str">
        <f t="shared" si="5"/>
        <v xml:space="preserve">Adara Copernicus Deneb </v>
      </c>
      <c r="K354" s="31" t="str">
        <f>IF(ISBLANK(TR!G354),"",TR!G354)</f>
        <v/>
      </c>
      <c r="L354" s="31" t="str">
        <f>IF(ISBLANK(TR!H354),"",TR!H354)</f>
        <v>FR-DSRSW-1461</v>
      </c>
      <c r="M354" s="30" t="str">
        <f>TR!J354</f>
        <v>Approved</v>
      </c>
      <c r="N354" s="31" t="str">
        <f>IF(OR(M354="Modified",M354="Cosmetic"),VLOOKUP(B354,PrevPFS!B$1:E$833,4,FALSE),"")</f>
        <v/>
      </c>
    </row>
    <row r="355" spans="1:14" ht="45" x14ac:dyDescent="0.25">
      <c r="A355" s="31" t="str">
        <f>IF(ISNONTEXT(TR!K355),"",TR!K355)</f>
        <v>TR-0-IPSTREAM-FPR-1251</v>
      </c>
      <c r="B355" s="32" t="str">
        <f>TR!A355</f>
        <v>TR-DSRSW-1646</v>
      </c>
      <c r="C355" s="31" t="b">
        <f>ISERROR(FIND("-",TR!B355))</f>
        <v>0</v>
      </c>
      <c r="D355" s="31">
        <f>SetIndent(E355,(TR!C355-1)*2)</f>
        <v>4</v>
      </c>
      <c r="E355" s="35" t="str">
        <f>IF(ISERROR(FIND("-",TR!B355)),TR!B355&amp;" "&amp;TR!D355,TR!D355)</f>
        <v>The product SHALL have two VOD input buffers dedicated for VOD service, with each buffer capable of supporting from 2 to 10 seconds of audio/video content for all supported service rates.</v>
      </c>
      <c r="F355" s="31" t="str">
        <f>TR!E355</f>
        <v>Req</v>
      </c>
      <c r="G355" s="31" t="str">
        <f>IF(ISERROR(FIND("Adara",TR!F355)),"","Adara ")</f>
        <v xml:space="preserve">Adara </v>
      </c>
      <c r="H355" s="31" t="str">
        <f>IF(ISERROR(FIND("Copernicus",TR!F355)),"","Copernicus ")</f>
        <v xml:space="preserve">Copernicus </v>
      </c>
      <c r="I355" s="31" t="str">
        <f>IF(ISERROR(FIND("Deneb",TR!F355)),"","Deneb ")</f>
        <v xml:space="preserve">Deneb </v>
      </c>
      <c r="J355" s="37" t="str">
        <f t="shared" si="5"/>
        <v xml:space="preserve">Adara Copernicus Deneb </v>
      </c>
      <c r="K355" s="31" t="str">
        <f>IF(ISBLANK(TR!G355),"",TR!G355)</f>
        <v/>
      </c>
      <c r="L355" s="31" t="str">
        <f>IF(ISBLANK(TR!H355),"",TR!H355)</f>
        <v>FR-DSRSW-1461</v>
      </c>
      <c r="M355" s="30" t="str">
        <f>TR!J355</f>
        <v>Approved</v>
      </c>
      <c r="N355" s="31" t="str">
        <f>IF(OR(M355="Modified",M355="Cosmetic"),VLOOKUP(B355,PrevPFS!B$1:E$833,4,FALSE),"")</f>
        <v/>
      </c>
    </row>
    <row r="356" spans="1:14" ht="45" x14ac:dyDescent="0.25">
      <c r="A356" s="31" t="str">
        <f>IF(ISNONTEXT(TR!K356),"",TR!K356)</f>
        <v>TR-0-IPSTREAM-FPR-1261</v>
      </c>
      <c r="B356" s="32" t="str">
        <f>TR!A356</f>
        <v>TR-DSRSW-1647</v>
      </c>
      <c r="C356" s="31" t="b">
        <f>ISERROR(FIND("-",TR!B356))</f>
        <v>0</v>
      </c>
      <c r="D356" s="31">
        <f>SetIndent(E356,(TR!C356-1)*2)</f>
        <v>4</v>
      </c>
      <c r="E356" s="35" t="str">
        <f>IF(ISERROR(FIND("-",TR!B356)),TR!B356&amp;" "&amp;TR!D356,TR!D356)</f>
        <v>The product SHALL dedicate up to 24 MB of memory total for the IP VOD buffers.</v>
      </c>
      <c r="F356" s="31" t="str">
        <f>TR!E356</f>
        <v>Req</v>
      </c>
      <c r="G356" s="31" t="str">
        <f>IF(ISERROR(FIND("Adara",TR!F356)),"","Adara ")</f>
        <v xml:space="preserve">Adara </v>
      </c>
      <c r="H356" s="31" t="str">
        <f>IF(ISERROR(FIND("Copernicus",TR!F356)),"","Copernicus ")</f>
        <v xml:space="preserve">Copernicus </v>
      </c>
      <c r="I356" s="31" t="str">
        <f>IF(ISERROR(FIND("Deneb",TR!F356)),"","Deneb ")</f>
        <v xml:space="preserve">Deneb </v>
      </c>
      <c r="J356" s="37" t="str">
        <f t="shared" si="5"/>
        <v xml:space="preserve">Adara Copernicus Deneb </v>
      </c>
      <c r="K356" s="31" t="str">
        <f>IF(ISBLANK(TR!G356),"",TR!G356)</f>
        <v/>
      </c>
      <c r="L356" s="31" t="str">
        <f>IF(ISBLANK(TR!H356),"",TR!H356)</f>
        <v>FR-DSRSW-1461</v>
      </c>
      <c r="M356" s="30" t="str">
        <f>TR!J356</f>
        <v>Approved</v>
      </c>
      <c r="N356" s="31" t="str">
        <f>IF(OR(M356="Modified",M356="Cosmetic"),VLOOKUP(B356,PrevPFS!B$1:E$833,4,FALSE),"")</f>
        <v/>
      </c>
    </row>
    <row r="357" spans="1:14" ht="75" x14ac:dyDescent="0.25">
      <c r="A357" s="31" t="str">
        <f>IF(ISNONTEXT(TR!K357),"",TR!K357)</f>
        <v/>
      </c>
      <c r="B357" s="32" t="str">
        <f>TR!A357</f>
        <v>TR-DSRSW-1648</v>
      </c>
      <c r="C357" s="31" t="b">
        <f>ISERROR(FIND("-",TR!B357))</f>
        <v>0</v>
      </c>
      <c r="D357" s="31">
        <f>SetIndent(E357,(TR!C357-1)*2)</f>
        <v>4</v>
      </c>
      <c r="E357" s="35" t="str">
        <f>IF(ISERROR(FIND("-",TR!B357)),TR!B357&amp;" "&amp;TR!D357,TR!D357)</f>
        <v>(Note: Shaw wants up to 20 seconds of cache in addition to the live  2 second buffer. That's 22 seconds total, plus 2 MB for decryption RAM.
  8 Mbit/sec / 8bits  =  1 MByte per second of VOD.
  22 seconds of VOD requires 22 MB of RAM.
  Add the 2 MB decryption buffer for a total 24 MBytes of RAM.)</v>
      </c>
      <c r="F357" s="31" t="str">
        <f>TR!E357</f>
        <v>Com</v>
      </c>
      <c r="G357" s="31" t="str">
        <f>IF(ISERROR(FIND("Adara",TR!F357)),"","Adara ")</f>
        <v xml:space="preserve">Adara </v>
      </c>
      <c r="H357" s="31" t="str">
        <f>IF(ISERROR(FIND("Copernicus",TR!F357)),"","Copernicus ")</f>
        <v xml:space="preserve">Copernicus </v>
      </c>
      <c r="I357" s="31" t="str">
        <f>IF(ISERROR(FIND("Deneb",TR!F357)),"","Deneb ")</f>
        <v xml:space="preserve">Deneb </v>
      </c>
      <c r="J357" s="37" t="str">
        <f t="shared" si="5"/>
        <v xml:space="preserve">Adara Copernicus Deneb </v>
      </c>
      <c r="K357" s="31" t="str">
        <f>IF(ISBLANK(TR!G357),"",TR!G357)</f>
        <v/>
      </c>
      <c r="L357" s="31" t="str">
        <f>IF(ISBLANK(TR!H357),"",TR!H357)</f>
        <v>FR-DSRSW-1461</v>
      </c>
      <c r="M357" s="30" t="str">
        <f>TR!J357</f>
        <v>Approved</v>
      </c>
      <c r="N357" s="31" t="str">
        <f>IF(OR(M357="Modified",M357="Cosmetic"),VLOOKUP(B357,PrevPFS!B$1:E$833,4,FALSE),"")</f>
        <v/>
      </c>
    </row>
    <row r="358" spans="1:14" ht="45" x14ac:dyDescent="0.25">
      <c r="A358" s="31" t="str">
        <f>IF(ISNONTEXT(TR!K358),"",TR!K358)</f>
        <v/>
      </c>
      <c r="B358" s="32" t="str">
        <f>TR!A358</f>
        <v>TR-DSRSW-2183</v>
      </c>
      <c r="C358" s="31" t="b">
        <f>ISERROR(FIND("-",TR!B358))</f>
        <v>1</v>
      </c>
      <c r="D358" s="31">
        <f>SetIndent(E358,(TR!C358-1)*2)</f>
        <v>2</v>
      </c>
      <c r="E358" s="34" t="str">
        <f>IF(ISERROR(FIND("-",TR!B358)),TR!B358&amp;" "&amp;TR!D358,TR!D358)</f>
        <v>16.3 Variant Playlists</v>
      </c>
      <c r="F358" s="31" t="str">
        <f>TR!E358</f>
        <v>Hdr</v>
      </c>
      <c r="G358" s="31" t="str">
        <f>IF(ISERROR(FIND("Adara",TR!F358)),"","Adara ")</f>
        <v xml:space="preserve">Adara </v>
      </c>
      <c r="H358" s="31" t="str">
        <f>IF(ISERROR(FIND("Copernicus",TR!F358)),"","Copernicus ")</f>
        <v xml:space="preserve">Copernicus </v>
      </c>
      <c r="I358" s="31" t="str">
        <f>IF(ISERROR(FIND("Deneb",TR!F358)),"","Deneb ")</f>
        <v xml:space="preserve">Deneb </v>
      </c>
      <c r="J358" s="37" t="str">
        <f t="shared" si="5"/>
        <v xml:space="preserve">Adara Copernicus Deneb </v>
      </c>
      <c r="K358" s="31" t="str">
        <f>IF(ISBLANK(TR!G358),"",TR!G358)</f>
        <v/>
      </c>
      <c r="L358" s="31" t="str">
        <f>IF(ISBLANK(TR!H358),"",TR!H358)</f>
        <v>FR-DSRSW-1461</v>
      </c>
      <c r="M358" s="30" t="str">
        <f>TR!J358</f>
        <v>Approved</v>
      </c>
      <c r="N358" s="31" t="str">
        <f>IF(OR(M358="Modified",M358="Cosmetic"),VLOOKUP(B358,PrevPFS!B$1:E$833,4,FALSE),"")</f>
        <v/>
      </c>
    </row>
    <row r="359" spans="1:14" ht="60" x14ac:dyDescent="0.25">
      <c r="A359" s="31" t="str">
        <f>IF(ISNONTEXT(TR!K359),"",TR!K359)</f>
        <v/>
      </c>
      <c r="B359" s="32" t="str">
        <f>TR!A359</f>
        <v>TR-DSRSW-2489</v>
      </c>
      <c r="C359" s="31" t="b">
        <f>ISERROR(FIND("-",TR!B359))</f>
        <v>0</v>
      </c>
      <c r="D359" s="31">
        <f>SetIndent(E359,(TR!C359-1)*2)</f>
        <v>4</v>
      </c>
      <c r="E359" s="35" t="str">
        <f>IF(ISERROR(FIND("-",TR!B359)),TR!B359&amp;" "&amp;TR!D359,TR!D359)</f>
        <v>(Context: Variant Playlists - A server may offer multiple Playlist files to provide different encodings of the same presentation.  In such a case, a variant Playlist file that lists each variant stream to allow the client (product) to switch between encodings dynamically, is offered.)</v>
      </c>
      <c r="F359" s="31" t="str">
        <f>TR!E359</f>
        <v>Com</v>
      </c>
      <c r="G359" s="31" t="str">
        <f>IF(ISERROR(FIND("Adara",TR!F359)),"","Adara ")</f>
        <v xml:space="preserve">Adara </v>
      </c>
      <c r="H359" s="31" t="str">
        <f>IF(ISERROR(FIND("Copernicus",TR!F359)),"","Copernicus ")</f>
        <v xml:space="preserve">Copernicus </v>
      </c>
      <c r="I359" s="31" t="str">
        <f>IF(ISERROR(FIND("Deneb",TR!F359)),"","Deneb ")</f>
        <v xml:space="preserve">Deneb </v>
      </c>
      <c r="J359" s="37" t="str">
        <f t="shared" si="5"/>
        <v xml:space="preserve">Adara Copernicus Deneb </v>
      </c>
      <c r="K359" s="31" t="str">
        <f>IF(ISBLANK(TR!G359),"",TR!G359)</f>
        <v/>
      </c>
      <c r="L359" s="31" t="str">
        <f>IF(ISBLANK(TR!H359),"",TR!H359)</f>
        <v/>
      </c>
      <c r="M359" s="30" t="str">
        <f>TR!J359</f>
        <v>Approved</v>
      </c>
      <c r="N359" s="31" t="str">
        <f>IF(OR(M359="Modified",M359="Cosmetic"),VLOOKUP(B359,PrevPFS!B$1:E$833,4,FALSE),"")</f>
        <v/>
      </c>
    </row>
    <row r="360" spans="1:14" ht="45" x14ac:dyDescent="0.25">
      <c r="A360" s="31" t="str">
        <f>IF(ISNONTEXT(TR!K360),"",TR!K360)</f>
        <v>TR-0-IPSTREAM-FPR-1037</v>
      </c>
      <c r="B360" s="32" t="str">
        <f>TR!A360</f>
        <v>TR-DSRSW-1653</v>
      </c>
      <c r="C360" s="31" t="b">
        <f>ISERROR(FIND("-",TR!B360))</f>
        <v>0</v>
      </c>
      <c r="D360" s="31">
        <f>SetIndent(E360,(TR!C360-1)*2)</f>
        <v>4</v>
      </c>
      <c r="E360" s="35" t="str">
        <f>IF(ISERROR(FIND("-",TR!B360)),TR!B360&amp;" "&amp;TR!D360,TR!D360)</f>
        <v xml:space="preserve">The product SHALL transition between various resolutions without visible artifacts. (NOTE: Shaw implements this requirement.  This requirement is for test plan linkage)
</v>
      </c>
      <c r="F360" s="31" t="str">
        <f>TR!E360</f>
        <v>Req</v>
      </c>
      <c r="G360" s="31" t="str">
        <f>IF(ISERROR(FIND("Adara",TR!F360)),"","Adara ")</f>
        <v xml:space="preserve">Adara </v>
      </c>
      <c r="H360" s="31" t="str">
        <f>IF(ISERROR(FIND("Copernicus",TR!F360)),"","Copernicus ")</f>
        <v xml:space="preserve">Copernicus </v>
      </c>
      <c r="I360" s="31" t="str">
        <f>IF(ISERROR(FIND("Deneb",TR!F360)),"","Deneb ")</f>
        <v xml:space="preserve">Deneb </v>
      </c>
      <c r="J360" s="37" t="str">
        <f t="shared" si="5"/>
        <v xml:space="preserve">Adara Copernicus Deneb </v>
      </c>
      <c r="K360" s="31" t="str">
        <f>IF(ISBLANK(TR!G360),"",TR!G360)</f>
        <v/>
      </c>
      <c r="L360" s="31" t="str">
        <f>IF(ISBLANK(TR!H360),"",TR!H360)</f>
        <v>FR-DSRSW-1461</v>
      </c>
      <c r="M360" s="30" t="str">
        <f>TR!J360</f>
        <v>Approved</v>
      </c>
      <c r="N360" s="31" t="str">
        <f>IF(OR(M360="Modified",M360="Cosmetic"),VLOOKUP(B360,PrevPFS!B$1:E$833,4,FALSE),"")</f>
        <v/>
      </c>
    </row>
    <row r="361" spans="1:14" ht="45" x14ac:dyDescent="0.25">
      <c r="A361" s="31" t="str">
        <f>IF(ISNONTEXT(TR!K361),"",TR!K361)</f>
        <v>TR-0-IPSTREAM-FPR-1038</v>
      </c>
      <c r="B361" s="32" t="str">
        <f>TR!A361</f>
        <v>TR-DSRSW-1654</v>
      </c>
      <c r="C361" s="31" t="b">
        <f>ISERROR(FIND("-",TR!B361))</f>
        <v>0</v>
      </c>
      <c r="D361" s="31">
        <f>SetIndent(E361,(TR!C361-1)*2)</f>
        <v>4</v>
      </c>
      <c r="E361" s="35" t="str">
        <f>IF(ISERROR(FIND("-",TR!B361)),TR!B361&amp;" "&amp;TR!D361,TR!D361)</f>
        <v>The product SHALL scale the received stream to the maximum resolution of the device when rendering content in full screen mode. (NOTE: Shaw implements this requirement.  This requirement is for test plan linkage)</v>
      </c>
      <c r="F361" s="31" t="str">
        <f>TR!E361</f>
        <v>Req</v>
      </c>
      <c r="G361" s="31" t="str">
        <f>IF(ISERROR(FIND("Adara",TR!F361)),"","Adara ")</f>
        <v xml:space="preserve">Adara </v>
      </c>
      <c r="H361" s="31" t="str">
        <f>IF(ISERROR(FIND("Copernicus",TR!F361)),"","Copernicus ")</f>
        <v xml:space="preserve">Copernicus </v>
      </c>
      <c r="I361" s="31" t="str">
        <f>IF(ISERROR(FIND("Deneb",TR!F361)),"","Deneb ")</f>
        <v xml:space="preserve">Deneb </v>
      </c>
      <c r="J361" s="37" t="str">
        <f t="shared" si="5"/>
        <v xml:space="preserve">Adara Copernicus Deneb </v>
      </c>
      <c r="K361" s="31" t="str">
        <f>IF(ISBLANK(TR!G361),"",TR!G361)</f>
        <v/>
      </c>
      <c r="L361" s="31" t="str">
        <f>IF(ISBLANK(TR!H361),"",TR!H361)</f>
        <v>FR-DSRSW-1461</v>
      </c>
      <c r="M361" s="30" t="str">
        <f>TR!J361</f>
        <v>Approved</v>
      </c>
      <c r="N361" s="31" t="str">
        <f>IF(OR(M361="Modified",M361="Cosmetic"),VLOOKUP(B361,PrevPFS!B$1:E$833,4,FALSE),"")</f>
        <v/>
      </c>
    </row>
    <row r="362" spans="1:14" ht="45" x14ac:dyDescent="0.25">
      <c r="A362" s="31" t="str">
        <f>IF(ISNONTEXT(TR!K362),"",TR!K362)</f>
        <v>TR-0-IPSTREAM-FPR-1039</v>
      </c>
      <c r="B362" s="32" t="str">
        <f>TR!A362</f>
        <v>TR-DSRSW-1655</v>
      </c>
      <c r="C362" s="31" t="b">
        <f>ISERROR(FIND("-",TR!B362))</f>
        <v>0</v>
      </c>
      <c r="D362" s="31">
        <f>SetIndent(E362,(TR!C362-1)*2)</f>
        <v>4</v>
      </c>
      <c r="E362" s="35" t="str">
        <f>IF(ISERROR(FIND("-",TR!B362)),TR!B362&amp;" "&amp;TR!D362,TR!D362)</f>
        <v>The product SHALL transition between various bitrates without visible artifacts.(NOTE: Shaw implements this requirement.  This requirement is for test plan linkage)</v>
      </c>
      <c r="F362" s="31" t="str">
        <f>TR!E362</f>
        <v>Req</v>
      </c>
      <c r="G362" s="31" t="str">
        <f>IF(ISERROR(FIND("Adara",TR!F362)),"","Adara ")</f>
        <v xml:space="preserve">Adara </v>
      </c>
      <c r="H362" s="31" t="str">
        <f>IF(ISERROR(FIND("Copernicus",TR!F362)),"","Copernicus ")</f>
        <v xml:space="preserve">Copernicus </v>
      </c>
      <c r="I362" s="31" t="str">
        <f>IF(ISERROR(FIND("Deneb",TR!F362)),"","Deneb ")</f>
        <v xml:space="preserve">Deneb </v>
      </c>
      <c r="J362" s="37" t="str">
        <f t="shared" si="5"/>
        <v xml:space="preserve">Adara Copernicus Deneb </v>
      </c>
      <c r="K362" s="31" t="str">
        <f>IF(ISBLANK(TR!G362),"",TR!G362)</f>
        <v/>
      </c>
      <c r="L362" s="31" t="str">
        <f>IF(ISBLANK(TR!H362),"",TR!H362)</f>
        <v>FR-DSRSW-1461</v>
      </c>
      <c r="M362" s="30" t="str">
        <f>TR!J362</f>
        <v>Approved</v>
      </c>
      <c r="N362" s="31" t="str">
        <f>IF(OR(M362="Modified",M362="Cosmetic"),VLOOKUP(B362,PrevPFS!B$1:E$833,4,FALSE),"")</f>
        <v/>
      </c>
    </row>
    <row r="363" spans="1:14" ht="45" x14ac:dyDescent="0.25">
      <c r="A363" s="31" t="str">
        <f>IF(ISNONTEXT(TR!K363),"",TR!K363)</f>
        <v/>
      </c>
      <c r="B363" s="32" t="str">
        <f>TR!A363</f>
        <v>TR-DSRSW-1656</v>
      </c>
      <c r="C363" s="31" t="b">
        <f>ISERROR(FIND("-",TR!B363))</f>
        <v>1</v>
      </c>
      <c r="D363" s="31">
        <f>SetIndent(E363,(TR!C363-1)*2)</f>
        <v>2</v>
      </c>
      <c r="E363" s="34" t="str">
        <f>IF(ISERROR(FIND("-",TR!B363)),TR!B363&amp;" "&amp;TR!D363,TR!D363)</f>
        <v>16.4 Performance Attributes</v>
      </c>
      <c r="F363" s="31" t="str">
        <f>TR!E363</f>
        <v>Hdr</v>
      </c>
      <c r="G363" s="31" t="str">
        <f>IF(ISERROR(FIND("Adara",TR!F363)),"","Adara ")</f>
        <v xml:space="preserve">Adara </v>
      </c>
      <c r="H363" s="31" t="str">
        <f>IF(ISERROR(FIND("Copernicus",TR!F363)),"","Copernicus ")</f>
        <v xml:space="preserve">Copernicus </v>
      </c>
      <c r="I363" s="31" t="str">
        <f>IF(ISERROR(FIND("Deneb",TR!F363)),"","Deneb ")</f>
        <v xml:space="preserve">Deneb </v>
      </c>
      <c r="J363" s="37" t="str">
        <f t="shared" si="5"/>
        <v xml:space="preserve">Adara Copernicus Deneb </v>
      </c>
      <c r="K363" s="31" t="str">
        <f>IF(ISBLANK(TR!G363),"",TR!G363)</f>
        <v/>
      </c>
      <c r="L363" s="31" t="str">
        <f>IF(ISBLANK(TR!H363),"",TR!H363)</f>
        <v>FR-DSRSW-1461</v>
      </c>
      <c r="M363" s="30" t="str">
        <f>TR!J363</f>
        <v>Approved</v>
      </c>
      <c r="N363" s="31" t="str">
        <f>IF(OR(M363="Modified",M363="Cosmetic"),VLOOKUP(B363,PrevPFS!B$1:E$833,4,FALSE),"")</f>
        <v/>
      </c>
    </row>
    <row r="364" spans="1:14" ht="45" x14ac:dyDescent="0.25">
      <c r="A364" s="31" t="str">
        <f>IF(ISNONTEXT(TR!K364),"",TR!K364)</f>
        <v>TR-0-IPSTREAM-FPR-1258</v>
      </c>
      <c r="B364" s="32" t="str">
        <f>TR!A364</f>
        <v>TR-DSRSW-1657</v>
      </c>
      <c r="C364" s="31" t="b">
        <f>ISERROR(FIND("-",TR!B364))</f>
        <v>0</v>
      </c>
      <c r="D364" s="31">
        <f>SetIndent(E364,(TR!C364-1)*2)</f>
        <v>4</v>
      </c>
      <c r="E364" s="35" t="str">
        <f>IF(ISERROR(FIND("-",TR!B364)),TR!B364&amp;" "&amp;TR!D364,TR!D364)</f>
        <v>The product SHALL operate for 4 hours while continually playing back highest supported resolution video and audio content without any visual or audio artifacts, hangs, exceptions, or resets.</v>
      </c>
      <c r="F364" s="31" t="str">
        <f>TR!E364</f>
        <v>Req</v>
      </c>
      <c r="G364" s="31" t="str">
        <f>IF(ISERROR(FIND("Adara",TR!F364)),"","Adara ")</f>
        <v xml:space="preserve">Adara </v>
      </c>
      <c r="H364" s="31" t="str">
        <f>IF(ISERROR(FIND("Copernicus",TR!F364)),"","Copernicus ")</f>
        <v xml:space="preserve">Copernicus </v>
      </c>
      <c r="I364" s="31" t="str">
        <f>IF(ISERROR(FIND("Deneb",TR!F364)),"","Deneb ")</f>
        <v xml:space="preserve">Deneb </v>
      </c>
      <c r="J364" s="37" t="str">
        <f t="shared" si="5"/>
        <v xml:space="preserve">Adara Copernicus Deneb </v>
      </c>
      <c r="K364" s="31" t="str">
        <f>IF(ISBLANK(TR!G364),"",TR!G364)</f>
        <v/>
      </c>
      <c r="L364" s="31" t="str">
        <f>IF(ISBLANK(TR!H364),"",TR!H364)</f>
        <v>FR-DSRSW-1461</v>
      </c>
      <c r="M364" s="30" t="str">
        <f>TR!J364</f>
        <v>Approved</v>
      </c>
      <c r="N364" s="31" t="str">
        <f>IF(OR(M364="Modified",M364="Cosmetic"),VLOOKUP(B364,PrevPFS!B$1:E$833,4,FALSE),"")</f>
        <v/>
      </c>
    </row>
    <row r="365" spans="1:14" ht="60" x14ac:dyDescent="0.25">
      <c r="A365" s="31" t="str">
        <f>IF(ISNONTEXT(TR!K365),"",TR!K365)</f>
        <v>TR-0-IPSTREAM-FPR-1254</v>
      </c>
      <c r="B365" s="32" t="str">
        <f>TR!A365</f>
        <v>TR-DSRSW-1658</v>
      </c>
      <c r="C365" s="31" t="b">
        <f>ISERROR(FIND("-",TR!B365))</f>
        <v>0</v>
      </c>
      <c r="D365" s="31">
        <f>SetIndent(E365,(TR!C365-1)*2)</f>
        <v>4</v>
      </c>
      <c r="E365" s="35" t="str">
        <f>IF(ISERROR(FIND("-",TR!B365)),TR!B365&amp;" "&amp;TR!D365,TR!D365)</f>
        <v>The product SHALL support applicable satellite background recording requirements during a VOD session. (For example, if the product supports two HD or SD background satellite recordings from signal tuners, the product shall still be able to record two SD or HD services in the background while a VOD service plays in the foreground).</v>
      </c>
      <c r="F365" s="31" t="str">
        <f>TR!E365</f>
        <v>Req</v>
      </c>
      <c r="G365" s="31" t="str">
        <f>IF(ISERROR(FIND("Adara",TR!F365)),"","Adara ")</f>
        <v xml:space="preserve">Adara </v>
      </c>
      <c r="H365" s="31" t="str">
        <f>IF(ISERROR(FIND("Copernicus",TR!F365)),"","Copernicus ")</f>
        <v xml:space="preserve">Copernicus </v>
      </c>
      <c r="I365" s="31" t="str">
        <f>IF(ISERROR(FIND("Deneb",TR!F365)),"","Deneb ")</f>
        <v xml:space="preserve">Deneb </v>
      </c>
      <c r="J365" s="37" t="str">
        <f t="shared" si="5"/>
        <v xml:space="preserve">Adara Copernicus Deneb </v>
      </c>
      <c r="K365" s="31" t="str">
        <f>IF(ISBLANK(TR!G365),"",TR!G365)</f>
        <v/>
      </c>
      <c r="L365" s="31" t="str">
        <f>IF(ISBLANK(TR!H365),"",TR!H365)</f>
        <v>FR-DSRSW-1461</v>
      </c>
      <c r="M365" s="30" t="str">
        <f>TR!J365</f>
        <v>Approved</v>
      </c>
      <c r="N365" s="31" t="str">
        <f>IF(OR(M365="Modified",M365="Cosmetic"),VLOOKUP(B365,PrevPFS!B$1:E$833,4,FALSE),"")</f>
        <v/>
      </c>
    </row>
    <row r="366" spans="1:14" ht="45" x14ac:dyDescent="0.25">
      <c r="A366" s="31" t="str">
        <f>IF(ISNONTEXT(TR!K366),"",TR!K366)</f>
        <v>TR-0-IPSTREAM-FPR-1153</v>
      </c>
      <c r="B366" s="32" t="str">
        <f>TR!A366</f>
        <v>TR-DSRSW-1659</v>
      </c>
      <c r="C366" s="31" t="b">
        <f>ISERROR(FIND("-",TR!B366))</f>
        <v>0</v>
      </c>
      <c r="D366" s="31">
        <f>SetIndent(E366,(TR!C366-1)*2)</f>
        <v>4</v>
      </c>
      <c r="E366" s="35" t="str">
        <f>IF(ISERROR(FIND("-",TR!B366)),TR!B366&amp;" "&amp;TR!D366,TR!D366)</f>
        <v>The product SHALL apply the decoded output of internet video on all applicable ports (viz HDMI, Composite, Optical audio, Analog Audio, etc.) consistent with current configuration when the rendering of internet media content is in progress</v>
      </c>
      <c r="F366" s="31" t="str">
        <f>TR!E366</f>
        <v>Req</v>
      </c>
      <c r="G366" s="31" t="str">
        <f>IF(ISERROR(FIND("Adara",TR!F366)),"","Adara ")</f>
        <v xml:space="preserve">Adara </v>
      </c>
      <c r="H366" s="31" t="str">
        <f>IF(ISERROR(FIND("Copernicus",TR!F366)),"","Copernicus ")</f>
        <v xml:space="preserve">Copernicus </v>
      </c>
      <c r="I366" s="31" t="str">
        <f>IF(ISERROR(FIND("Deneb",TR!F366)),"","Deneb ")</f>
        <v xml:space="preserve">Deneb </v>
      </c>
      <c r="J366" s="37" t="str">
        <f t="shared" si="5"/>
        <v xml:space="preserve">Adara Copernicus Deneb </v>
      </c>
      <c r="K366" s="31" t="str">
        <f>IF(ISBLANK(TR!G366),"",TR!G366)</f>
        <v/>
      </c>
      <c r="L366" s="31" t="str">
        <f>IF(ISBLANK(TR!H366),"",TR!H366)</f>
        <v>FR-DSRSW-1461</v>
      </c>
      <c r="M366" s="30" t="str">
        <f>TR!J366</f>
        <v>Approved</v>
      </c>
      <c r="N366" s="31" t="str">
        <f>IF(OR(M366="Modified",M366="Cosmetic"),VLOOKUP(B366,PrevPFS!B$1:E$833,4,FALSE),"")</f>
        <v/>
      </c>
    </row>
    <row r="367" spans="1:14" ht="45" x14ac:dyDescent="0.25">
      <c r="A367" s="31" t="str">
        <f>IF(ISNONTEXT(TR!K367),"",TR!K367)</f>
        <v>TR-0-IPSTREAM-FPR-1165</v>
      </c>
      <c r="B367" s="32" t="str">
        <f>TR!A367</f>
        <v>TR-DSRSW-1660</v>
      </c>
      <c r="C367" s="31" t="b">
        <f>ISERROR(FIND("-",TR!B367))</f>
        <v>0</v>
      </c>
      <c r="D367" s="31">
        <f>SetIndent(E367,(TR!C367-1)*2)</f>
        <v>4</v>
      </c>
      <c r="E367" s="35" t="str">
        <f>IF(ISERROR(FIND("-",TR!B367)),TR!B367&amp;" "&amp;TR!D367,TR!D367)</f>
        <v>The product SHALL render the internet video content in accordance with any scaling requested by the Application, provided the requested scaling is feasible under hardware support.</v>
      </c>
      <c r="F367" s="31" t="str">
        <f>TR!E367</f>
        <v>Req</v>
      </c>
      <c r="G367" s="31" t="str">
        <f>IF(ISERROR(FIND("Adara",TR!F367)),"","Adara ")</f>
        <v xml:space="preserve">Adara </v>
      </c>
      <c r="H367" s="31" t="str">
        <f>IF(ISERROR(FIND("Copernicus",TR!F367)),"","Copernicus ")</f>
        <v xml:space="preserve">Copernicus </v>
      </c>
      <c r="I367" s="31" t="str">
        <f>IF(ISERROR(FIND("Deneb",TR!F367)),"","Deneb ")</f>
        <v xml:space="preserve">Deneb </v>
      </c>
      <c r="J367" s="37" t="str">
        <f t="shared" si="5"/>
        <v xml:space="preserve">Adara Copernicus Deneb </v>
      </c>
      <c r="K367" s="31" t="str">
        <f>IF(ISBLANK(TR!G367),"",TR!G367)</f>
        <v/>
      </c>
      <c r="L367" s="31" t="str">
        <f>IF(ISBLANK(TR!H367),"",TR!H367)</f>
        <v>FR-DSRSW-1461</v>
      </c>
      <c r="M367" s="30" t="str">
        <f>TR!J367</f>
        <v>Approved</v>
      </c>
      <c r="N367" s="31" t="str">
        <f>IF(OR(M367="Modified",M367="Cosmetic"),VLOOKUP(B367,PrevPFS!B$1:E$833,4,FALSE),"")</f>
        <v/>
      </c>
    </row>
    <row r="368" spans="1:14" ht="60" x14ac:dyDescent="0.25">
      <c r="A368" s="31" t="str">
        <f>IF(ISNONTEXT(TR!K368),"",TR!K368)</f>
        <v>TR-0-IPSTREAM-FPR-1178</v>
      </c>
      <c r="B368" s="32" t="str">
        <f>TR!A368</f>
        <v>TR-DSRSW-1661</v>
      </c>
      <c r="C368" s="31" t="b">
        <f>ISERROR(FIND("-",TR!B368))</f>
        <v>0</v>
      </c>
      <c r="D368" s="31">
        <f>SetIndent(E368,(TR!C368-1)*2)</f>
        <v>4</v>
      </c>
      <c r="E368" s="35" t="str">
        <f>IF(ISERROR(FIND("-",TR!B368)),TR!B368&amp;" "&amp;TR!D368,TR!D368)</f>
        <v>The product SHALL enable CGMS-Analog (Type A) for video copy protection during http based rendering of internet video content. (NOTE: The only analog video output for this product is 480i60 composite video, hence, only CGMS-A Type A is required.  Type B is used for 480p60 and higher analog resolutions)</v>
      </c>
      <c r="F368" s="31" t="str">
        <f>TR!E368</f>
        <v>Req</v>
      </c>
      <c r="G368" s="31" t="str">
        <f>IF(ISERROR(FIND("Adara",TR!F368)),"","Adara ")</f>
        <v xml:space="preserve">Adara </v>
      </c>
      <c r="H368" s="31" t="str">
        <f>IF(ISERROR(FIND("Copernicus",TR!F368)),"","Copernicus ")</f>
        <v xml:space="preserve">Copernicus </v>
      </c>
      <c r="I368" s="31" t="str">
        <f>IF(ISERROR(FIND("Deneb",TR!F368)),"","Deneb ")</f>
        <v xml:space="preserve">Deneb </v>
      </c>
      <c r="J368" s="37" t="str">
        <f t="shared" si="5"/>
        <v xml:space="preserve">Adara Copernicus Deneb </v>
      </c>
      <c r="K368" s="31" t="str">
        <f>IF(ISBLANK(TR!G368),"",TR!G368)</f>
        <v/>
      </c>
      <c r="L368" s="31" t="str">
        <f>IF(ISBLANK(TR!H368),"",TR!H368)</f>
        <v>FR-DSRSW-1461</v>
      </c>
      <c r="M368" s="30" t="str">
        <f>TR!J368</f>
        <v>Approved</v>
      </c>
      <c r="N368" s="31" t="str">
        <f>IF(OR(M368="Modified",M368="Cosmetic"),VLOOKUP(B368,PrevPFS!B$1:E$833,4,FALSE),"")</f>
        <v/>
      </c>
    </row>
    <row r="369" spans="1:14" ht="45" x14ac:dyDescent="0.25">
      <c r="A369" s="31" t="str">
        <f>IF(ISNONTEXT(TR!K369),"",TR!K369)</f>
        <v/>
      </c>
      <c r="B369" s="32" t="str">
        <f>TR!A369</f>
        <v>TR-DSRSW-1662</v>
      </c>
      <c r="C369" s="31" t="b">
        <f>ISERROR(FIND("-",TR!B369))</f>
        <v>1</v>
      </c>
      <c r="D369" s="31">
        <f>SetIndent(E369,(TR!C369-1)*2)</f>
        <v>2</v>
      </c>
      <c r="E369" s="34" t="str">
        <f>IF(ISERROR(FIND("-",TR!B369)),TR!B369&amp;" "&amp;TR!D369,TR!D369)</f>
        <v>16.5 Closed Captions</v>
      </c>
      <c r="F369" s="31" t="str">
        <f>TR!E369</f>
        <v>Hdr</v>
      </c>
      <c r="G369" s="31" t="str">
        <f>IF(ISERROR(FIND("Adara",TR!F369)),"","Adara ")</f>
        <v xml:space="preserve">Adara </v>
      </c>
      <c r="H369" s="31" t="str">
        <f>IF(ISERROR(FIND("Copernicus",TR!F369)),"","Copernicus ")</f>
        <v xml:space="preserve">Copernicus </v>
      </c>
      <c r="I369" s="31" t="str">
        <f>IF(ISERROR(FIND("Deneb",TR!F369)),"","Deneb ")</f>
        <v xml:space="preserve">Deneb </v>
      </c>
      <c r="J369" s="37" t="str">
        <f t="shared" si="5"/>
        <v xml:space="preserve">Adara Copernicus Deneb </v>
      </c>
      <c r="K369" s="31" t="str">
        <f>IF(ISBLANK(TR!G369),"",TR!G369)</f>
        <v/>
      </c>
      <c r="L369" s="31" t="str">
        <f>IF(ISBLANK(TR!H369),"",TR!H369)</f>
        <v>FR-DSRSW-1461</v>
      </c>
      <c r="M369" s="30" t="str">
        <f>TR!J369</f>
        <v>Approved</v>
      </c>
      <c r="N369" s="31" t="str">
        <f>IF(OR(M369="Modified",M369="Cosmetic"),VLOOKUP(B369,PrevPFS!B$1:E$833,4,FALSE),"")</f>
        <v/>
      </c>
    </row>
    <row r="370" spans="1:14" ht="45" x14ac:dyDescent="0.25">
      <c r="A370" s="31" t="str">
        <f>IF(ISNONTEXT(TR!K370),"",TR!K370)</f>
        <v/>
      </c>
      <c r="B370" s="32" t="str">
        <f>TR!A370</f>
        <v>TR-DSRSW-2490</v>
      </c>
      <c r="C370" s="31" t="b">
        <f>ISERROR(FIND("-",TR!B370))</f>
        <v>0</v>
      </c>
      <c r="D370" s="31">
        <f>SetIndent(E370,(TR!C370-1)*2)</f>
        <v>4</v>
      </c>
      <c r="E370" s="35" t="str">
        <f>IF(ISERROR(FIND("-",TR!B370)),TR!B370&amp;" "&amp;TR!D370,TR!D370)</f>
        <v>The following requirements are associated with the behavior of this feature (http based delivery of internet media content) with relationship to closed captions.</v>
      </c>
      <c r="F370" s="31" t="str">
        <f>TR!E370</f>
        <v>Com</v>
      </c>
      <c r="G370" s="31" t="str">
        <f>IF(ISERROR(FIND("Adara",TR!F370)),"","Adara ")</f>
        <v xml:space="preserve">Adara </v>
      </c>
      <c r="H370" s="31" t="str">
        <f>IF(ISERROR(FIND("Copernicus",TR!F370)),"","Copernicus ")</f>
        <v xml:space="preserve">Copernicus </v>
      </c>
      <c r="I370" s="31" t="str">
        <f>IF(ISERROR(FIND("Deneb",TR!F370)),"","Deneb ")</f>
        <v xml:space="preserve">Deneb </v>
      </c>
      <c r="J370" s="37" t="str">
        <f t="shared" si="5"/>
        <v xml:space="preserve">Adara Copernicus Deneb </v>
      </c>
      <c r="K370" s="31" t="str">
        <f>IF(ISBLANK(TR!G370),"",TR!G370)</f>
        <v/>
      </c>
      <c r="L370" s="31" t="str">
        <f>IF(ISBLANK(TR!H370),"",TR!H370)</f>
        <v/>
      </c>
      <c r="M370" s="30" t="str">
        <f>TR!J370</f>
        <v>Approved</v>
      </c>
      <c r="N370" s="31" t="str">
        <f>IF(OR(M370="Modified",M370="Cosmetic"),VLOOKUP(B370,PrevPFS!B$1:E$833,4,FALSE),"")</f>
        <v/>
      </c>
    </row>
    <row r="371" spans="1:14" ht="45" x14ac:dyDescent="0.25">
      <c r="A371" s="31" t="str">
        <f>IF(ISNONTEXT(TR!K371),"",TR!K371)</f>
        <v>TR-0-IPSTREAM-FPR-1256</v>
      </c>
      <c r="B371" s="32" t="str">
        <f>TR!A371</f>
        <v>TR-DSRSW-1663</v>
      </c>
      <c r="C371" s="31" t="b">
        <f>ISERROR(FIND("-",TR!B371))</f>
        <v>0</v>
      </c>
      <c r="D371" s="31">
        <f>SetIndent(E371,(TR!C371-1)*2)</f>
        <v>4</v>
      </c>
      <c r="E371" s="35" t="str">
        <f>IF(ISERROR(FIND("-",TR!B371)),TR!B371&amp;" "&amp;TR!D371,TR!D371)</f>
        <v>The product SHALL support decoding and rendering closed captions during http based rendering of internet video content, as defined by the closed caption requirements in this PFS.</v>
      </c>
      <c r="F371" s="31" t="str">
        <f>TR!E371</f>
        <v>Req</v>
      </c>
      <c r="G371" s="31" t="str">
        <f>IF(ISERROR(FIND("Adara",TR!F371)),"","Adara ")</f>
        <v xml:space="preserve">Adara </v>
      </c>
      <c r="H371" s="31" t="str">
        <f>IF(ISERROR(FIND("Copernicus",TR!F371)),"","Copernicus ")</f>
        <v xml:space="preserve">Copernicus </v>
      </c>
      <c r="I371" s="31" t="str">
        <f>IF(ISERROR(FIND("Deneb",TR!F371)),"","Deneb ")</f>
        <v xml:space="preserve">Deneb </v>
      </c>
      <c r="J371" s="37" t="str">
        <f t="shared" si="5"/>
        <v xml:space="preserve">Adara Copernicus Deneb </v>
      </c>
      <c r="K371" s="31" t="str">
        <f>IF(ISBLANK(TR!G371),"",TR!G371)</f>
        <v/>
      </c>
      <c r="L371" s="31" t="str">
        <f>IF(ISBLANK(TR!H371),"",TR!H371)</f>
        <v>FR-DSRSW-1461</v>
      </c>
      <c r="M371" s="30" t="str">
        <f>TR!J371</f>
        <v>Approved</v>
      </c>
      <c r="N371" s="31" t="str">
        <f>IF(OR(M371="Modified",M371="Cosmetic"),VLOOKUP(B371,PrevPFS!B$1:E$833,4,FALSE),"")</f>
        <v/>
      </c>
    </row>
    <row r="372" spans="1:14" ht="45" x14ac:dyDescent="0.25">
      <c r="A372" s="31" t="str">
        <f>IF(ISNONTEXT(TR!K372),"",TR!K372)</f>
        <v/>
      </c>
      <c r="B372" s="32" t="str">
        <f>TR!A372</f>
        <v>TR-DSRSW-2244</v>
      </c>
      <c r="C372" s="31" t="b">
        <f>ISERROR(FIND("-",TR!B372))</f>
        <v>1</v>
      </c>
      <c r="D372" s="31">
        <f>SetIndent(E372,(TR!C372-1)*2)</f>
        <v>0</v>
      </c>
      <c r="E372" s="33" t="str">
        <f>IF(ISERROR(FIND("-",TR!B372)),TR!B372&amp;" "&amp;TR!D372,TR!D372)</f>
        <v>17 Wi-Fi</v>
      </c>
      <c r="F372" s="31" t="str">
        <f>TR!E372</f>
        <v>Hdr</v>
      </c>
      <c r="G372" s="31" t="str">
        <f>IF(ISERROR(FIND("Adara",TR!F372)),"","Adara ")</f>
        <v xml:space="preserve">Adara </v>
      </c>
      <c r="H372" s="31" t="str">
        <f>IF(ISERROR(FIND("Copernicus",TR!F372)),"","Copernicus ")</f>
        <v xml:space="preserve">Copernicus </v>
      </c>
      <c r="I372" s="31" t="str">
        <f>IF(ISERROR(FIND("Deneb",TR!F372)),"","Deneb ")</f>
        <v xml:space="preserve">Deneb </v>
      </c>
      <c r="J372" s="37" t="str">
        <f t="shared" si="5"/>
        <v xml:space="preserve">Adara Copernicus Deneb </v>
      </c>
      <c r="K372" s="31" t="str">
        <f>IF(ISBLANK(TR!G372),"",TR!G372)</f>
        <v/>
      </c>
      <c r="L372" s="31" t="str">
        <f>IF(ISBLANK(TR!H372),"",TR!H372)</f>
        <v>FR-DSRSW-1508</v>
      </c>
      <c r="M372" s="30" t="str">
        <f>TR!J372</f>
        <v>Approved</v>
      </c>
      <c r="N372" s="31" t="str">
        <f>IF(OR(M372="Modified",M372="Cosmetic"),VLOOKUP(B372,PrevPFS!B$1:E$833,4,FALSE),"")</f>
        <v/>
      </c>
    </row>
    <row r="373" spans="1:14" ht="45" x14ac:dyDescent="0.25">
      <c r="A373" s="31" t="str">
        <f>IF(ISNONTEXT(TR!K373),"",TR!K373)</f>
        <v/>
      </c>
      <c r="B373" s="32" t="str">
        <f>TR!A373</f>
        <v>TR-DSRSW-2245</v>
      </c>
      <c r="C373" s="31" t="b">
        <f>ISERROR(FIND("-",TR!B373))</f>
        <v>1</v>
      </c>
      <c r="D373" s="31">
        <f>SetIndent(E373,(TR!C373-1)*2)</f>
        <v>2</v>
      </c>
      <c r="E373" s="34" t="str">
        <f>IF(ISERROR(FIND("-",TR!B373)),TR!B373&amp;" "&amp;TR!D373,TR!D373)</f>
        <v>17.1 General</v>
      </c>
      <c r="F373" s="31" t="str">
        <f>TR!E373</f>
        <v>Hdr</v>
      </c>
      <c r="G373" s="31" t="str">
        <f>IF(ISERROR(FIND("Adara",TR!F373)),"","Adara ")</f>
        <v xml:space="preserve">Adara </v>
      </c>
      <c r="H373" s="31" t="str">
        <f>IF(ISERROR(FIND("Copernicus",TR!F373)),"","Copernicus ")</f>
        <v xml:space="preserve">Copernicus </v>
      </c>
      <c r="I373" s="31" t="str">
        <f>IF(ISERROR(FIND("Deneb",TR!F373)),"","Deneb ")</f>
        <v xml:space="preserve">Deneb </v>
      </c>
      <c r="J373" s="37" t="str">
        <f t="shared" si="5"/>
        <v xml:space="preserve">Adara Copernicus Deneb </v>
      </c>
      <c r="K373" s="31" t="str">
        <f>IF(ISBLANK(TR!G373),"",TR!G373)</f>
        <v/>
      </c>
      <c r="L373" s="31" t="str">
        <f>IF(ISBLANK(TR!H373),"",TR!H373)</f>
        <v>FR-DSRSW-1508</v>
      </c>
      <c r="M373" s="30" t="str">
        <f>TR!J373</f>
        <v>Approved</v>
      </c>
      <c r="N373" s="31" t="str">
        <f>IF(OR(M373="Modified",M373="Cosmetic"),VLOOKUP(B373,PrevPFS!B$1:E$833,4,FALSE),"")</f>
        <v/>
      </c>
    </row>
    <row r="374" spans="1:14" ht="45" x14ac:dyDescent="0.25">
      <c r="A374" s="31" t="str">
        <f>IF(ISNONTEXT(TR!K374),"",TR!K374)</f>
        <v>TR-KA-10134</v>
      </c>
      <c r="B374" s="32" t="str">
        <f>TR!A374</f>
        <v>TR-DSRSW-2246</v>
      </c>
      <c r="C374" s="31" t="b">
        <f>ISERROR(FIND("-",TR!B374))</f>
        <v>0</v>
      </c>
      <c r="D374" s="31">
        <f>SetIndent(E374,(TR!C374-1)*2)</f>
        <v>4</v>
      </c>
      <c r="E374" s="35" t="str">
        <f>IF(ISERROR(FIND("-",TR!B374)),TR!B374&amp;" "&amp;TR!D374,TR!D374)</f>
        <v>The product shall include an 802.11 wireless interface compliant with [80211ac].</v>
      </c>
      <c r="F374" s="31" t="str">
        <f>TR!E374</f>
        <v>Req</v>
      </c>
      <c r="G374" s="31" t="str">
        <f>IF(ISERROR(FIND("Adara",TR!F374)),"","Adara ")</f>
        <v xml:space="preserve">Adara </v>
      </c>
      <c r="H374" s="31" t="str">
        <f>IF(ISERROR(FIND("Copernicus",TR!F374)),"","Copernicus ")</f>
        <v xml:space="preserve">Copernicus </v>
      </c>
      <c r="I374" s="31" t="str">
        <f>IF(ISERROR(FIND("Deneb",TR!F374)),"","Deneb ")</f>
        <v xml:space="preserve">Deneb </v>
      </c>
      <c r="J374" s="37" t="str">
        <f t="shared" si="5"/>
        <v xml:space="preserve">Adara Copernicus Deneb </v>
      </c>
      <c r="K374" s="31" t="str">
        <f>IF(ISBLANK(TR!G374),"",TR!G374)</f>
        <v/>
      </c>
      <c r="L374" s="31" t="str">
        <f>IF(ISBLANK(TR!H374),"",TR!H374)</f>
        <v>FR-DSRSW-1508</v>
      </c>
      <c r="M374" s="30" t="str">
        <f>TR!J374</f>
        <v>Approved</v>
      </c>
      <c r="N374" s="31" t="str">
        <f>IF(OR(M374="Modified",M374="Cosmetic"),VLOOKUP(B374,PrevPFS!B$1:E$833,4,FALSE),"")</f>
        <v/>
      </c>
    </row>
    <row r="375" spans="1:14" ht="45" x14ac:dyDescent="0.25">
      <c r="A375" s="31" t="str">
        <f>IF(ISNONTEXT(TR!K375),"",TR!K375)</f>
        <v>TR-KA-10135</v>
      </c>
      <c r="B375" s="32" t="str">
        <f>TR!A375</f>
        <v>TR-DSRSW-2247</v>
      </c>
      <c r="C375" s="31" t="b">
        <f>ISERROR(FIND("-",TR!B375))</f>
        <v>0</v>
      </c>
      <c r="D375" s="31">
        <f>SetIndent(E375,(TR!C375-1)*2)</f>
        <v>4</v>
      </c>
      <c r="E375" s="35" t="str">
        <f>IF(ISERROR(FIND("-",TR!B375)),TR!B375&amp;" "&amp;TR!D375,TR!D375)</f>
        <v>The DSR800 product shall be designated as the "DSR800".</v>
      </c>
      <c r="F375" s="31" t="str">
        <f>TR!E375</f>
        <v>Req</v>
      </c>
      <c r="G375" s="31" t="str">
        <f>IF(ISERROR(FIND("Adara",TR!F375)),"","Adara ")</f>
        <v xml:space="preserve">Adara </v>
      </c>
      <c r="H375" s="31" t="str">
        <f>IF(ISERROR(FIND("Copernicus",TR!F375)),"","Copernicus ")</f>
        <v xml:space="preserve">Copernicus </v>
      </c>
      <c r="I375" s="31" t="str">
        <f>IF(ISERROR(FIND("Deneb",TR!F375)),"","Deneb ")</f>
        <v xml:space="preserve">Deneb </v>
      </c>
      <c r="J375" s="37" t="str">
        <f t="shared" si="5"/>
        <v xml:space="preserve">Adara Copernicus Deneb </v>
      </c>
      <c r="K375" s="31" t="str">
        <f>IF(ISBLANK(TR!G375),"",TR!G375)</f>
        <v/>
      </c>
      <c r="L375" s="31" t="str">
        <f>IF(ISBLANK(TR!H375),"",TR!H375)</f>
        <v>FR-DSRSW-1508</v>
      </c>
      <c r="M375" s="30" t="str">
        <f>TR!J375</f>
        <v>Approved</v>
      </c>
      <c r="N375" s="31" t="str">
        <f>IF(OR(M375="Modified",M375="Cosmetic"),VLOOKUP(B375,PrevPFS!B$1:E$833,4,FALSE),"")</f>
        <v/>
      </c>
    </row>
    <row r="376" spans="1:14" ht="45" x14ac:dyDescent="0.25">
      <c r="A376" s="31" t="str">
        <f>IF(ISNONTEXT(TR!K376),"",TR!K376)</f>
        <v>TR-KA-10136</v>
      </c>
      <c r="B376" s="32" t="str">
        <f>TR!A376</f>
        <v>TR-DSRSW-2248</v>
      </c>
      <c r="C376" s="31" t="b">
        <f>ISERROR(FIND("-",TR!B376))</f>
        <v>0</v>
      </c>
      <c r="D376" s="31">
        <f>SetIndent(E376,(TR!C376-1)*2)</f>
        <v>4</v>
      </c>
      <c r="E376" s="35" t="str">
        <f>IF(ISERROR(FIND("-",TR!B376)),TR!B376&amp;" "&amp;TR!D376,TR!D376)</f>
        <v>The DSR830 product shall be designated as the "DSR830".</v>
      </c>
      <c r="F376" s="31" t="str">
        <f>TR!E376</f>
        <v>Req</v>
      </c>
      <c r="G376" s="31" t="str">
        <f>IF(ISERROR(FIND("Adara",TR!F376)),"","Adara ")</f>
        <v xml:space="preserve">Adara </v>
      </c>
      <c r="H376" s="31" t="str">
        <f>IF(ISERROR(FIND("Copernicus",TR!F376)),"","Copernicus ")</f>
        <v xml:space="preserve">Copernicus </v>
      </c>
      <c r="I376" s="31" t="str">
        <f>IF(ISERROR(FIND("Deneb",TR!F376)),"","Deneb ")</f>
        <v xml:space="preserve">Deneb </v>
      </c>
      <c r="J376" s="37" t="str">
        <f t="shared" si="5"/>
        <v xml:space="preserve">Adara Copernicus Deneb </v>
      </c>
      <c r="K376" s="31" t="str">
        <f>IF(ISBLANK(TR!G376),"",TR!G376)</f>
        <v>Does DSR830p2 have a different designation.</v>
      </c>
      <c r="L376" s="31" t="str">
        <f>IF(ISBLANK(TR!H376),"",TR!H376)</f>
        <v>FR-DSRSW-1508</v>
      </c>
      <c r="M376" s="30" t="str">
        <f>TR!J376</f>
        <v>Approved</v>
      </c>
      <c r="N376" s="31" t="str">
        <f>IF(OR(M376="Modified",M376="Cosmetic"),VLOOKUP(B376,PrevPFS!B$1:E$833,4,FALSE),"")</f>
        <v/>
      </c>
    </row>
    <row r="377" spans="1:14" ht="45" x14ac:dyDescent="0.25">
      <c r="A377" s="31" t="str">
        <f>IF(ISNONTEXT(TR!K377),"",TR!K377)</f>
        <v/>
      </c>
      <c r="B377" s="32" t="str">
        <f>TR!A377</f>
        <v>TR-DSRSW-2252</v>
      </c>
      <c r="C377" s="31" t="b">
        <f>ISERROR(FIND("-",TR!B377))</f>
        <v>1</v>
      </c>
      <c r="D377" s="31">
        <f>SetIndent(E377,(TR!C377-1)*2)</f>
        <v>2</v>
      </c>
      <c r="E377" s="34" t="str">
        <f>IF(ISERROR(FIND("-",TR!B377)),TR!B377&amp;" "&amp;TR!D377,TR!D377)</f>
        <v>17.2 Operating Mode</v>
      </c>
      <c r="F377" s="31" t="str">
        <f>TR!E377</f>
        <v>Hdr</v>
      </c>
      <c r="G377" s="31" t="str">
        <f>IF(ISERROR(FIND("Adara",TR!F377)),"","Adara ")</f>
        <v xml:space="preserve">Adara </v>
      </c>
      <c r="H377" s="31" t="str">
        <f>IF(ISERROR(FIND("Copernicus",TR!F377)),"","Copernicus ")</f>
        <v xml:space="preserve">Copernicus </v>
      </c>
      <c r="I377" s="31" t="str">
        <f>IF(ISERROR(FIND("Deneb",TR!F377)),"","Deneb ")</f>
        <v xml:space="preserve">Deneb </v>
      </c>
      <c r="J377" s="37" t="str">
        <f t="shared" si="5"/>
        <v xml:space="preserve">Adara Copernicus Deneb </v>
      </c>
      <c r="K377" s="31" t="str">
        <f>IF(ISBLANK(TR!G377),"",TR!G377)</f>
        <v/>
      </c>
      <c r="L377" s="31" t="str">
        <f>IF(ISBLANK(TR!H377),"",TR!H377)</f>
        <v>FR-DSRSW-1508</v>
      </c>
      <c r="M377" s="30" t="str">
        <f>TR!J377</f>
        <v>Approved</v>
      </c>
      <c r="N377" s="31" t="str">
        <f>IF(OR(M377="Modified",M377="Cosmetic"),VLOOKUP(B377,PrevPFS!B$1:E$833,4,FALSE),"")</f>
        <v/>
      </c>
    </row>
    <row r="378" spans="1:14" ht="45" x14ac:dyDescent="0.25">
      <c r="A378" s="31" t="str">
        <f>IF(ISNONTEXT(TR!K378),"",TR!K378)</f>
        <v>TR-KA-10140</v>
      </c>
      <c r="B378" s="32" t="str">
        <f>TR!A378</f>
        <v>TR-DSRSW-2254</v>
      </c>
      <c r="C378" s="31" t="b">
        <f>ISERROR(FIND("-",TR!B378))</f>
        <v>0</v>
      </c>
      <c r="D378" s="31">
        <f>SetIndent(E378,(TR!C378-1)*2)</f>
        <v>4</v>
      </c>
      <c r="E378" s="35" t="str">
        <f>IF(ISERROR(FIND("-",TR!B378)),TR!B378&amp;" "&amp;TR!D378,TR!D378)</f>
        <v>The product shall automatically configure itself as an 802.11ac client.  </v>
      </c>
      <c r="F378" s="31" t="str">
        <f>TR!E378</f>
        <v>Req</v>
      </c>
      <c r="G378" s="31" t="str">
        <f>IF(ISERROR(FIND("Adara",TR!F378)),"","Adara ")</f>
        <v xml:space="preserve">Adara </v>
      </c>
      <c r="H378" s="31" t="str">
        <f>IF(ISERROR(FIND("Copernicus",TR!F378)),"","Copernicus ")</f>
        <v xml:space="preserve">Copernicus </v>
      </c>
      <c r="I378" s="31" t="str">
        <f>IF(ISERROR(FIND("Deneb",TR!F378)),"","Deneb ")</f>
        <v xml:space="preserve">Deneb </v>
      </c>
      <c r="J378" s="37" t="str">
        <f t="shared" si="5"/>
        <v xml:space="preserve">Adara Copernicus Deneb </v>
      </c>
      <c r="K378" s="31" t="str">
        <f>IF(ISBLANK(TR!G378),"",TR!G378)</f>
        <v/>
      </c>
      <c r="L378" s="31" t="str">
        <f>IF(ISBLANK(TR!H378),"",TR!H378)</f>
        <v>FR-DSRSW-1508</v>
      </c>
      <c r="M378" s="30" t="str">
        <f>TR!J378</f>
        <v>Approved</v>
      </c>
      <c r="N378" s="31" t="str">
        <f>IF(OR(M378="Modified",M378="Cosmetic"),VLOOKUP(B378,PrevPFS!B$1:E$833,4,FALSE),"")</f>
        <v/>
      </c>
    </row>
    <row r="379" spans="1:14" ht="45" x14ac:dyDescent="0.25">
      <c r="A379" s="31" t="str">
        <f>IF(ISNONTEXT(TR!K379),"",TR!K379)</f>
        <v/>
      </c>
      <c r="B379" s="32" t="str">
        <f>TR!A379</f>
        <v>TR-DSRSW-2255</v>
      </c>
      <c r="C379" s="31" t="b">
        <f>ISERROR(FIND("-",TR!B379))</f>
        <v>1</v>
      </c>
      <c r="D379" s="31">
        <f>SetIndent(E379,(TR!C379-1)*2)</f>
        <v>2</v>
      </c>
      <c r="E379" s="34" t="str">
        <f>IF(ISERROR(FIND("-",TR!B379)),TR!B379&amp;" "&amp;TR!D379,TR!D379)</f>
        <v>17.3 PHY</v>
      </c>
      <c r="F379" s="31" t="str">
        <f>TR!E379</f>
        <v>Hdr</v>
      </c>
      <c r="G379" s="31" t="str">
        <f>IF(ISERROR(FIND("Adara",TR!F379)),"","Adara ")</f>
        <v xml:space="preserve">Adara </v>
      </c>
      <c r="H379" s="31" t="str">
        <f>IF(ISERROR(FIND("Copernicus",TR!F379)),"","Copernicus ")</f>
        <v xml:space="preserve">Copernicus </v>
      </c>
      <c r="I379" s="31" t="str">
        <f>IF(ISERROR(FIND("Deneb",TR!F379)),"","Deneb ")</f>
        <v xml:space="preserve">Deneb </v>
      </c>
      <c r="J379" s="37" t="str">
        <f t="shared" si="5"/>
        <v xml:space="preserve">Adara Copernicus Deneb </v>
      </c>
      <c r="K379" s="31" t="str">
        <f>IF(ISBLANK(TR!G379),"",TR!G379)</f>
        <v/>
      </c>
      <c r="L379" s="31" t="str">
        <f>IF(ISBLANK(TR!H379),"",TR!H379)</f>
        <v>FR-DSRSW-1508</v>
      </c>
      <c r="M379" s="30" t="str">
        <f>TR!J379</f>
        <v>Approved</v>
      </c>
      <c r="N379" s="31" t="str">
        <f>IF(OR(M379="Modified",M379="Cosmetic"),VLOOKUP(B379,PrevPFS!B$1:E$833,4,FALSE),"")</f>
        <v/>
      </c>
    </row>
    <row r="380" spans="1:14" ht="45" x14ac:dyDescent="0.25">
      <c r="A380" s="31" t="str">
        <f>IF(ISNONTEXT(TR!K380),"",TR!K380)</f>
        <v/>
      </c>
      <c r="B380" s="32" t="str">
        <f>TR!A380</f>
        <v>TR-DSRSW-2375</v>
      </c>
      <c r="C380" s="31" t="b">
        <f>ISERROR(FIND("-",TR!B380))</f>
        <v>0</v>
      </c>
      <c r="D380" s="31">
        <f>SetIndent(E380,(TR!C380-1)*2)</f>
        <v>4</v>
      </c>
      <c r="E380" s="35" t="str">
        <f>IF(ISERROR(FIND("-",TR!B380)),TR!B380&amp;" "&amp;TR!D380,TR!D380)</f>
        <v>The product shall support operating in the 2.4 GHz ISM bands.</v>
      </c>
      <c r="F380" s="31" t="str">
        <f>TR!E380</f>
        <v>Req</v>
      </c>
      <c r="G380" s="31" t="str">
        <f>IF(ISERROR(FIND("Adara",TR!F380)),"","Adara ")</f>
        <v xml:space="preserve">Adara </v>
      </c>
      <c r="H380" s="31" t="str">
        <f>IF(ISERROR(FIND("Copernicus",TR!F380)),"","Copernicus ")</f>
        <v xml:space="preserve">Copernicus </v>
      </c>
      <c r="I380" s="31" t="str">
        <f>IF(ISERROR(FIND("Deneb",TR!F380)),"","Deneb ")</f>
        <v xml:space="preserve">Deneb </v>
      </c>
      <c r="J380" s="37" t="str">
        <f t="shared" si="5"/>
        <v xml:space="preserve">Adara Copernicus Deneb </v>
      </c>
      <c r="K380" s="31" t="str">
        <f>IF(ISBLANK(TR!G380),"",TR!G380)</f>
        <v/>
      </c>
      <c r="L380" s="31" t="str">
        <f>IF(ISBLANK(TR!H380),"",TR!H380)</f>
        <v>FR-DSRSW-1508</v>
      </c>
      <c r="M380" s="30" t="str">
        <f>TR!J380</f>
        <v>Approved</v>
      </c>
      <c r="N380" s="31" t="str">
        <f>IF(OR(M380="Modified",M380="Cosmetic"),VLOOKUP(B380,PrevPFS!B$1:E$833,4,FALSE),"")</f>
        <v/>
      </c>
    </row>
    <row r="381" spans="1:14" ht="45" x14ac:dyDescent="0.25">
      <c r="A381" s="31" t="str">
        <f>IF(ISNONTEXT(TR!K381),"",TR!K381)</f>
        <v/>
      </c>
      <c r="B381" s="32" t="str">
        <f>TR!A381</f>
        <v>TR-DSRSW-2256</v>
      </c>
      <c r="C381" s="31" t="b">
        <f>ISERROR(FIND("-",TR!B381))</f>
        <v>0</v>
      </c>
      <c r="D381" s="31">
        <f>SetIndent(E381,(TR!C381-1)*2)</f>
        <v>4</v>
      </c>
      <c r="E381" s="35" t="str">
        <f>IF(ISERROR(FIND("-",TR!B381)),TR!B381&amp;" "&amp;TR!D381,TR!D381)</f>
        <v>The product shall support operating in the 5 GHz U-NII bands. (Low/Mid/Worldwide/Upper)</v>
      </c>
      <c r="F381" s="31" t="str">
        <f>TR!E381</f>
        <v>Req</v>
      </c>
      <c r="G381" s="31" t="str">
        <f>IF(ISERROR(FIND("Adara",TR!F381)),"","Adara ")</f>
        <v xml:space="preserve">Adara </v>
      </c>
      <c r="H381" s="31" t="str">
        <f>IF(ISERROR(FIND("Copernicus",TR!F381)),"","Copernicus ")</f>
        <v xml:space="preserve">Copernicus </v>
      </c>
      <c r="I381" s="31" t="str">
        <f>IF(ISERROR(FIND("Deneb",TR!F381)),"","Deneb ")</f>
        <v xml:space="preserve">Deneb </v>
      </c>
      <c r="J381" s="37" t="str">
        <f t="shared" si="5"/>
        <v xml:space="preserve">Adara Copernicus Deneb </v>
      </c>
      <c r="K381" s="31" t="str">
        <f>IF(ISBLANK(TR!G381),"",TR!G381)</f>
        <v/>
      </c>
      <c r="L381" s="31" t="str">
        <f>IF(ISBLANK(TR!H381),"",TR!H381)</f>
        <v>FR-DSRSW-1508</v>
      </c>
      <c r="M381" s="30" t="str">
        <f>TR!J381</f>
        <v>Approved</v>
      </c>
      <c r="N381" s="31" t="str">
        <f>IF(OR(M381="Modified",M381="Cosmetic"),VLOOKUP(B381,PrevPFS!B$1:E$833,4,FALSE),"")</f>
        <v/>
      </c>
    </row>
    <row r="382" spans="1:14" ht="105" x14ac:dyDescent="0.25">
      <c r="A382" s="31" t="str">
        <f>IF(ISNONTEXT(TR!K382),"",TR!K382)</f>
        <v/>
      </c>
      <c r="B382" s="32" t="str">
        <f>TR!A382</f>
        <v>TR-DSRSW-2376</v>
      </c>
      <c r="C382" s="31" t="b">
        <f>ISERROR(FIND("-",TR!B382))</f>
        <v>0</v>
      </c>
      <c r="D382" s="31">
        <f>SetIndent(E382,(TR!C382-1)*2)</f>
        <v>4</v>
      </c>
      <c r="E382" s="35" t="str">
        <f>IF(ISERROR(FIND("-",TR!B382)),TR!B382&amp;" "&amp;TR!D382,TR!D382)</f>
        <v>NOTE on Band Types:
https://en.wikipedia.org/wiki/U-NII:
Band				Freq.Range	Bandwidth	MaxPower	Max EIRP
U-NII Low / U-NII-1 / U-NII Indoo	5.150-5.250 G	100 MHz	50 mW		200 W
U-NII Mid / U-NII-2 / Power	5.250–5.350 G	100 MHz	250 mW	1 W
U-NII WorldWide / U-NII-2e	5.470-5.725 G	255 MHz	.		.
U-NII Upper / U-NII-3		5.725-5.825 G	100 MHz	1 W		200 W</v>
      </c>
      <c r="F382" s="31" t="str">
        <f>TR!E382</f>
        <v>Com</v>
      </c>
      <c r="G382" s="31" t="str">
        <f>IF(ISERROR(FIND("Adara",TR!F382)),"","Adara ")</f>
        <v xml:space="preserve">Adara </v>
      </c>
      <c r="H382" s="31" t="str">
        <f>IF(ISERROR(FIND("Copernicus",TR!F382)),"","Copernicus ")</f>
        <v xml:space="preserve">Copernicus </v>
      </c>
      <c r="I382" s="31" t="str">
        <f>IF(ISERROR(FIND("Deneb",TR!F382)),"","Deneb ")</f>
        <v xml:space="preserve">Deneb </v>
      </c>
      <c r="J382" s="37" t="str">
        <f t="shared" si="5"/>
        <v xml:space="preserve">Adara Copernicus Deneb </v>
      </c>
      <c r="K382" s="31" t="str">
        <f>IF(ISBLANK(TR!G382),"",TR!G382)</f>
        <v/>
      </c>
      <c r="L382" s="31" t="str">
        <f>IF(ISBLANK(TR!H382),"",TR!H382)</f>
        <v>FR-DSRSW-1508</v>
      </c>
      <c r="M382" s="30" t="str">
        <f>TR!J382</f>
        <v>Approved</v>
      </c>
      <c r="N382" s="31" t="str">
        <f>IF(OR(M382="Modified",M382="Cosmetic"),VLOOKUP(B382,PrevPFS!B$1:E$833,4,FALSE),"")</f>
        <v/>
      </c>
    </row>
    <row r="383" spans="1:14" ht="45" x14ac:dyDescent="0.25">
      <c r="A383" s="31" t="str">
        <f>IF(ISNONTEXT(TR!K383),"",TR!K383)</f>
        <v/>
      </c>
      <c r="B383" s="32" t="str">
        <f>TR!A383</f>
        <v>TR-DSRSW-2396</v>
      </c>
      <c r="C383" s="31" t="b">
        <f>ISERROR(FIND("-",TR!B383))</f>
        <v>0</v>
      </c>
      <c r="D383" s="31">
        <f>SetIndent(E383,(TR!C383-1)*2)</f>
        <v>4</v>
      </c>
      <c r="E383" s="35" t="str">
        <f>IF(ISERROR(FIND("-",TR!B383)),TR!B383&amp;" "&amp;TR!D383,TR!D383)</f>
        <v>The product SHALL operated in dual band selectable mode.</v>
      </c>
      <c r="F383" s="31" t="str">
        <f>TR!E383</f>
        <v>Req</v>
      </c>
      <c r="G383" s="31" t="str">
        <f>IF(ISERROR(FIND("Adara",TR!F383)),"","Adara ")</f>
        <v xml:space="preserve">Adara </v>
      </c>
      <c r="H383" s="31" t="str">
        <f>IF(ISERROR(FIND("Copernicus",TR!F383)),"","Copernicus ")</f>
        <v xml:space="preserve">Copernicus </v>
      </c>
      <c r="I383" s="31" t="str">
        <f>IF(ISERROR(FIND("Deneb",TR!F383)),"","Deneb ")</f>
        <v xml:space="preserve">Deneb </v>
      </c>
      <c r="J383" s="37" t="str">
        <f t="shared" si="5"/>
        <v xml:space="preserve">Adara Copernicus Deneb </v>
      </c>
      <c r="K383" s="31" t="str">
        <f>IF(ISBLANK(TR!G383),"",TR!G383)</f>
        <v/>
      </c>
      <c r="L383" s="31" t="str">
        <f>IF(ISBLANK(TR!H383),"",TR!H383)</f>
        <v>FR-DSRSW-1508</v>
      </c>
      <c r="M383" s="30" t="str">
        <f>TR!J383</f>
        <v>Approved</v>
      </c>
      <c r="N383" s="31" t="str">
        <f>IF(OR(M383="Modified",M383="Cosmetic"),VLOOKUP(B383,PrevPFS!B$1:E$833,4,FALSE),"")</f>
        <v/>
      </c>
    </row>
    <row r="384" spans="1:14" ht="45" x14ac:dyDescent="0.25">
      <c r="A384" s="31" t="str">
        <f>IF(ISNONTEXT(TR!K384),"",TR!K384)</f>
        <v/>
      </c>
      <c r="B384" s="32" t="str">
        <f>TR!A384</f>
        <v>TR-DSRSW-2278</v>
      </c>
      <c r="C384" s="31" t="b">
        <f>ISERROR(FIND("-",TR!B384))</f>
        <v>1</v>
      </c>
      <c r="D384" s="31">
        <f>SetIndent(E384,(TR!C384-1)*2)</f>
        <v>2</v>
      </c>
      <c r="E384" s="34" t="str">
        <f>IF(ISERROR(FIND("-",TR!B384)),TR!B384&amp;" "&amp;TR!D384,TR!D384)</f>
        <v>17.4 MAC</v>
      </c>
      <c r="F384" s="31" t="str">
        <f>TR!E384</f>
        <v>Hdr</v>
      </c>
      <c r="G384" s="31" t="str">
        <f>IF(ISERROR(FIND("Adara",TR!F384)),"","Adara ")</f>
        <v xml:space="preserve">Adara </v>
      </c>
      <c r="H384" s="31" t="str">
        <f>IF(ISERROR(FIND("Copernicus",TR!F384)),"","Copernicus ")</f>
        <v xml:space="preserve">Copernicus </v>
      </c>
      <c r="I384" s="31" t="str">
        <f>IF(ISERROR(FIND("Deneb",TR!F384)),"","Deneb ")</f>
        <v xml:space="preserve">Deneb </v>
      </c>
      <c r="J384" s="37" t="str">
        <f t="shared" si="5"/>
        <v xml:space="preserve">Adara Copernicus Deneb </v>
      </c>
      <c r="K384" s="31" t="str">
        <f>IF(ISBLANK(TR!G384),"",TR!G384)</f>
        <v/>
      </c>
      <c r="L384" s="31" t="str">
        <f>IF(ISBLANK(TR!H384),"",TR!H384)</f>
        <v>FR-DSRSW-1508</v>
      </c>
      <c r="M384" s="30" t="str">
        <f>TR!J384</f>
        <v>Approved</v>
      </c>
      <c r="N384" s="31" t="str">
        <f>IF(OR(M384="Modified",M384="Cosmetic"),VLOOKUP(B384,PrevPFS!B$1:E$833,4,FALSE),"")</f>
        <v/>
      </c>
    </row>
    <row r="385" spans="1:14" ht="45" x14ac:dyDescent="0.25">
      <c r="A385" s="31" t="str">
        <f>IF(ISNONTEXT(TR!K385),"",TR!K385)</f>
        <v>TR-KA-10166</v>
      </c>
      <c r="B385" s="32" t="str">
        <f>TR!A385</f>
        <v>TR-DSRSW-2279</v>
      </c>
      <c r="C385" s="31" t="b">
        <f>ISERROR(FIND("-",TR!B385))</f>
        <v>0</v>
      </c>
      <c r="D385" s="31">
        <f>SetIndent(E385,(TR!C385-1)*2)</f>
        <v>4</v>
      </c>
      <c r="E385" s="35" t="str">
        <f>IF(ISERROR(FIND("-",TR!B385)),TR!B385&amp;" "&amp;TR!D385,TR!D385)</f>
        <v>The product shall support power save modes according to IEEE 802.11e [80211e]. (Note: 802.11e support is typically included in 802.11n and 802.11ac products)</v>
      </c>
      <c r="F385" s="31" t="str">
        <f>TR!E385</f>
        <v>Req</v>
      </c>
      <c r="G385" s="31" t="str">
        <f>IF(ISERROR(FIND("Adara",TR!F385)),"","Adara ")</f>
        <v xml:space="preserve">Adara </v>
      </c>
      <c r="H385" s="31" t="str">
        <f>IF(ISERROR(FIND("Copernicus",TR!F385)),"","Copernicus ")</f>
        <v xml:space="preserve">Copernicus </v>
      </c>
      <c r="I385" s="31" t="str">
        <f>IF(ISERROR(FIND("Deneb",TR!F385)),"","Deneb ")</f>
        <v xml:space="preserve">Deneb </v>
      </c>
      <c r="J385" s="37" t="str">
        <f t="shared" si="5"/>
        <v xml:space="preserve">Adara Copernicus Deneb </v>
      </c>
      <c r="K385" s="31" t="str">
        <f>IF(ISBLANK(TR!G385),"",TR!G385)</f>
        <v/>
      </c>
      <c r="L385" s="31" t="str">
        <f>IF(ISBLANK(TR!H385),"",TR!H385)</f>
        <v>FR-DSRSW-1508</v>
      </c>
      <c r="M385" s="30" t="str">
        <f>TR!J385</f>
        <v>Approved</v>
      </c>
      <c r="N385" s="31" t="str">
        <f>IF(OR(M385="Modified",M385="Cosmetic"),VLOOKUP(B385,PrevPFS!B$1:E$833,4,FALSE),"")</f>
        <v/>
      </c>
    </row>
    <row r="386" spans="1:14" ht="45" x14ac:dyDescent="0.25">
      <c r="A386" s="31" t="str">
        <f>IF(ISNONTEXT(TR!K386),"",TR!K386)</f>
        <v>TR-KA-10167</v>
      </c>
      <c r="B386" s="32" t="str">
        <f>TR!A386</f>
        <v>TR-DSRSW-2280</v>
      </c>
      <c r="C386" s="31" t="b">
        <f>ISERROR(FIND("-",TR!B386))</f>
        <v>0</v>
      </c>
      <c r="D386" s="31">
        <f>SetIndent(E386,(TR!C386-1)*2)</f>
        <v>4</v>
      </c>
      <c r="E386" s="35" t="str">
        <f>IF(ISERROR(FIND("-",TR!B386)),TR!B386&amp;" "&amp;TR!D386,TR!D386)</f>
        <v>The product shall support traffic prioritization based on Wi-Fi WMM to allow prioritization of video signaling &amp; traffic as well as control traffic.</v>
      </c>
      <c r="F386" s="31" t="str">
        <f>TR!E386</f>
        <v>Req</v>
      </c>
      <c r="G386" s="31" t="str">
        <f>IF(ISERROR(FIND("Adara",TR!F386)),"","Adara ")</f>
        <v xml:space="preserve">Adara </v>
      </c>
      <c r="H386" s="31" t="str">
        <f>IF(ISERROR(FIND("Copernicus",TR!F386)),"","Copernicus ")</f>
        <v xml:space="preserve">Copernicus </v>
      </c>
      <c r="I386" s="31" t="str">
        <f>IF(ISERROR(FIND("Deneb",TR!F386)),"","Deneb ")</f>
        <v xml:space="preserve">Deneb </v>
      </c>
      <c r="J386" s="37" t="str">
        <f t="shared" si="5"/>
        <v xml:space="preserve">Adara Copernicus Deneb </v>
      </c>
      <c r="K386" s="31" t="str">
        <f>IF(ISBLANK(TR!G386),"",TR!G386)</f>
        <v/>
      </c>
      <c r="L386" s="31" t="str">
        <f>IF(ISBLANK(TR!H386),"",TR!H386)</f>
        <v>FR-DSRSW-1508</v>
      </c>
      <c r="M386" s="30" t="str">
        <f>TR!J386</f>
        <v>Approved</v>
      </c>
      <c r="N386" s="31" t="str">
        <f>IF(OR(M386="Modified",M386="Cosmetic"),VLOOKUP(B386,PrevPFS!B$1:E$833,4,FALSE),"")</f>
        <v/>
      </c>
    </row>
    <row r="387" spans="1:14" ht="75" x14ac:dyDescent="0.25">
      <c r="A387" s="31" t="str">
        <f>IF(ISNONTEXT(TR!K387),"",TR!K387)</f>
        <v>TR-KA-10168</v>
      </c>
      <c r="B387" s="32" t="str">
        <f>TR!A387</f>
        <v>TR-DSRSW-2281</v>
      </c>
      <c r="C387" s="31" t="b">
        <f>ISERROR(FIND("-",TR!B387))</f>
        <v>0</v>
      </c>
      <c r="D387" s="31">
        <f>SetIndent(E387,(TR!C387-1)*2)</f>
        <v>4</v>
      </c>
      <c r="E387" s="35" t="str">
        <f>IF(ISERROR(FIND("-",TR!B387)),TR!B387&amp;" "&amp;TR!D387,TR!D387)</f>
        <v>The STB shall classify packets based on the DSCP tag and forward to the WMM queue as specified in the table below:
(Note that client ACKs must also be classified to get priority)</v>
      </c>
      <c r="F387" s="31" t="str">
        <f>TR!E387</f>
        <v>Req</v>
      </c>
      <c r="G387" s="31" t="str">
        <f>IF(ISERROR(FIND("Adara",TR!F387)),"","Adara ")</f>
        <v xml:space="preserve">Adara </v>
      </c>
      <c r="H387" s="31" t="str">
        <f>IF(ISERROR(FIND("Copernicus",TR!F387)),"","Copernicus ")</f>
        <v xml:space="preserve">Copernicus </v>
      </c>
      <c r="I387" s="31" t="str">
        <f>IF(ISERROR(FIND("Deneb",TR!F387)),"","Deneb ")</f>
        <v xml:space="preserve">Deneb </v>
      </c>
      <c r="J387" s="37" t="str">
        <f t="shared" ref="J387:J450" si="6">G387&amp;H387&amp;I387</f>
        <v xml:space="preserve">Adara Copernicus Deneb </v>
      </c>
      <c r="K387" s="31" t="str">
        <f>IF(ISBLANK(TR!G387),"",TR!G387)</f>
        <v/>
      </c>
      <c r="L387" s="31" t="str">
        <f>IF(ISBLANK(TR!H387),"",TR!H387)</f>
        <v>FR-DSRSW-1508</v>
      </c>
      <c r="M387" s="30" t="str">
        <f>TR!J387</f>
        <v>Approved</v>
      </c>
      <c r="N387" s="31" t="str">
        <f>IF(OR(M387="Modified",M387="Cosmetic"),VLOOKUP(B387,PrevPFS!B$1:E$833,4,FALSE),"")</f>
        <v/>
      </c>
    </row>
    <row r="388" spans="1:14" ht="45" x14ac:dyDescent="0.25">
      <c r="A388" s="31" t="str">
        <f>IF(ISNONTEXT(TR!K388),"",TR!K388)</f>
        <v/>
      </c>
      <c r="B388" s="32" t="str">
        <f>TR!A388</f>
        <v>TR-DSRSW-2289</v>
      </c>
      <c r="C388" s="31" t="b">
        <f>ISERROR(FIND("-",TR!B388))</f>
        <v>1</v>
      </c>
      <c r="D388" s="31">
        <f>SetIndent(E388,(TR!C388-1)*2)</f>
        <v>2</v>
      </c>
      <c r="E388" s="34" t="str">
        <f>IF(ISERROR(FIND("-",TR!B388)),TR!B388&amp;" "&amp;TR!D388,TR!D388)</f>
        <v>17.5 Security</v>
      </c>
      <c r="F388" s="31" t="str">
        <f>TR!E388</f>
        <v>Hdr</v>
      </c>
      <c r="G388" s="31" t="str">
        <f>IF(ISERROR(FIND("Adara",TR!F388)),"","Adara ")</f>
        <v xml:space="preserve">Adara </v>
      </c>
      <c r="H388" s="31" t="str">
        <f>IF(ISERROR(FIND("Copernicus",TR!F388)),"","Copernicus ")</f>
        <v xml:space="preserve">Copernicus </v>
      </c>
      <c r="I388" s="31" t="str">
        <f>IF(ISERROR(FIND("Deneb",TR!F388)),"","Deneb ")</f>
        <v xml:space="preserve">Deneb </v>
      </c>
      <c r="J388" s="37" t="str">
        <f t="shared" si="6"/>
        <v xml:space="preserve">Adara Copernicus Deneb </v>
      </c>
      <c r="K388" s="31" t="str">
        <f>IF(ISBLANK(TR!G388),"",TR!G388)</f>
        <v/>
      </c>
      <c r="L388" s="31" t="str">
        <f>IF(ISBLANK(TR!H388),"",TR!H388)</f>
        <v>FR-DSRSW-1508</v>
      </c>
      <c r="M388" s="30" t="str">
        <f>TR!J388</f>
        <v>Approved</v>
      </c>
      <c r="N388" s="31" t="str">
        <f>IF(OR(M388="Modified",M388="Cosmetic"),VLOOKUP(B388,PrevPFS!B$1:E$833,4,FALSE),"")</f>
        <v/>
      </c>
    </row>
    <row r="389" spans="1:14" ht="45" x14ac:dyDescent="0.25">
      <c r="A389" s="31" t="str">
        <f>IF(ISNONTEXT(TR!K389),"",TR!K389)</f>
        <v>TR-KA-10177</v>
      </c>
      <c r="B389" s="32" t="str">
        <f>TR!A389</f>
        <v>TR-DSRSW-2290</v>
      </c>
      <c r="C389" s="31" t="b">
        <f>ISERROR(FIND("-",TR!B389))</f>
        <v>0</v>
      </c>
      <c r="D389" s="31">
        <f>SetIndent(E389,(TR!C389-1)*2)</f>
        <v>4</v>
      </c>
      <c r="E389" s="35" t="str">
        <f>IF(ISERROR(FIND("-",TR!B389)),TR!B389&amp;" "&amp;TR!D389,TR!D389)</f>
        <v>The product shall be capable of supporting WPA and WPA2 encryption.</v>
      </c>
      <c r="F389" s="31" t="str">
        <f>TR!E389</f>
        <v>Req</v>
      </c>
      <c r="G389" s="31" t="str">
        <f>IF(ISERROR(FIND("Adara",TR!F389)),"","Adara ")</f>
        <v xml:space="preserve">Adara </v>
      </c>
      <c r="H389" s="31" t="str">
        <f>IF(ISERROR(FIND("Copernicus",TR!F389)),"","Copernicus ")</f>
        <v xml:space="preserve">Copernicus </v>
      </c>
      <c r="I389" s="31" t="str">
        <f>IF(ISERROR(FIND("Deneb",TR!F389)),"","Deneb ")</f>
        <v xml:space="preserve">Deneb </v>
      </c>
      <c r="J389" s="37" t="str">
        <f t="shared" si="6"/>
        <v xml:space="preserve">Adara Copernicus Deneb </v>
      </c>
      <c r="K389" s="31" t="str">
        <f>IF(ISBLANK(TR!G389),"",TR!G389)</f>
        <v/>
      </c>
      <c r="L389" s="31" t="str">
        <f>IF(ISBLANK(TR!H389),"",TR!H389)</f>
        <v>FR-DSRSW-1508</v>
      </c>
      <c r="M389" s="30" t="str">
        <f>TR!J389</f>
        <v>Approved</v>
      </c>
      <c r="N389" s="31" t="str">
        <f>IF(OR(M389="Modified",M389="Cosmetic"),VLOOKUP(B389,PrevPFS!B$1:E$833,4,FALSE),"")</f>
        <v/>
      </c>
    </row>
    <row r="390" spans="1:14" ht="45" x14ac:dyDescent="0.25">
      <c r="A390" s="31" t="str">
        <f>IF(ISNONTEXT(TR!K390),"",TR!K390)</f>
        <v>TR-KA-10177</v>
      </c>
      <c r="B390" s="32" t="str">
        <f>TR!A390</f>
        <v>TR-DSRSW-2335</v>
      </c>
      <c r="C390" s="31" t="b">
        <f>ISERROR(FIND("-",TR!B390))</f>
        <v>0</v>
      </c>
      <c r="D390" s="31">
        <f>SetIndent(E390,(TR!C390-1)*2)</f>
        <v>4</v>
      </c>
      <c r="E390" s="35" t="str">
        <f>IF(ISERROR(FIND("-",TR!B390)),TR!B390&amp;" "&amp;TR!D390,TR!D390)</f>
        <v>The product shall support 128 bit AES encryption.</v>
      </c>
      <c r="F390" s="31" t="str">
        <f>TR!E390</f>
        <v>Req</v>
      </c>
      <c r="G390" s="31" t="str">
        <f>IF(ISERROR(FIND("Adara",TR!F390)),"","Adara ")</f>
        <v xml:space="preserve">Adara </v>
      </c>
      <c r="H390" s="31" t="str">
        <f>IF(ISERROR(FIND("Copernicus",TR!F390)),"","Copernicus ")</f>
        <v xml:space="preserve">Copernicus </v>
      </c>
      <c r="I390" s="31" t="str">
        <f>IF(ISERROR(FIND("Deneb",TR!F390)),"","Deneb ")</f>
        <v xml:space="preserve">Deneb </v>
      </c>
      <c r="J390" s="37" t="str">
        <f t="shared" si="6"/>
        <v xml:space="preserve">Adara Copernicus Deneb </v>
      </c>
      <c r="K390" s="31" t="str">
        <f>IF(ISBLANK(TR!G390),"",TR!G390)</f>
        <v/>
      </c>
      <c r="L390" s="31" t="str">
        <f>IF(ISBLANK(TR!H390),"",TR!H390)</f>
        <v>FR-DSRSW-1508</v>
      </c>
      <c r="M390" s="30" t="str">
        <f>TR!J390</f>
        <v>Approved</v>
      </c>
      <c r="N390" s="31" t="str">
        <f>IF(OR(M390="Modified",M390="Cosmetic"),VLOOKUP(B390,PrevPFS!B$1:E$833,4,FALSE),"")</f>
        <v/>
      </c>
    </row>
    <row r="391" spans="1:14" ht="45" x14ac:dyDescent="0.25">
      <c r="A391" s="31" t="str">
        <f>IF(ISNONTEXT(TR!K391),"",TR!K391)</f>
        <v>TR-KA-10177</v>
      </c>
      <c r="B391" s="32" t="str">
        <f>TR!A391</f>
        <v>TR-DSRSW-2336</v>
      </c>
      <c r="C391" s="31" t="b">
        <f>ISERROR(FIND("-",TR!B391))</f>
        <v>0</v>
      </c>
      <c r="D391" s="31">
        <f>SetIndent(E391,(TR!C391-1)*2)</f>
        <v>4</v>
      </c>
      <c r="E391" s="35" t="str">
        <f>IF(ISERROR(FIND("-",TR!B391)),TR!B391&amp;" "&amp;TR!D391,TR!D391)</f>
        <v>AES shall be the default encryption.</v>
      </c>
      <c r="F391" s="31" t="str">
        <f>TR!E391</f>
        <v>Req</v>
      </c>
      <c r="G391" s="31" t="str">
        <f>IF(ISERROR(FIND("Adara",TR!F391)),"","Adara ")</f>
        <v xml:space="preserve">Adara </v>
      </c>
      <c r="H391" s="31" t="str">
        <f>IF(ISERROR(FIND("Copernicus",TR!F391)),"","Copernicus ")</f>
        <v xml:space="preserve">Copernicus </v>
      </c>
      <c r="I391" s="31" t="str">
        <f>IF(ISERROR(FIND("Deneb",TR!F391)),"","Deneb ")</f>
        <v xml:space="preserve">Deneb </v>
      </c>
      <c r="J391" s="37" t="str">
        <f t="shared" si="6"/>
        <v xml:space="preserve">Adara Copernicus Deneb </v>
      </c>
      <c r="K391" s="31" t="str">
        <f>IF(ISBLANK(TR!G391),"",TR!G391)</f>
        <v/>
      </c>
      <c r="L391" s="31" t="str">
        <f>IF(ISBLANK(TR!H391),"",TR!H391)</f>
        <v>FR-DSRSW-1508</v>
      </c>
      <c r="M391" s="30" t="str">
        <f>TR!J391</f>
        <v>Approved</v>
      </c>
      <c r="N391" s="31" t="str">
        <f>IF(OR(M391="Modified",M391="Cosmetic"),VLOOKUP(B391,PrevPFS!B$1:E$833,4,FALSE),"")</f>
        <v/>
      </c>
    </row>
    <row r="392" spans="1:14" ht="45" x14ac:dyDescent="0.25">
      <c r="A392" s="31" t="str">
        <f>IF(ISNONTEXT(TR!K392),"",TR!K392)</f>
        <v>TR-KA-10178</v>
      </c>
      <c r="B392" s="32" t="str">
        <f>TR!A392</f>
        <v>TR-DSRSW-2291</v>
      </c>
      <c r="C392" s="31" t="b">
        <f>ISERROR(FIND("-",TR!B392))</f>
        <v>0</v>
      </c>
      <c r="D392" s="31">
        <f>SetIndent(E392,(TR!C392-1)*2)</f>
        <v>4</v>
      </c>
      <c r="E392" s="35" t="str">
        <f>IF(ISERROR(FIND("-",TR!B392)),TR!B392&amp;" "&amp;TR!D392,TR!D392)</f>
        <v>The product shall support Wi-Fi Protected Setup (WPS) Push Button Configuration (PBC) authentication method.  (Note that the push button is implemented as a virtual push button on a Shaw app user screen).</v>
      </c>
      <c r="F392" s="31" t="str">
        <f>TR!E392</f>
        <v>Req</v>
      </c>
      <c r="G392" s="31" t="str">
        <f>IF(ISERROR(FIND("Adara",TR!F392)),"","Adara ")</f>
        <v xml:space="preserve">Adara </v>
      </c>
      <c r="H392" s="31" t="str">
        <f>IF(ISERROR(FIND("Copernicus",TR!F392)),"","Copernicus ")</f>
        <v xml:space="preserve">Copernicus </v>
      </c>
      <c r="I392" s="31" t="str">
        <f>IF(ISERROR(FIND("Deneb",TR!F392)),"","Deneb ")</f>
        <v xml:space="preserve">Deneb </v>
      </c>
      <c r="J392" s="37" t="str">
        <f t="shared" si="6"/>
        <v xml:space="preserve">Adara Copernicus Deneb </v>
      </c>
      <c r="K392" s="31" t="str">
        <f>IF(ISBLANK(TR!G392),"",TR!G392)</f>
        <v/>
      </c>
      <c r="L392" s="31" t="str">
        <f>IF(ISBLANK(TR!H392),"",TR!H392)</f>
        <v>FR-DSRSW-1508</v>
      </c>
      <c r="M392" s="30" t="str">
        <f>TR!J392</f>
        <v>Approved</v>
      </c>
      <c r="N392" s="31" t="str">
        <f>IF(OR(M392="Modified",M392="Cosmetic"),VLOOKUP(B392,PrevPFS!B$1:E$833,4,FALSE),"")</f>
        <v/>
      </c>
    </row>
    <row r="393" spans="1:14" ht="45" x14ac:dyDescent="0.25">
      <c r="A393" s="31" t="str">
        <f>IF(ISNONTEXT(TR!K393),"",TR!K393)</f>
        <v>TR-KA-10178</v>
      </c>
      <c r="B393" s="32" t="str">
        <f>TR!A393</f>
        <v>TR-DSRSW-2395</v>
      </c>
      <c r="C393" s="31" t="b">
        <f>ISERROR(FIND("-",TR!B393))</f>
        <v>0</v>
      </c>
      <c r="D393" s="31">
        <f>SetIndent(E393,(TR!C393-1)*2)</f>
        <v>4</v>
      </c>
      <c r="E393" s="35" t="str">
        <f>IF(ISERROR(FIND("-",TR!B393)),TR!B393&amp;" "&amp;TR!D393,TR!D393)</f>
        <v>The product shall support WPA-Personal PSK (Pre-Shared Key) authentication method.</v>
      </c>
      <c r="F393" s="31" t="str">
        <f>TR!E393</f>
        <v>Req</v>
      </c>
      <c r="G393" s="31" t="str">
        <f>IF(ISERROR(FIND("Adara",TR!F393)),"","Adara ")</f>
        <v xml:space="preserve">Adara </v>
      </c>
      <c r="H393" s="31" t="str">
        <f>IF(ISERROR(FIND("Copernicus",TR!F393)),"","Copernicus ")</f>
        <v xml:space="preserve">Copernicus </v>
      </c>
      <c r="I393" s="31" t="str">
        <f>IF(ISERROR(FIND("Deneb",TR!F393)),"","Deneb ")</f>
        <v xml:space="preserve">Deneb </v>
      </c>
      <c r="J393" s="37" t="str">
        <f t="shared" si="6"/>
        <v xml:space="preserve">Adara Copernicus Deneb </v>
      </c>
      <c r="K393" s="31" t="str">
        <f>IF(ISBLANK(TR!G393),"",TR!G393)</f>
        <v/>
      </c>
      <c r="L393" s="31" t="str">
        <f>IF(ISBLANK(TR!H393),"",TR!H393)</f>
        <v>FR-DSRSW-1508</v>
      </c>
      <c r="M393" s="30" t="str">
        <f>TR!J393</f>
        <v>Approved</v>
      </c>
      <c r="N393" s="31" t="str">
        <f>IF(OR(M393="Modified",M393="Cosmetic"),VLOOKUP(B393,PrevPFS!B$1:E$833,4,FALSE),"")</f>
        <v/>
      </c>
    </row>
    <row r="394" spans="1:14" ht="45" x14ac:dyDescent="0.25">
      <c r="A394" s="31" t="str">
        <f>IF(ISNONTEXT(TR!K394),"",TR!K394)</f>
        <v/>
      </c>
      <c r="B394" s="32" t="str">
        <f>TR!A394</f>
        <v>TR-DSRSW-2215</v>
      </c>
      <c r="C394" s="31" t="b">
        <f>ISERROR(FIND("-",TR!B394))</f>
        <v>0</v>
      </c>
      <c r="D394" s="31">
        <f>SetIndent(E394,(TR!C394-1)*2)</f>
        <v>4</v>
      </c>
      <c r="E394" s="35" t="str">
        <f>IF(ISERROR(FIND("-",TR!B394)),TR!B394&amp;" "&amp;TR!D394,TR!D394)</f>
        <v>The product SHALL protect the Wi-Fi password in secure encrypted memory.</v>
      </c>
      <c r="F394" s="31" t="str">
        <f>TR!E394</f>
        <v>Req</v>
      </c>
      <c r="G394" s="31" t="str">
        <f>IF(ISERROR(FIND("Adara",TR!F394)),"","Adara ")</f>
        <v xml:space="preserve">Adara </v>
      </c>
      <c r="H394" s="31" t="str">
        <f>IF(ISERROR(FIND("Copernicus",TR!F394)),"","Copernicus ")</f>
        <v xml:space="preserve">Copernicus </v>
      </c>
      <c r="I394" s="31" t="str">
        <f>IF(ISERROR(FIND("Deneb",TR!F394)),"","Deneb ")</f>
        <v xml:space="preserve">Deneb </v>
      </c>
      <c r="J394" s="37" t="str">
        <f t="shared" si="6"/>
        <v xml:space="preserve">Adara Copernicus Deneb </v>
      </c>
      <c r="K394" s="31" t="str">
        <f>IF(ISBLANK(TR!G394),"",TR!G394)</f>
        <v/>
      </c>
      <c r="L394" s="31" t="str">
        <f>IF(ISBLANK(TR!H394),"",TR!H394)</f>
        <v>FR-DSRSW-1508</v>
      </c>
      <c r="M394" s="30" t="str">
        <f>TR!J394</f>
        <v>Approved</v>
      </c>
      <c r="N394" s="31" t="str">
        <f>IF(OR(M394="Modified",M394="Cosmetic"),VLOOKUP(B394,PrevPFS!B$1:E$833,4,FALSE),"")</f>
        <v/>
      </c>
    </row>
    <row r="395" spans="1:14" ht="45" x14ac:dyDescent="0.25">
      <c r="A395" s="31" t="str">
        <f>IF(ISNONTEXT(TR!K395),"",TR!K395)</f>
        <v>TR-KA-101xx</v>
      </c>
      <c r="B395" s="32" t="str">
        <f>TR!A395</f>
        <v>TR-DSRSW-2308</v>
      </c>
      <c r="C395" s="31" t="b">
        <f>ISERROR(FIND("-",TR!B395))</f>
        <v>1</v>
      </c>
      <c r="D395" s="31">
        <f>SetIndent(E395,(TR!C395-1)*2)</f>
        <v>2</v>
      </c>
      <c r="E395" s="34" t="str">
        <f>IF(ISERROR(FIND("-",TR!B395)),TR!B395&amp;" "&amp;TR!D395,TR!D395)</f>
        <v>17.8 Application Support</v>
      </c>
      <c r="F395" s="31" t="str">
        <f>TR!E395</f>
        <v>Hdr</v>
      </c>
      <c r="G395" s="31" t="str">
        <f>IF(ISERROR(FIND("Adara",TR!F395)),"","Adara ")</f>
        <v xml:space="preserve">Adara </v>
      </c>
      <c r="H395" s="31" t="str">
        <f>IF(ISERROR(FIND("Copernicus",TR!F395)),"","Copernicus ")</f>
        <v xml:space="preserve">Copernicus </v>
      </c>
      <c r="I395" s="31" t="str">
        <f>IF(ISERROR(FIND("Deneb",TR!F395)),"","Deneb ")</f>
        <v xml:space="preserve">Deneb </v>
      </c>
      <c r="J395" s="37" t="str">
        <f t="shared" si="6"/>
        <v xml:space="preserve">Adara Copernicus Deneb </v>
      </c>
      <c r="K395" s="31" t="str">
        <f>IF(ISBLANK(TR!G395),"",TR!G395)</f>
        <v/>
      </c>
      <c r="L395" s="31" t="str">
        <f>IF(ISBLANK(TR!H395),"",TR!H395)</f>
        <v>FR-DSRSW-1508</v>
      </c>
      <c r="M395" s="30" t="str">
        <f>TR!J395</f>
        <v>Approved</v>
      </c>
      <c r="N395" s="31" t="str">
        <f>IF(OR(M395="Modified",M395="Cosmetic"),VLOOKUP(B395,PrevPFS!B$1:E$833,4,FALSE),"")</f>
        <v/>
      </c>
    </row>
    <row r="396" spans="1:14" ht="45" x14ac:dyDescent="0.25">
      <c r="A396" s="31" t="str">
        <f>IF(ISNONTEXT(TR!K396),"",TR!K396)</f>
        <v>TR-KA-101xx</v>
      </c>
      <c r="B396" s="32" t="str">
        <f>TR!A396</f>
        <v>TR-DSRSW-2491</v>
      </c>
      <c r="C396" s="31" t="b">
        <f>ISERROR(FIND("-",TR!B396))</f>
        <v>0</v>
      </c>
      <c r="D396" s="31">
        <f>SetIndent(E396,(TR!C396-1)*2)</f>
        <v>4</v>
      </c>
      <c r="E396" s="35" t="str">
        <f>IF(ISERROR(FIND("-",TR!B396)),TR!B396&amp;" "&amp;TR!D396,TR!D396)</f>
        <v>These controls are a subset of the wide range of controls that a Wireless module provides to the application.</v>
      </c>
      <c r="F396" s="31" t="str">
        <f>TR!E396</f>
        <v>Com</v>
      </c>
      <c r="G396" s="31" t="str">
        <f>IF(ISERROR(FIND("Adara",TR!F396)),"","Adara ")</f>
        <v xml:space="preserve">Adara </v>
      </c>
      <c r="H396" s="31" t="str">
        <f>IF(ISERROR(FIND("Copernicus",TR!F396)),"","Copernicus ")</f>
        <v xml:space="preserve">Copernicus </v>
      </c>
      <c r="I396" s="31" t="str">
        <f>IF(ISERROR(FIND("Deneb",TR!F396)),"","Deneb ")</f>
        <v xml:space="preserve">Deneb </v>
      </c>
      <c r="J396" s="37" t="str">
        <f t="shared" si="6"/>
        <v xml:space="preserve">Adara Copernicus Deneb </v>
      </c>
      <c r="K396" s="31" t="str">
        <f>IF(ISBLANK(TR!G396),"",TR!G396)</f>
        <v/>
      </c>
      <c r="L396" s="31" t="str">
        <f>IF(ISBLANK(TR!H396),"",TR!H396)</f>
        <v/>
      </c>
      <c r="M396" s="30" t="str">
        <f>TR!J396</f>
        <v>Approved</v>
      </c>
      <c r="N396" s="31" t="str">
        <f>IF(OR(M396="Modified",M396="Cosmetic"),VLOOKUP(B396,PrevPFS!B$1:E$833,4,FALSE),"")</f>
        <v/>
      </c>
    </row>
    <row r="397" spans="1:14" ht="45" x14ac:dyDescent="0.25">
      <c r="A397" s="31" t="str">
        <f>IF(ISNONTEXT(TR!K397),"",TR!K397)</f>
        <v>TR-KA-10200</v>
      </c>
      <c r="B397" s="32" t="str">
        <f>TR!A397</f>
        <v>TR-DSRSW-2309</v>
      </c>
      <c r="C397" s="31" t="b">
        <f>ISERROR(FIND("-",TR!B397))</f>
        <v>0</v>
      </c>
      <c r="D397" s="31">
        <f>SetIndent(E397,(TR!C397-1)*2)</f>
        <v>4</v>
      </c>
      <c r="E397" s="35" t="str">
        <f>IF(ISERROR(FIND("-",TR!B397)),TR!B397&amp;" "&amp;TR!D397,TR!D397)</f>
        <v>The product SHALL provide an API that allows the application to read the Wi-Fi Wireless Interface MAC address.</v>
      </c>
      <c r="F397" s="31" t="str">
        <f>TR!E397</f>
        <v>Req</v>
      </c>
      <c r="G397" s="31" t="str">
        <f>IF(ISERROR(FIND("Adara",TR!F397)),"","Adara ")</f>
        <v xml:space="preserve">Adara </v>
      </c>
      <c r="H397" s="31" t="str">
        <f>IF(ISERROR(FIND("Copernicus",TR!F397)),"","Copernicus ")</f>
        <v xml:space="preserve">Copernicus </v>
      </c>
      <c r="I397" s="31" t="str">
        <f>IF(ISERROR(FIND("Deneb",TR!F397)),"","Deneb ")</f>
        <v xml:space="preserve">Deneb </v>
      </c>
      <c r="J397" s="37" t="str">
        <f t="shared" si="6"/>
        <v xml:space="preserve">Adara Copernicus Deneb </v>
      </c>
      <c r="K397" s="31" t="str">
        <f>IF(ISBLANK(TR!G397),"",TR!G397)</f>
        <v/>
      </c>
      <c r="L397" s="31" t="str">
        <f>IF(ISBLANK(TR!H397),"",TR!H397)</f>
        <v>FR-DSRSW-1508</v>
      </c>
      <c r="M397" s="30" t="str">
        <f>TR!J397</f>
        <v>Approved</v>
      </c>
      <c r="N397" s="31" t="str">
        <f>IF(OR(M397="Modified",M397="Cosmetic"),VLOOKUP(B397,PrevPFS!B$1:E$833,4,FALSE),"")</f>
        <v/>
      </c>
    </row>
    <row r="398" spans="1:14" ht="45" x14ac:dyDescent="0.25">
      <c r="A398" s="31" t="str">
        <f>IF(ISNONTEXT(TR!K398),"",TR!K398)</f>
        <v>TR-KA-11855</v>
      </c>
      <c r="B398" s="32" t="str">
        <f>TR!A398</f>
        <v>TR-DSRSW-2310</v>
      </c>
      <c r="C398" s="31" t="b">
        <f>ISERROR(FIND("-",TR!B398))</f>
        <v>0</v>
      </c>
      <c r="D398" s="31">
        <f>SetIndent(E398,(TR!C398-1)*2)</f>
        <v>4</v>
      </c>
      <c r="E398" s="35" t="str">
        <f>IF(ISERROR(FIND("-",TR!B398)),TR!B398&amp;" "&amp;TR!D398,TR!D398)</f>
        <v>The product SHALL provide an API that allows the application to enable/disable the Wi-Fi Radio.</v>
      </c>
      <c r="F398" s="31" t="str">
        <f>TR!E398</f>
        <v>Req</v>
      </c>
      <c r="G398" s="31" t="str">
        <f>IF(ISERROR(FIND("Adara",TR!F398)),"","Adara ")</f>
        <v xml:space="preserve">Adara </v>
      </c>
      <c r="H398" s="31" t="str">
        <f>IF(ISERROR(FIND("Copernicus",TR!F398)),"","Copernicus ")</f>
        <v xml:space="preserve">Copernicus </v>
      </c>
      <c r="I398" s="31" t="str">
        <f>IF(ISERROR(FIND("Deneb",TR!F398)),"","Deneb ")</f>
        <v xml:space="preserve">Deneb </v>
      </c>
      <c r="J398" s="37" t="str">
        <f t="shared" si="6"/>
        <v xml:space="preserve">Adara Copernicus Deneb </v>
      </c>
      <c r="K398" s="31" t="str">
        <f>IF(ISBLANK(TR!G398),"",TR!G398)</f>
        <v/>
      </c>
      <c r="L398" s="31" t="str">
        <f>IF(ISBLANK(TR!H398),"",TR!H398)</f>
        <v>FR-DSRSW-1508</v>
      </c>
      <c r="M398" s="30" t="str">
        <f>TR!J398</f>
        <v>Approved</v>
      </c>
      <c r="N398" s="31" t="str">
        <f>IF(OR(M398="Modified",M398="Cosmetic"),VLOOKUP(B398,PrevPFS!B$1:E$833,4,FALSE),"")</f>
        <v/>
      </c>
    </row>
    <row r="399" spans="1:14" ht="45" x14ac:dyDescent="0.25">
      <c r="A399" s="31" t="str">
        <f>IF(ISNONTEXT(TR!K399),"",TR!K399)</f>
        <v>TR-KA-11856</v>
      </c>
      <c r="B399" s="32" t="str">
        <f>TR!A399</f>
        <v>TR-DSRSW-2313</v>
      </c>
      <c r="C399" s="31" t="b">
        <f>ISERROR(FIND("-",TR!B399))</f>
        <v>0</v>
      </c>
      <c r="D399" s="31">
        <f>SetIndent(E399,(TR!C399-1)*2)</f>
        <v>4</v>
      </c>
      <c r="E399" s="35" t="str">
        <f>IF(ISERROR(FIND("-",TR!B399)),TR!B399&amp;" "&amp;TR!D399,TR!D399)</f>
        <v>The product shall provide an API so the application can determine Wi-Fi connection status.</v>
      </c>
      <c r="F399" s="31" t="str">
        <f>TR!E399</f>
        <v>Req</v>
      </c>
      <c r="G399" s="31" t="str">
        <f>IF(ISERROR(FIND("Adara",TR!F399)),"","Adara ")</f>
        <v xml:space="preserve">Adara </v>
      </c>
      <c r="H399" s="31" t="str">
        <f>IF(ISERROR(FIND("Copernicus",TR!F399)),"","Copernicus ")</f>
        <v xml:space="preserve">Copernicus </v>
      </c>
      <c r="I399" s="31" t="str">
        <f>IF(ISERROR(FIND("Deneb",TR!F399)),"","Deneb ")</f>
        <v xml:space="preserve">Deneb </v>
      </c>
      <c r="J399" s="37" t="str">
        <f t="shared" si="6"/>
        <v xml:space="preserve">Adara Copernicus Deneb </v>
      </c>
      <c r="K399" s="31" t="str">
        <f>IF(ISBLANK(TR!G399),"",TR!G399)</f>
        <v/>
      </c>
      <c r="L399" s="31" t="str">
        <f>IF(ISBLANK(TR!H399),"",TR!H399)</f>
        <v>FR-DSRSW-1508</v>
      </c>
      <c r="M399" s="30" t="str">
        <f>TR!J399</f>
        <v>Approved</v>
      </c>
      <c r="N399" s="31" t="str">
        <f>IF(OR(M399="Modified",M399="Cosmetic"),VLOOKUP(B399,PrevPFS!B$1:E$833,4,FALSE),"")</f>
        <v/>
      </c>
    </row>
    <row r="400" spans="1:14" ht="45" x14ac:dyDescent="0.25">
      <c r="A400" s="31" t="str">
        <f>IF(ISNONTEXT(TR!K400),"",TR!K400)</f>
        <v>TR-KA-11857</v>
      </c>
      <c r="B400" s="32" t="str">
        <f>TR!A400</f>
        <v>TR-DSRSW-2314</v>
      </c>
      <c r="C400" s="31" t="b">
        <f>ISERROR(FIND("-",TR!B400))</f>
        <v>0</v>
      </c>
      <c r="D400" s="31">
        <f>SetIndent(E400,(TR!C400-1)*2)</f>
        <v>4</v>
      </c>
      <c r="E400" s="35" t="str">
        <f>IF(ISERROR(FIND("-",TR!B400)),TR!B400&amp;" "&amp;TR!D400,TR!D400)</f>
        <v xml:space="preserve">The product shall provide an API for the application to initiate pairing with a wireless access point.  </v>
      </c>
      <c r="F400" s="31" t="str">
        <f>TR!E400</f>
        <v>Req</v>
      </c>
      <c r="G400" s="31" t="str">
        <f>IF(ISERROR(FIND("Adara",TR!F400)),"","Adara ")</f>
        <v xml:space="preserve">Adara </v>
      </c>
      <c r="H400" s="31" t="str">
        <f>IF(ISERROR(FIND("Copernicus",TR!F400)),"","Copernicus ")</f>
        <v xml:space="preserve">Copernicus </v>
      </c>
      <c r="I400" s="31" t="str">
        <f>IF(ISERROR(FIND("Deneb",TR!F400)),"","Deneb ")</f>
        <v xml:space="preserve">Deneb </v>
      </c>
      <c r="J400" s="37" t="str">
        <f t="shared" si="6"/>
        <v xml:space="preserve">Adara Copernicus Deneb </v>
      </c>
      <c r="K400" s="31" t="str">
        <f>IF(ISBLANK(TR!G400),"",TR!G400)</f>
        <v/>
      </c>
      <c r="L400" s="31" t="str">
        <f>IF(ISBLANK(TR!H400),"",TR!H400)</f>
        <v>FR-DSRSW-1508</v>
      </c>
      <c r="M400" s="30" t="str">
        <f>TR!J400</f>
        <v>Approved</v>
      </c>
      <c r="N400" s="31" t="str">
        <f>IF(OR(M400="Modified",M400="Cosmetic"),VLOOKUP(B400,PrevPFS!B$1:E$833,4,FALSE),"")</f>
        <v/>
      </c>
    </row>
    <row r="401" spans="1:14" ht="45" x14ac:dyDescent="0.25">
      <c r="A401" s="31" t="str">
        <f>IF(ISNONTEXT(TR!K401),"",TR!K401)</f>
        <v>TR-KA-101xx</v>
      </c>
      <c r="B401" s="32" t="str">
        <f>TR!A401</f>
        <v>TR-DSRSW-2317</v>
      </c>
      <c r="C401" s="31" t="b">
        <f>ISERROR(FIND("-",TR!B401))</f>
        <v>1</v>
      </c>
      <c r="D401" s="31">
        <f>SetIndent(E401,(TR!C401-1)*2)</f>
        <v>2</v>
      </c>
      <c r="E401" s="34" t="str">
        <f>IF(ISERROR(FIND("-",TR!B401)),TR!B401&amp;" "&amp;TR!D401,TR!D401)</f>
        <v>17.9 Wireless Network Setup</v>
      </c>
      <c r="F401" s="31" t="str">
        <f>TR!E401</f>
        <v>Hdr</v>
      </c>
      <c r="G401" s="31" t="str">
        <f>IF(ISERROR(FIND("Adara",TR!F401)),"","Adara ")</f>
        <v xml:space="preserve">Adara </v>
      </c>
      <c r="H401" s="31" t="str">
        <f>IF(ISERROR(FIND("Copernicus",TR!F401)),"","Copernicus ")</f>
        <v xml:space="preserve">Copernicus </v>
      </c>
      <c r="I401" s="31" t="str">
        <f>IF(ISERROR(FIND("Deneb",TR!F401)),"","Deneb ")</f>
        <v xml:space="preserve">Deneb </v>
      </c>
      <c r="J401" s="37" t="str">
        <f t="shared" si="6"/>
        <v xml:space="preserve">Adara Copernicus Deneb </v>
      </c>
      <c r="K401" s="31" t="str">
        <f>IF(ISBLANK(TR!G401),"",TR!G401)</f>
        <v/>
      </c>
      <c r="L401" s="31" t="str">
        <f>IF(ISBLANK(TR!H401),"",TR!H401)</f>
        <v>FR-DSRSW-1508</v>
      </c>
      <c r="M401" s="30" t="str">
        <f>TR!J401</f>
        <v>Approved</v>
      </c>
      <c r="N401" s="31" t="str">
        <f>IF(OR(M401="Modified",M401="Cosmetic"),VLOOKUP(B401,PrevPFS!B$1:E$833,4,FALSE),"")</f>
        <v/>
      </c>
    </row>
    <row r="402" spans="1:14" ht="45" x14ac:dyDescent="0.25">
      <c r="A402" s="31" t="str">
        <f>IF(ISNONTEXT(TR!K402),"",TR!K402)</f>
        <v>TR-KA-10187</v>
      </c>
      <c r="B402" s="32" t="str">
        <f>TR!A402</f>
        <v>TR-DSRSW-2302</v>
      </c>
      <c r="C402" s="31" t="b">
        <f>ISERROR(FIND("-",TR!B402))</f>
        <v>0</v>
      </c>
      <c r="D402" s="31">
        <f>SetIndent(E402,(TR!C402-1)*2)</f>
        <v>4</v>
      </c>
      <c r="E402" s="35" t="str">
        <f>IF(ISERROR(FIND("-",TR!B402)),TR!B402&amp;" "&amp;TR!D402,TR!D402)</f>
        <v>The product shall store wireless configuration parameters in non-volatile memory.</v>
      </c>
      <c r="F402" s="31" t="str">
        <f>TR!E402</f>
        <v>Req</v>
      </c>
      <c r="G402" s="31" t="str">
        <f>IF(ISERROR(FIND("Adara",TR!F402)),"","Adara ")</f>
        <v xml:space="preserve">Adara </v>
      </c>
      <c r="H402" s="31" t="str">
        <f>IF(ISERROR(FIND("Copernicus",TR!F402)),"","Copernicus ")</f>
        <v xml:space="preserve">Copernicus </v>
      </c>
      <c r="I402" s="31" t="str">
        <f>IF(ISERROR(FIND("Deneb",TR!F402)),"","Deneb ")</f>
        <v xml:space="preserve">Deneb </v>
      </c>
      <c r="J402" s="37" t="str">
        <f t="shared" si="6"/>
        <v xml:space="preserve">Adara Copernicus Deneb </v>
      </c>
      <c r="K402" s="31" t="str">
        <f>IF(ISBLANK(TR!G402),"",TR!G402)</f>
        <v/>
      </c>
      <c r="L402" s="31" t="str">
        <f>IF(ISBLANK(TR!H402),"",TR!H402)</f>
        <v>FR-DSRSW-1508</v>
      </c>
      <c r="M402" s="30" t="str">
        <f>TR!J402</f>
        <v>Approved</v>
      </c>
      <c r="N402" s="31" t="str">
        <f>IF(OR(M402="Modified",M402="Cosmetic"),VLOOKUP(B402,PrevPFS!B$1:E$833,4,FALSE),"")</f>
        <v/>
      </c>
    </row>
    <row r="403" spans="1:14" ht="45" x14ac:dyDescent="0.25">
      <c r="A403" s="31" t="str">
        <f>IF(ISNONTEXT(TR!K403),"",TR!K403)</f>
        <v>TR-KA-11848</v>
      </c>
      <c r="B403" s="32" t="str">
        <f>TR!A403</f>
        <v>TR-DSRSW-2322</v>
      </c>
      <c r="C403" s="31" t="b">
        <f>ISERROR(FIND("-",TR!B403))</f>
        <v>0</v>
      </c>
      <c r="D403" s="31">
        <f>SetIndent(E403,(TR!C403-1)*2)</f>
        <v>4</v>
      </c>
      <c r="E403" s="35" t="str">
        <f>IF(ISERROR(FIND("-",TR!B403)),TR!B403&amp;" "&amp;TR!D403,TR!D403)</f>
        <v>The product shall provide feedback to the end user indicating the Wi-Fi networks that are detected.  The feedback should include the signal strength, the SSID, and if the network is open or protected.</v>
      </c>
      <c r="F403" s="31" t="str">
        <f>TR!E403</f>
        <v>Req</v>
      </c>
      <c r="G403" s="31" t="str">
        <f>IF(ISERROR(FIND("Adara",TR!F403)),"","Adara ")</f>
        <v xml:space="preserve">Adara </v>
      </c>
      <c r="H403" s="31" t="str">
        <f>IF(ISERROR(FIND("Copernicus",TR!F403)),"","Copernicus ")</f>
        <v xml:space="preserve">Copernicus </v>
      </c>
      <c r="I403" s="31" t="str">
        <f>IF(ISERROR(FIND("Deneb",TR!F403)),"","Deneb ")</f>
        <v xml:space="preserve">Deneb </v>
      </c>
      <c r="J403" s="37" t="str">
        <f t="shared" si="6"/>
        <v xml:space="preserve">Adara Copernicus Deneb </v>
      </c>
      <c r="K403" s="31" t="str">
        <f>IF(ISBLANK(TR!G403),"",TR!G403)</f>
        <v/>
      </c>
      <c r="L403" s="31" t="str">
        <f>IF(ISBLANK(TR!H403),"",TR!H403)</f>
        <v>FR-DSRSW-1508</v>
      </c>
      <c r="M403" s="30" t="str">
        <f>TR!J403</f>
        <v>Approved</v>
      </c>
      <c r="N403" s="31" t="str">
        <f>IF(OR(M403="Modified",M403="Cosmetic"),VLOOKUP(B403,PrevPFS!B$1:E$833,4,FALSE),"")</f>
        <v/>
      </c>
    </row>
    <row r="404" spans="1:14" ht="45" x14ac:dyDescent="0.25">
      <c r="A404" s="31" t="str">
        <f>IF(ISNONTEXT(TR!K404),"",TR!K404)</f>
        <v>TR-KA-11852</v>
      </c>
      <c r="B404" s="32" t="str">
        <f>TR!A404</f>
        <v>TR-DSRSW-2326</v>
      </c>
      <c r="C404" s="31" t="b">
        <f>ISERROR(FIND("-",TR!B404))</f>
        <v>0</v>
      </c>
      <c r="D404" s="31">
        <f>SetIndent(E404,(TR!C404-1)*2)</f>
        <v>4</v>
      </c>
      <c r="E404" s="35" t="str">
        <f>IF(ISERROR(FIND("-",TR!B404)),TR!B404&amp;" "&amp;TR!D404,TR!D404)</f>
        <v>The product shall display success/failure feedback to the end user as a result of network entry attempts.</v>
      </c>
      <c r="F404" s="31" t="str">
        <f>TR!E404</f>
        <v>Req</v>
      </c>
      <c r="G404" s="31" t="str">
        <f>IF(ISERROR(FIND("Adara",TR!F404)),"","Adara ")</f>
        <v xml:space="preserve">Adara </v>
      </c>
      <c r="H404" s="31" t="str">
        <f>IF(ISERROR(FIND("Copernicus",TR!F404)),"","Copernicus ")</f>
        <v xml:space="preserve">Copernicus </v>
      </c>
      <c r="I404" s="31" t="str">
        <f>IF(ISERROR(FIND("Deneb",TR!F404)),"","Deneb ")</f>
        <v xml:space="preserve">Deneb </v>
      </c>
      <c r="J404" s="37" t="str">
        <f t="shared" si="6"/>
        <v xml:space="preserve">Adara Copernicus Deneb </v>
      </c>
      <c r="K404" s="31" t="str">
        <f>IF(ISBLANK(TR!G404),"",TR!G404)</f>
        <v/>
      </c>
      <c r="L404" s="31" t="str">
        <f>IF(ISBLANK(TR!H404),"",TR!H404)</f>
        <v>FR-DSRSW-1508</v>
      </c>
      <c r="M404" s="30" t="str">
        <f>TR!J404</f>
        <v>Approved</v>
      </c>
      <c r="N404" s="31" t="str">
        <f>IF(OR(M404="Modified",M404="Cosmetic"),VLOOKUP(B404,PrevPFS!B$1:E$833,4,FALSE),"")</f>
        <v/>
      </c>
    </row>
    <row r="405" spans="1:14" ht="45" x14ac:dyDescent="0.25">
      <c r="A405" s="31" t="str">
        <f>IF(ISNONTEXT(TR!K405),"",TR!K405)</f>
        <v xml:space="preserve">TR-KA-101xx </v>
      </c>
      <c r="B405" s="32" t="str">
        <f>TR!A405</f>
        <v>TR-DSRSW-2327</v>
      </c>
      <c r="C405" s="31" t="b">
        <f>ISERROR(FIND("-",TR!B405))</f>
        <v>0</v>
      </c>
      <c r="D405" s="31">
        <f>SetIndent(E405,(TR!C405-1)*2)</f>
        <v>4</v>
      </c>
      <c r="E405" s="35" t="str">
        <f>IF(ISERROR(FIND("-",TR!B405)),TR!B405&amp;" "&amp;TR!D405,TR!D405)</f>
        <v>The product shall retain the network pairing information through power cycles.  Reboots, and Initialize messages from the headend.</v>
      </c>
      <c r="F405" s="31" t="str">
        <f>TR!E405</f>
        <v>Req</v>
      </c>
      <c r="G405" s="31" t="str">
        <f>IF(ISERROR(FIND("Adara",TR!F405)),"","Adara ")</f>
        <v xml:space="preserve">Adara </v>
      </c>
      <c r="H405" s="31" t="str">
        <f>IF(ISERROR(FIND("Copernicus",TR!F405)),"","Copernicus ")</f>
        <v xml:space="preserve">Copernicus </v>
      </c>
      <c r="I405" s="31" t="str">
        <f>IF(ISERROR(FIND("Deneb",TR!F405)),"","Deneb ")</f>
        <v xml:space="preserve">Deneb </v>
      </c>
      <c r="J405" s="37" t="str">
        <f t="shared" si="6"/>
        <v xml:space="preserve">Adara Copernicus Deneb </v>
      </c>
      <c r="K405" s="31" t="str">
        <f>IF(ISBLANK(TR!G405),"",TR!G405)</f>
        <v/>
      </c>
      <c r="L405" s="31" t="str">
        <f>IF(ISBLANK(TR!H405),"",TR!H405)</f>
        <v>FR-DSRSW-1508</v>
      </c>
      <c r="M405" s="30" t="str">
        <f>TR!J405</f>
        <v>Approved</v>
      </c>
      <c r="N405" s="31" t="str">
        <f>IF(OR(M405="Modified",M405="Cosmetic"),VLOOKUP(B405,PrevPFS!B$1:E$833,4,FALSE),"")</f>
        <v/>
      </c>
    </row>
    <row r="406" spans="1:14" ht="45" x14ac:dyDescent="0.25">
      <c r="A406" s="31" t="str">
        <f>IF(ISNONTEXT(TR!K406),"",TR!K406)</f>
        <v/>
      </c>
      <c r="B406" s="32" t="str">
        <f>TR!A406</f>
        <v>TR-DSRSW-2348</v>
      </c>
      <c r="C406" s="31" t="b">
        <f>ISERROR(FIND("-",TR!B406))</f>
        <v>1</v>
      </c>
      <c r="D406" s="31">
        <f>SetIndent(E406,(TR!C406-1)*2)</f>
        <v>2</v>
      </c>
      <c r="E406" s="34" t="str">
        <f>IF(ISERROR(FIND("-",TR!B406)),TR!B406&amp;" "&amp;TR!D406,TR!D406)</f>
        <v>17.11 Wi-Fi Certification Capability</v>
      </c>
      <c r="F406" s="31" t="str">
        <f>TR!E406</f>
        <v>Hdr</v>
      </c>
      <c r="G406" s="31" t="str">
        <f>IF(ISERROR(FIND("Adara",TR!F406)),"","Adara ")</f>
        <v xml:space="preserve">Adara </v>
      </c>
      <c r="H406" s="31" t="str">
        <f>IF(ISERROR(FIND("Copernicus",TR!F406)),"","Copernicus ")</f>
        <v xml:space="preserve">Copernicus </v>
      </c>
      <c r="I406" s="31" t="str">
        <f>IF(ISERROR(FIND("Deneb",TR!F406)),"","Deneb ")</f>
        <v xml:space="preserve">Deneb </v>
      </c>
      <c r="J406" s="37" t="str">
        <f t="shared" si="6"/>
        <v xml:space="preserve">Adara Copernicus Deneb </v>
      </c>
      <c r="K406" s="31" t="str">
        <f>IF(ISBLANK(TR!G406),"",TR!G406)</f>
        <v/>
      </c>
      <c r="L406" s="31" t="str">
        <f>IF(ISBLANK(TR!H406),"",TR!H406)</f>
        <v>FR-DSRSW-1508</v>
      </c>
      <c r="M406" s="30" t="str">
        <f>TR!J406</f>
        <v>Approved</v>
      </c>
      <c r="N406" s="31" t="str">
        <f>IF(OR(M406="Modified",M406="Cosmetic"),VLOOKUP(B406,PrevPFS!B$1:E$833,4,FALSE),"")</f>
        <v/>
      </c>
    </row>
    <row r="407" spans="1:14" ht="45" x14ac:dyDescent="0.25">
      <c r="A407" s="31" t="str">
        <f>IF(ISNONTEXT(TR!K407),"",TR!K407)</f>
        <v>(R-1460)</v>
      </c>
      <c r="B407" s="32" t="str">
        <f>TR!A407</f>
        <v>TR-DSRSW-2355</v>
      </c>
      <c r="C407" s="31" t="b">
        <f>ISERROR(FIND("-",TR!B407))</f>
        <v>0</v>
      </c>
      <c r="D407" s="31">
        <f>SetIndent(E407,(TR!C407-1)*2)</f>
        <v>4</v>
      </c>
      <c r="E407" s="35" t="str">
        <f>IF(ISERROR(FIND("-",TR!B407)),TR!B407&amp;" "&amp;TR!D407,TR!D407)</f>
        <v>The product shall be capable of passing the Wi-Fi 802.11ac certification based on Wi-Fi Alliance Certification Standards.</v>
      </c>
      <c r="F407" s="31" t="str">
        <f>TR!E407</f>
        <v>Req</v>
      </c>
      <c r="G407" s="31" t="str">
        <f>IF(ISERROR(FIND("Adara",TR!F407)),"","Adara ")</f>
        <v xml:space="preserve">Adara </v>
      </c>
      <c r="H407" s="31" t="str">
        <f>IF(ISERROR(FIND("Copernicus",TR!F407)),"","Copernicus ")</f>
        <v xml:space="preserve">Copernicus </v>
      </c>
      <c r="I407" s="31" t="str">
        <f>IF(ISERROR(FIND("Deneb",TR!F407)),"","Deneb ")</f>
        <v xml:space="preserve">Deneb </v>
      </c>
      <c r="J407" s="37" t="str">
        <f t="shared" si="6"/>
        <v xml:space="preserve">Adara Copernicus Deneb </v>
      </c>
      <c r="K407" s="31" t="str">
        <f>IF(ISBLANK(TR!G407),"",TR!G407)</f>
        <v/>
      </c>
      <c r="L407" s="31" t="str">
        <f>IF(ISBLANK(TR!H407),"",TR!H407)</f>
        <v>FR-DSRSW-1508</v>
      </c>
      <c r="M407" s="30" t="str">
        <f>TR!J407</f>
        <v>Approved</v>
      </c>
      <c r="N407" s="31" t="str">
        <f>IF(OR(M407="Modified",M407="Cosmetic"),VLOOKUP(B407,PrevPFS!B$1:E$833,4,FALSE),"")</f>
        <v/>
      </c>
    </row>
    <row r="408" spans="1:14" ht="45" x14ac:dyDescent="0.25">
      <c r="A408" s="31" t="str">
        <f>IF(ISNONTEXT(TR!K408),"",TR!K408)</f>
        <v>(R-1461)</v>
      </c>
      <c r="B408" s="32" t="str">
        <f>TR!A408</f>
        <v>TR-DSRSW-2356</v>
      </c>
      <c r="C408" s="31" t="b">
        <f>ISERROR(FIND("-",TR!B408))</f>
        <v>0</v>
      </c>
      <c r="D408" s="31">
        <f>SetIndent(E408,(TR!C408-1)*2)</f>
        <v>4</v>
      </c>
      <c r="E408" s="35" t="str">
        <f>IF(ISERROR(FIND("-",TR!B408)),TR!B408&amp;" "&amp;TR!D408,TR!D408)</f>
        <v>The product shall be capable of passing the Wi-Fi 802.11n certification based on Wi-Fi Alliance Certification Standards.
NOTE: 802.11n certification is needed to be compatible with 802.11n devices</v>
      </c>
      <c r="F408" s="31" t="str">
        <f>TR!E408</f>
        <v>Req</v>
      </c>
      <c r="G408" s="31" t="str">
        <f>IF(ISERROR(FIND("Adara",TR!F408)),"","Adara ")</f>
        <v xml:space="preserve">Adara </v>
      </c>
      <c r="H408" s="31" t="str">
        <f>IF(ISERROR(FIND("Copernicus",TR!F408)),"","Copernicus ")</f>
        <v xml:space="preserve">Copernicus </v>
      </c>
      <c r="I408" s="31" t="str">
        <f>IF(ISERROR(FIND("Deneb",TR!F408)),"","Deneb ")</f>
        <v xml:space="preserve">Deneb </v>
      </c>
      <c r="J408" s="37" t="str">
        <f t="shared" si="6"/>
        <v xml:space="preserve">Adara Copernicus Deneb </v>
      </c>
      <c r="K408" s="31" t="str">
        <f>IF(ISBLANK(TR!G408),"",TR!G408)</f>
        <v/>
      </c>
      <c r="L408" s="31" t="str">
        <f>IF(ISBLANK(TR!H408),"",TR!H408)</f>
        <v>FR-DSRSW-1508</v>
      </c>
      <c r="M408" s="30" t="str">
        <f>TR!J408</f>
        <v>Approved</v>
      </c>
      <c r="N408" s="31" t="str">
        <f>IF(OR(M408="Modified",M408="Cosmetic"),VLOOKUP(B408,PrevPFS!B$1:E$833,4,FALSE),"")</f>
        <v/>
      </c>
    </row>
    <row r="409" spans="1:14" ht="45" x14ac:dyDescent="0.25">
      <c r="A409" s="31" t="str">
        <f>IF(ISNONTEXT(TR!K409),"",TR!K409)</f>
        <v>(R-1480)</v>
      </c>
      <c r="B409" s="32" t="str">
        <f>TR!A409</f>
        <v>TR-DSRSW-2358</v>
      </c>
      <c r="C409" s="31" t="b">
        <f>ISERROR(FIND("-",TR!B409))</f>
        <v>0</v>
      </c>
      <c r="D409" s="31">
        <f>SetIndent(E409,(TR!C409-1)*2)</f>
        <v>4</v>
      </c>
      <c r="E409" s="35" t="str">
        <f>IF(ISERROR(FIND("-",TR!B409)),TR!B409&amp;" "&amp;TR!D409,TR!D409)</f>
        <v>The product shall be capable of passing the Wi-FI Multimedia (WMM) certification based on Wi-Fi Alliance Certification Standards.</v>
      </c>
      <c r="F409" s="31" t="str">
        <f>TR!E409</f>
        <v>Req</v>
      </c>
      <c r="G409" s="31" t="str">
        <f>IF(ISERROR(FIND("Adara",TR!F409)),"","Adara ")</f>
        <v xml:space="preserve">Adara </v>
      </c>
      <c r="H409" s="31" t="str">
        <f>IF(ISERROR(FIND("Copernicus",TR!F409)),"","Copernicus ")</f>
        <v xml:space="preserve">Copernicus </v>
      </c>
      <c r="I409" s="31" t="str">
        <f>IF(ISERROR(FIND("Deneb",TR!F409)),"","Deneb ")</f>
        <v xml:space="preserve">Deneb </v>
      </c>
      <c r="J409" s="37" t="str">
        <f t="shared" si="6"/>
        <v xml:space="preserve">Adara Copernicus Deneb </v>
      </c>
      <c r="K409" s="31" t="str">
        <f>IF(ISBLANK(TR!G409),"",TR!G409)</f>
        <v/>
      </c>
      <c r="L409" s="31" t="str">
        <f>IF(ISBLANK(TR!H409),"",TR!H409)</f>
        <v>FR-DSRSW-1508</v>
      </c>
      <c r="M409" s="30" t="str">
        <f>TR!J409</f>
        <v>Approved</v>
      </c>
      <c r="N409" s="31" t="str">
        <f>IF(OR(M409="Modified",M409="Cosmetic"),VLOOKUP(B409,PrevPFS!B$1:E$833,4,FALSE),"")</f>
        <v/>
      </c>
    </row>
    <row r="410" spans="1:14" ht="45" x14ac:dyDescent="0.25">
      <c r="A410" s="31" t="str">
        <f>IF(ISNONTEXT(TR!K410),"",TR!K410)</f>
        <v>(R-1490)</v>
      </c>
      <c r="B410" s="32" t="str">
        <f>TR!A410</f>
        <v>TR-DSRSW-2359</v>
      </c>
      <c r="C410" s="31" t="b">
        <f>ISERROR(FIND("-",TR!B410))</f>
        <v>0</v>
      </c>
      <c r="D410" s="31">
        <f>SetIndent(E410,(TR!C410-1)*2)</f>
        <v>4</v>
      </c>
      <c r="E410" s="35" t="str">
        <f>IF(ISERROR(FIND("-",TR!B410)),TR!B410&amp;" "&amp;TR!D410,TR!D410)</f>
        <v>The product shall be capable of passing the Wi-Fi WPA and WPA2 network security certification based on Wi-Fi Alliance Certification Standards.</v>
      </c>
      <c r="F410" s="31" t="str">
        <f>TR!E410</f>
        <v>Req</v>
      </c>
      <c r="G410" s="31" t="str">
        <f>IF(ISERROR(FIND("Adara",TR!F410)),"","Adara ")</f>
        <v xml:space="preserve">Adara </v>
      </c>
      <c r="H410" s="31" t="str">
        <f>IF(ISERROR(FIND("Copernicus",TR!F410)),"","Copernicus ")</f>
        <v xml:space="preserve">Copernicus </v>
      </c>
      <c r="I410" s="31" t="str">
        <f>IF(ISERROR(FIND("Deneb",TR!F410)),"","Deneb ")</f>
        <v xml:space="preserve">Deneb </v>
      </c>
      <c r="J410" s="37" t="str">
        <f t="shared" si="6"/>
        <v xml:space="preserve">Adara Copernicus Deneb </v>
      </c>
      <c r="K410" s="31" t="str">
        <f>IF(ISBLANK(TR!G410),"",TR!G410)</f>
        <v/>
      </c>
      <c r="L410" s="31" t="str">
        <f>IF(ISBLANK(TR!H410),"",TR!H410)</f>
        <v>FR-DSRSW-1508</v>
      </c>
      <c r="M410" s="30" t="str">
        <f>TR!J410</f>
        <v>Approved</v>
      </c>
      <c r="N410" s="31" t="str">
        <f>IF(OR(M410="Modified",M410="Cosmetic"),VLOOKUP(B410,PrevPFS!B$1:E$833,4,FALSE),"")</f>
        <v/>
      </c>
    </row>
    <row r="411" spans="1:14" ht="45" x14ac:dyDescent="0.25">
      <c r="A411" s="31" t="str">
        <f>IF(ISNONTEXT(TR!K411),"",TR!K411)</f>
        <v/>
      </c>
      <c r="B411" s="32" t="str">
        <f>TR!A411</f>
        <v>TR-DSRSW-1685</v>
      </c>
      <c r="C411" s="31" t="b">
        <f>ISERROR(FIND("-",TR!B411))</f>
        <v>1</v>
      </c>
      <c r="D411" s="31">
        <f>SetIndent(E411,(TR!C411-1)*2)</f>
        <v>0</v>
      </c>
      <c r="E411" s="33" t="str">
        <f>IF(ISERROR(FIND("-",TR!B411)),TR!B411&amp;" "&amp;TR!D411,TR!D411)</f>
        <v>18 Local Diagnostics</v>
      </c>
      <c r="F411" s="31" t="str">
        <f>TR!E411</f>
        <v>Hdr</v>
      </c>
      <c r="G411" s="31" t="str">
        <f>IF(ISERROR(FIND("Adara",TR!F411)),"","Adara ")</f>
        <v xml:space="preserve">Adara </v>
      </c>
      <c r="H411" s="31" t="str">
        <f>IF(ISERROR(FIND("Copernicus",TR!F411)),"","Copernicus ")</f>
        <v xml:space="preserve">Copernicus </v>
      </c>
      <c r="I411" s="31" t="str">
        <f>IF(ISERROR(FIND("Deneb",TR!F411)),"","Deneb ")</f>
        <v xml:space="preserve">Deneb </v>
      </c>
      <c r="J411" s="37" t="str">
        <f t="shared" si="6"/>
        <v xml:space="preserve">Adara Copernicus Deneb </v>
      </c>
      <c r="K411" s="31" t="str">
        <f>IF(ISBLANK(TR!G411),"",TR!G411)</f>
        <v/>
      </c>
      <c r="L411" s="31" t="str">
        <f>IF(ISBLANK(TR!H411),"",TR!H411)</f>
        <v>FR-DSRSW-1388</v>
      </c>
      <c r="M411" s="30" t="str">
        <f>TR!J411</f>
        <v>Approved</v>
      </c>
      <c r="N411" s="31" t="str">
        <f>IF(OR(M411="Modified",M411="Cosmetic"),VLOOKUP(B411,PrevPFS!B$1:E$833,4,FALSE),"")</f>
        <v/>
      </c>
    </row>
    <row r="412" spans="1:14" ht="45" x14ac:dyDescent="0.25">
      <c r="A412" s="31" t="str">
        <f>IF(ISNONTEXT(TR!K412),"",TR!K412)</f>
        <v/>
      </c>
      <c r="B412" s="32" t="str">
        <f>TR!A412</f>
        <v>TR-DSRSW-2187</v>
      </c>
      <c r="C412" s="31" t="b">
        <f>ISERROR(FIND("-",TR!B412))</f>
        <v>1</v>
      </c>
      <c r="D412" s="31">
        <f>SetIndent(E412,(TR!C412-1)*2)</f>
        <v>2</v>
      </c>
      <c r="E412" s="34" t="str">
        <f>IF(ISERROR(FIND("-",TR!B412)),TR!B412&amp;" "&amp;TR!D412,TR!D412)</f>
        <v>18.1 Serial Interface</v>
      </c>
      <c r="F412" s="31" t="str">
        <f>TR!E412</f>
        <v>Hdr</v>
      </c>
      <c r="G412" s="31" t="str">
        <f>IF(ISERROR(FIND("Adara",TR!F412)),"","Adara ")</f>
        <v xml:space="preserve">Adara </v>
      </c>
      <c r="H412" s="31" t="str">
        <f>IF(ISERROR(FIND("Copernicus",TR!F412)),"","Copernicus ")</f>
        <v xml:space="preserve">Copernicus </v>
      </c>
      <c r="I412" s="31" t="str">
        <f>IF(ISERROR(FIND("Deneb",TR!F412)),"","Deneb ")</f>
        <v xml:space="preserve">Deneb </v>
      </c>
      <c r="J412" s="37" t="str">
        <f t="shared" si="6"/>
        <v xml:space="preserve">Adara Copernicus Deneb </v>
      </c>
      <c r="K412" s="31" t="str">
        <f>IF(ISBLANK(TR!G412),"",TR!G412)</f>
        <v/>
      </c>
      <c r="L412" s="31" t="str">
        <f>IF(ISBLANK(TR!H412),"",TR!H412)</f>
        <v>FR-DSRSW-1380</v>
      </c>
      <c r="M412" s="30" t="str">
        <f>TR!J412</f>
        <v>Approved</v>
      </c>
      <c r="N412" s="31" t="str">
        <f>IF(OR(M412="Modified",M412="Cosmetic"),VLOOKUP(B412,PrevPFS!B$1:E$833,4,FALSE),"")</f>
        <v/>
      </c>
    </row>
    <row r="413" spans="1:14" ht="45" x14ac:dyDescent="0.25">
      <c r="A413" s="31" t="str">
        <f>IF(ISNONTEXT(TR!K413),"",TR!K413)</f>
        <v>FR-NETCN-1210</v>
      </c>
      <c r="B413" s="32" t="str">
        <f>TR!A413</f>
        <v>TR-DSRSW-1665</v>
      </c>
      <c r="C413" s="31" t="b">
        <f>ISERROR(FIND("-",TR!B413))</f>
        <v>0</v>
      </c>
      <c r="D413" s="31">
        <f>SetIndent(E413,(TR!C413-1)*2)</f>
        <v>4</v>
      </c>
      <c r="E413" s="35" t="str">
        <f>IF(ISERROR(FIND("-",TR!B413)),TR!B413&amp;" "&amp;TR!D413,TR!D413)</f>
        <v>The product SHALL provide restricted access control to the serial interface.</v>
      </c>
      <c r="F413" s="31" t="str">
        <f>TR!E413</f>
        <v>Req</v>
      </c>
      <c r="G413" s="31" t="str">
        <f>IF(ISERROR(FIND("Adara",TR!F413)),"","Adara ")</f>
        <v xml:space="preserve">Adara </v>
      </c>
      <c r="H413" s="31" t="str">
        <f>IF(ISERROR(FIND("Copernicus",TR!F413)),"","Copernicus ")</f>
        <v xml:space="preserve">Copernicus </v>
      </c>
      <c r="I413" s="31" t="str">
        <f>IF(ISERROR(FIND("Deneb",TR!F413)),"","Deneb ")</f>
        <v xml:space="preserve">Deneb </v>
      </c>
      <c r="J413" s="37" t="str">
        <f t="shared" si="6"/>
        <v xml:space="preserve">Adara Copernicus Deneb </v>
      </c>
      <c r="K413" s="31" t="str">
        <f>IF(ISBLANK(TR!G413),"",TR!G413)</f>
        <v/>
      </c>
      <c r="L413" s="31" t="str">
        <f>IF(ISBLANK(TR!H413),"",TR!H413)</f>
        <v>FR-DSRSW-1380</v>
      </c>
      <c r="M413" s="30" t="str">
        <f>TR!J413</f>
        <v>Approved</v>
      </c>
      <c r="N413" s="31" t="str">
        <f>IF(OR(M413="Modified",M413="Cosmetic"),VLOOKUP(B413,PrevPFS!B$1:E$833,4,FALSE),"")</f>
        <v/>
      </c>
    </row>
    <row r="414" spans="1:14" ht="45" x14ac:dyDescent="0.25">
      <c r="A414" s="31" t="str">
        <f>IF(ISNONTEXT(TR!K414),"",TR!K414)</f>
        <v>TR-0-SRLPORT-FPR-2696</v>
      </c>
      <c r="B414" s="32" t="str">
        <f>TR!A414</f>
        <v>TR-DSRSW-1666</v>
      </c>
      <c r="C414" s="31" t="b">
        <f>ISERROR(FIND("-",TR!B414))</f>
        <v>0</v>
      </c>
      <c r="D414" s="31">
        <f>SetIndent(E414,(TR!C414-1)*2)</f>
        <v>4</v>
      </c>
      <c r="E414" s="35" t="str">
        <f>IF(ISERROR(FIND("-",TR!B414)),TR!B414&amp;" "&amp;TR!D414,TR!D414)</f>
        <v>The product SHALL prevent debugging access to the serial port except via a ARRIS access token with non-default, serial access debugging privileges after factory provisioning is complete.</v>
      </c>
      <c r="F414" s="31" t="str">
        <f>TR!E414</f>
        <v>Req</v>
      </c>
      <c r="G414" s="31" t="str">
        <f>IF(ISERROR(FIND("Adara",TR!F414)),"","Adara ")</f>
        <v xml:space="preserve">Adara </v>
      </c>
      <c r="H414" s="31" t="str">
        <f>IF(ISERROR(FIND("Copernicus",TR!F414)),"","Copernicus ")</f>
        <v xml:space="preserve">Copernicus </v>
      </c>
      <c r="I414" s="31" t="str">
        <f>IF(ISERROR(FIND("Deneb",TR!F414)),"","Deneb ")</f>
        <v xml:space="preserve">Deneb </v>
      </c>
      <c r="J414" s="37" t="str">
        <f t="shared" si="6"/>
        <v xml:space="preserve">Adara Copernicus Deneb </v>
      </c>
      <c r="K414" s="31" t="str">
        <f>IF(ISBLANK(TR!G414),"",TR!G414)</f>
        <v/>
      </c>
      <c r="L414" s="31" t="str">
        <f>IF(ISBLANK(TR!H414),"",TR!H414)</f>
        <v>FR-DSRSW-1380</v>
      </c>
      <c r="M414" s="30" t="str">
        <f>TR!J414</f>
        <v>Approved</v>
      </c>
      <c r="N414" s="31" t="str">
        <f>IF(OR(M414="Modified",M414="Cosmetic"),VLOOKUP(B414,PrevPFS!B$1:E$833,4,FALSE),"")</f>
        <v/>
      </c>
    </row>
    <row r="415" spans="1:14" ht="45" x14ac:dyDescent="0.25">
      <c r="A415" s="31" t="str">
        <f>IF(ISNONTEXT(TR!K415),"",TR!K415)</f>
        <v/>
      </c>
      <c r="B415" s="32" t="str">
        <f>TR!A415</f>
        <v>TR-DSRSW-1667</v>
      </c>
      <c r="C415" s="31" t="b">
        <f>ISERROR(FIND("-",TR!B415))</f>
        <v>0</v>
      </c>
      <c r="D415" s="31">
        <f>SetIndent(E415,(TR!C415-1)*2)</f>
        <v>4</v>
      </c>
      <c r="E415" s="35" t="str">
        <f>IF(ISERROR(FIND("-",TR!B415)),TR!B415&amp;" "&amp;TR!D415,TR!D415)</f>
        <v>(Note: This is not intended to prevent all debugging access, only a subset of security risk items)</v>
      </c>
      <c r="F415" s="31" t="str">
        <f>TR!E415</f>
        <v>Com</v>
      </c>
      <c r="G415" s="31" t="str">
        <f>IF(ISERROR(FIND("Adara",TR!F415)),"","Adara ")</f>
        <v xml:space="preserve">Adara </v>
      </c>
      <c r="H415" s="31" t="str">
        <f>IF(ISERROR(FIND("Copernicus",TR!F415)),"","Copernicus ")</f>
        <v xml:space="preserve">Copernicus </v>
      </c>
      <c r="I415" s="31" t="str">
        <f>IF(ISERROR(FIND("Deneb",TR!F415)),"","Deneb ")</f>
        <v xml:space="preserve">Deneb </v>
      </c>
      <c r="J415" s="37" t="str">
        <f t="shared" si="6"/>
        <v xml:space="preserve">Adara Copernicus Deneb </v>
      </c>
      <c r="K415" s="31" t="str">
        <f>IF(ISBLANK(TR!G415),"",TR!G415)</f>
        <v/>
      </c>
      <c r="L415" s="31" t="str">
        <f>IF(ISBLANK(TR!H415),"",TR!H415)</f>
        <v>FR-DSRSW-1380</v>
      </c>
      <c r="M415" s="30" t="str">
        <f>TR!J415</f>
        <v>Approved</v>
      </c>
      <c r="N415" s="31" t="str">
        <f>IF(OR(M415="Modified",M415="Cosmetic"),VLOOKUP(B415,PrevPFS!B$1:E$833,4,FALSE),"")</f>
        <v/>
      </c>
    </row>
    <row r="416" spans="1:14" ht="45" x14ac:dyDescent="0.25">
      <c r="A416" s="31" t="str">
        <f>IF(ISNONTEXT(TR!K416),"",TR!K416)</f>
        <v/>
      </c>
      <c r="B416" s="32" t="str">
        <f>TR!A416</f>
        <v>TR-DSRSW-2188</v>
      </c>
      <c r="C416" s="31" t="b">
        <f>ISERROR(FIND("-",TR!B416))</f>
        <v>1</v>
      </c>
      <c r="D416" s="31">
        <f>SetIndent(E416,(TR!C416-1)*2)</f>
        <v>2</v>
      </c>
      <c r="E416" s="34" t="str">
        <f>IF(ISERROR(FIND("-",TR!B416)),TR!B416&amp;" "&amp;TR!D416,TR!D416)</f>
        <v>18.2 Serial Port</v>
      </c>
      <c r="F416" s="31" t="str">
        <f>TR!E416</f>
        <v>Hdr</v>
      </c>
      <c r="G416" s="31" t="str">
        <f>IF(ISERROR(FIND("Adara",TR!F416)),"","Adara ")</f>
        <v xml:space="preserve">Adara </v>
      </c>
      <c r="H416" s="31" t="str">
        <f>IF(ISERROR(FIND("Copernicus",TR!F416)),"","Copernicus ")</f>
        <v xml:space="preserve">Copernicus </v>
      </c>
      <c r="I416" s="31" t="str">
        <f>IF(ISERROR(FIND("Deneb",TR!F416)),"","Deneb ")</f>
        <v xml:space="preserve">Deneb </v>
      </c>
      <c r="J416" s="37" t="str">
        <f t="shared" si="6"/>
        <v xml:space="preserve">Adara Copernicus Deneb </v>
      </c>
      <c r="K416" s="31" t="str">
        <f>IF(ISBLANK(TR!G416),"",TR!G416)</f>
        <v/>
      </c>
      <c r="L416" s="31" t="str">
        <f>IF(ISBLANK(TR!H416),"",TR!H416)</f>
        <v>FR-DSRSW-1389</v>
      </c>
      <c r="M416" s="30" t="str">
        <f>TR!J416</f>
        <v>Approved</v>
      </c>
      <c r="N416" s="31" t="str">
        <f>IF(OR(M416="Modified",M416="Cosmetic"),VLOOKUP(B416,PrevPFS!B$1:E$833,4,FALSE),"")</f>
        <v/>
      </c>
    </row>
    <row r="417" spans="1:14" ht="45" x14ac:dyDescent="0.25">
      <c r="A417" s="31" t="str">
        <f>IF(ISNONTEXT(TR!K417),"",TR!K417)</f>
        <v>TR-SRLPRT-1001</v>
      </c>
      <c r="B417" s="32" t="str">
        <f>TR!A417</f>
        <v>TR-DSRSW-1687</v>
      </c>
      <c r="C417" s="31" t="b">
        <f>ISERROR(FIND("-",TR!B417))</f>
        <v>0</v>
      </c>
      <c r="D417" s="31">
        <f>SetIndent(E417,(TR!C417-1)*2)</f>
        <v>4</v>
      </c>
      <c r="E417" s="35" t="str">
        <f>IF(ISERROR(FIND("-",TR!B417)),TR!B417&amp;" "&amp;TR!D417,TR!D417)</f>
        <v>The product SHALL support serial port / log port diagnostics over the RS-232 serial port interface.</v>
      </c>
      <c r="F417" s="31" t="str">
        <f>TR!E417</f>
        <v>Req</v>
      </c>
      <c r="G417" s="31" t="str">
        <f>IF(ISERROR(FIND("Adara",TR!F417)),"","Adara ")</f>
        <v xml:space="preserve">Adara </v>
      </c>
      <c r="H417" s="31" t="str">
        <f>IF(ISERROR(FIND("Copernicus",TR!F417)),"","Copernicus ")</f>
        <v xml:space="preserve">Copernicus </v>
      </c>
      <c r="I417" s="31" t="str">
        <f>IF(ISERROR(FIND("Deneb",TR!F417)),"","Deneb ")</f>
        <v xml:space="preserve">Deneb </v>
      </c>
      <c r="J417" s="37" t="str">
        <f t="shared" si="6"/>
        <v xml:space="preserve">Adara Copernicus Deneb </v>
      </c>
      <c r="K417" s="31" t="str">
        <f>IF(ISBLANK(TR!G417),"",TR!G417)</f>
        <v/>
      </c>
      <c r="L417" s="31" t="str">
        <f>IF(ISBLANK(TR!H417),"",TR!H417)</f>
        <v>FR-DSRSW-1389</v>
      </c>
      <c r="M417" s="30" t="str">
        <f>TR!J417</f>
        <v>Approved</v>
      </c>
      <c r="N417" s="31" t="str">
        <f>IF(OR(M417="Modified",M417="Cosmetic"),VLOOKUP(B417,PrevPFS!B$1:E$833,4,FALSE),"")</f>
        <v/>
      </c>
    </row>
    <row r="418" spans="1:14" ht="45" x14ac:dyDescent="0.25">
      <c r="A418" s="31" t="str">
        <f>IF(ISNONTEXT(TR!K418),"",TR!K418)</f>
        <v/>
      </c>
      <c r="B418" s="32" t="str">
        <f>TR!A418</f>
        <v>TR-DSRSW-2189</v>
      </c>
      <c r="C418" s="31" t="b">
        <f>ISERROR(FIND("-",TR!B418))</f>
        <v>1</v>
      </c>
      <c r="D418" s="31">
        <f>SetIndent(E418,(TR!C418-1)*2)</f>
        <v>2</v>
      </c>
      <c r="E418" s="34" t="str">
        <f>IF(ISERROR(FIND("-",TR!B418)),TR!B418&amp;" "&amp;TR!D418,TR!D418)</f>
        <v>18.3 Diagnostic Screens</v>
      </c>
      <c r="F418" s="31" t="str">
        <f>TR!E418</f>
        <v>Hdr</v>
      </c>
      <c r="G418" s="31" t="str">
        <f>IF(ISERROR(FIND("Adara",TR!F418)),"","Adara ")</f>
        <v xml:space="preserve">Adara </v>
      </c>
      <c r="H418" s="31" t="str">
        <f>IF(ISERROR(FIND("Copernicus",TR!F418)),"","Copernicus ")</f>
        <v xml:space="preserve">Copernicus </v>
      </c>
      <c r="I418" s="31" t="str">
        <f>IF(ISERROR(FIND("Deneb",TR!F418)),"","Deneb ")</f>
        <v xml:space="preserve">Deneb </v>
      </c>
      <c r="J418" s="37" t="str">
        <f t="shared" si="6"/>
        <v xml:space="preserve">Adara Copernicus Deneb </v>
      </c>
      <c r="K418" s="31" t="str">
        <f>IF(ISBLANK(TR!G418),"",TR!G418)</f>
        <v/>
      </c>
      <c r="L418" s="31" t="str">
        <f>IF(ISBLANK(TR!H418),"",TR!H418)</f>
        <v>FR-DSRSW-1390</v>
      </c>
      <c r="M418" s="30" t="str">
        <f>TR!J418</f>
        <v>Approved</v>
      </c>
      <c r="N418" s="31" t="str">
        <f>IF(OR(M418="Modified",M418="Cosmetic"),VLOOKUP(B418,PrevPFS!B$1:E$833,4,FALSE),"")</f>
        <v/>
      </c>
    </row>
    <row r="419" spans="1:14" ht="45" x14ac:dyDescent="0.25">
      <c r="A419" s="31" t="str">
        <f>IF(ISNONTEXT(TR!K419),"",TR!K419)</f>
        <v>TR-0-LDDSR-TST-1003</v>
      </c>
      <c r="B419" s="32" t="str">
        <f>TR!A419</f>
        <v>TR-DSRSW-1689</v>
      </c>
      <c r="C419" s="31" t="b">
        <f>ISERROR(FIND("-",TR!B419))</f>
        <v>0</v>
      </c>
      <c r="D419" s="31">
        <f>SetIndent(E419,(TR!C419-1)*2)</f>
        <v>2</v>
      </c>
      <c r="E419" s="34" t="str">
        <f>IF(ISERROR(FIND("-",TR!B419)),TR!B419&amp;" "&amp;TR!D419,TR!D419)</f>
        <v>The product SHALL support the Shaw Direct diagnostic screens via the Neptune API.</v>
      </c>
      <c r="F419" s="31" t="str">
        <f>TR!E419</f>
        <v>Req</v>
      </c>
      <c r="G419" s="31" t="str">
        <f>IF(ISERROR(FIND("Adara",TR!F419)),"","Adara ")</f>
        <v xml:space="preserve">Adara </v>
      </c>
      <c r="H419" s="31" t="str">
        <f>IF(ISERROR(FIND("Copernicus",TR!F419)),"","Copernicus ")</f>
        <v xml:space="preserve">Copernicus </v>
      </c>
      <c r="I419" s="31" t="str">
        <f>IF(ISERROR(FIND("Deneb",TR!F419)),"","Deneb ")</f>
        <v xml:space="preserve">Deneb </v>
      </c>
      <c r="J419" s="37" t="str">
        <f t="shared" si="6"/>
        <v xml:space="preserve">Adara Copernicus Deneb </v>
      </c>
      <c r="K419" s="31" t="str">
        <f>IF(ISBLANK(TR!G419),"",TR!G419)</f>
        <v/>
      </c>
      <c r="L419" s="31" t="str">
        <f>IF(ISBLANK(TR!H419),"",TR!H419)</f>
        <v>FR-DSRSW-1390</v>
      </c>
      <c r="M419" s="30" t="str">
        <f>TR!J419</f>
        <v>Approved</v>
      </c>
      <c r="N419" s="31" t="str">
        <f>IF(OR(M419="Modified",M419="Cosmetic"),VLOOKUP(B419,PrevPFS!B$1:E$833,4,FALSE),"")</f>
        <v/>
      </c>
    </row>
    <row r="420" spans="1:14" ht="45" x14ac:dyDescent="0.25">
      <c r="A420" s="31" t="str">
        <f>IF(ISNONTEXT(TR!K420),"",TR!K420)</f>
        <v/>
      </c>
      <c r="B420" s="32" t="str">
        <f>TR!A420</f>
        <v>TR-DSRSW-1680</v>
      </c>
      <c r="C420" s="31" t="b">
        <f>ISERROR(FIND("-",TR!B420))</f>
        <v>1</v>
      </c>
      <c r="D420" s="31">
        <f>SetIndent(E420,(TR!C420-1)*2)</f>
        <v>0</v>
      </c>
      <c r="E420" s="33" t="str">
        <f>IF(ISERROR(FIND("-",TR!B420)),TR!B420&amp;" "&amp;TR!D420,TR!D420)</f>
        <v>19 Front Panel</v>
      </c>
      <c r="F420" s="31" t="str">
        <f>TR!E420</f>
        <v>Hdr</v>
      </c>
      <c r="G420" s="31" t="str">
        <f>IF(ISERROR(FIND("Adara",TR!F420)),"","Adara ")</f>
        <v xml:space="preserve">Adara </v>
      </c>
      <c r="H420" s="31" t="str">
        <f>IF(ISERROR(FIND("Copernicus",TR!F420)),"","Copernicus ")</f>
        <v xml:space="preserve">Copernicus </v>
      </c>
      <c r="I420" s="31" t="str">
        <f>IF(ISERROR(FIND("Deneb",TR!F420)),"","Deneb ")</f>
        <v xml:space="preserve">Deneb </v>
      </c>
      <c r="J420" s="37" t="str">
        <f t="shared" si="6"/>
        <v xml:space="preserve">Adara Copernicus Deneb </v>
      </c>
      <c r="K420" s="31" t="str">
        <f>IF(ISBLANK(TR!G420),"",TR!G420)</f>
        <v/>
      </c>
      <c r="L420" s="31" t="str">
        <f>IF(ISBLANK(TR!H420),"",TR!H420)</f>
        <v>FR-DSRSW-1387</v>
      </c>
      <c r="M420" s="30" t="str">
        <f>TR!J420</f>
        <v>Approved</v>
      </c>
      <c r="N420" s="31" t="str">
        <f>IF(OR(M420="Modified",M420="Cosmetic"),VLOOKUP(B420,PrevPFS!B$1:E$833,4,FALSE),"")</f>
        <v/>
      </c>
    </row>
    <row r="421" spans="1:14" ht="45" x14ac:dyDescent="0.25">
      <c r="A421" s="31" t="str">
        <f>IF(ISNONTEXT(TR!K421),"",TR!K421)</f>
        <v>TR-BUTTON-1062</v>
      </c>
      <c r="B421" s="32" t="str">
        <f>TR!A421</f>
        <v>TR-DSRSW-1683</v>
      </c>
      <c r="C421" s="31" t="b">
        <f>ISERROR(FIND("-",TR!B421))</f>
        <v>0</v>
      </c>
      <c r="D421" s="31">
        <f>SetIndent(E421,(TR!C421-1)*2)</f>
        <v>2</v>
      </c>
      <c r="E421" s="34" t="str">
        <f>IF(ISERROR(FIND("-",TR!B421)),TR!B421&amp;" "&amp;TR!D421,TR!D421)</f>
        <v>The product SHALL invoke a hardware reset if the power button is depressed for 4 seconds (+/-1 second), regardless of the software state.</v>
      </c>
      <c r="F421" s="31" t="str">
        <f>TR!E421</f>
        <v>Req</v>
      </c>
      <c r="G421" s="31" t="str">
        <f>IF(ISERROR(FIND("Adara",TR!F421)),"","Adara ")</f>
        <v xml:space="preserve">Adara </v>
      </c>
      <c r="H421" s="31" t="str">
        <f>IF(ISERROR(FIND("Copernicus",TR!F421)),"","Copernicus ")</f>
        <v xml:space="preserve">Copernicus </v>
      </c>
      <c r="I421" s="31" t="str">
        <f>IF(ISERROR(FIND("Deneb",TR!F421)),"","Deneb ")</f>
        <v xml:space="preserve">Deneb </v>
      </c>
      <c r="J421" s="37" t="str">
        <f t="shared" si="6"/>
        <v xml:space="preserve">Adara Copernicus Deneb </v>
      </c>
      <c r="K421" s="31" t="str">
        <f>IF(ISBLANK(TR!G421),"",TR!G421)</f>
        <v/>
      </c>
      <c r="L421" s="31" t="str">
        <f>IF(ISBLANK(TR!H421),"",TR!H421)</f>
        <v>FR-DSRSW-1387</v>
      </c>
      <c r="M421" s="30" t="str">
        <f>TR!J421</f>
        <v>Approved</v>
      </c>
      <c r="N421" s="31" t="str">
        <f>IF(OR(M421="Modified",M421="Cosmetic"),VLOOKUP(B421,PrevPFS!B$1:E$833,4,FALSE),"")</f>
        <v/>
      </c>
    </row>
    <row r="422" spans="1:14" ht="45" x14ac:dyDescent="0.25">
      <c r="A422" s="31" t="str">
        <f>IF(ISNONTEXT(TR!K422),"",TR!K422)</f>
        <v/>
      </c>
      <c r="B422" s="32" t="str">
        <f>TR!A422</f>
        <v>TR-DSRSW-2220</v>
      </c>
      <c r="C422" s="31" t="b">
        <f>ISERROR(FIND("-",TR!B422))</f>
        <v>1</v>
      </c>
      <c r="D422" s="31">
        <f>SetIndent(E422,(TR!C422-1)*2)</f>
        <v>0</v>
      </c>
      <c r="E422" s="33" t="str">
        <f>IF(ISERROR(FIND("-",TR!B422)),TR!B422&amp;" "&amp;TR!D422,TR!D422)</f>
        <v>20 LNB Interface</v>
      </c>
      <c r="F422" s="31" t="str">
        <f>TR!E422</f>
        <v>Hdr</v>
      </c>
      <c r="G422" s="31" t="str">
        <f>IF(ISERROR(FIND("Adara",TR!F422)),"","Adara ")</f>
        <v xml:space="preserve">Adara </v>
      </c>
      <c r="H422" s="31" t="str">
        <f>IF(ISERROR(FIND("Copernicus",TR!F422)),"","Copernicus ")</f>
        <v xml:space="preserve">Copernicus </v>
      </c>
      <c r="I422" s="31" t="str">
        <f>IF(ISERROR(FIND("Deneb",TR!F422)),"","Deneb ")</f>
        <v xml:space="preserve">Deneb </v>
      </c>
      <c r="J422" s="37" t="str">
        <f t="shared" si="6"/>
        <v xml:space="preserve">Adara Copernicus Deneb </v>
      </c>
      <c r="K422" s="31" t="str">
        <f>IF(ISBLANK(TR!G422),"",TR!G422)</f>
        <v/>
      </c>
      <c r="L422" s="31" t="str">
        <f>IF(ISBLANK(TR!H422),"",TR!H422)</f>
        <v>FR-DSRSW-1391</v>
      </c>
      <c r="M422" s="30" t="str">
        <f>TR!J422</f>
        <v>Approved</v>
      </c>
      <c r="N422" s="31" t="str">
        <f>IF(OR(M422="Modified",M422="Cosmetic"),VLOOKUP(B422,PrevPFS!B$1:E$833,4,FALSE),"")</f>
        <v/>
      </c>
    </row>
    <row r="423" spans="1:14" ht="45" x14ac:dyDescent="0.25">
      <c r="A423" s="31" t="str">
        <f>IF(ISNONTEXT(TR!K423),"",TR!K423)</f>
        <v>FR-TUNCN-1053</v>
      </c>
      <c r="B423" s="32" t="str">
        <f>TR!A423</f>
        <v>TR-DSRSW-1691</v>
      </c>
      <c r="C423" s="31" t="b">
        <f>ISERROR(FIND("-",TR!B423))</f>
        <v>1</v>
      </c>
      <c r="D423" s="31">
        <f>SetIndent(E423,(TR!C423-1)*2)</f>
        <v>2</v>
      </c>
      <c r="E423" s="34" t="str">
        <f>IF(ISERROR(FIND("-",TR!B423)),TR!B423&amp;" "&amp;TR!D423,TR!D423)</f>
        <v>20.1 LNB CSS (Channel Stacking Switch)</v>
      </c>
      <c r="F423" s="31" t="str">
        <f>TR!E423</f>
        <v>Hdr</v>
      </c>
      <c r="G423" s="31" t="str">
        <f>IF(ISERROR(FIND("Adara",TR!F423)),"","Adara ")</f>
        <v xml:space="preserve">Adara </v>
      </c>
      <c r="H423" s="31" t="str">
        <f>IF(ISERROR(FIND("Copernicus",TR!F423)),"","Copernicus ")</f>
        <v xml:space="preserve">Copernicus </v>
      </c>
      <c r="I423" s="31" t="str">
        <f>IF(ISERROR(FIND("Deneb",TR!F423)),"","Deneb ")</f>
        <v xml:space="preserve">Deneb </v>
      </c>
      <c r="J423" s="37" t="str">
        <f t="shared" si="6"/>
        <v xml:space="preserve">Adara Copernicus Deneb </v>
      </c>
      <c r="K423" s="31" t="str">
        <f>IF(ISBLANK(TR!G423),"",TR!G423)</f>
        <v/>
      </c>
      <c r="L423" s="31" t="str">
        <f>IF(ISBLANK(TR!H423),"",TR!H423)</f>
        <v>FR-DSRSW-1392</v>
      </c>
      <c r="M423" s="30" t="str">
        <f>TR!J423</f>
        <v>Approved</v>
      </c>
      <c r="N423" s="31" t="str">
        <f>IF(OR(M423="Modified",M423="Cosmetic"),VLOOKUP(B423,PrevPFS!B$1:E$833,4,FALSE),"")</f>
        <v/>
      </c>
    </row>
    <row r="424" spans="1:14" ht="45" x14ac:dyDescent="0.25">
      <c r="A424" s="31" t="str">
        <f>IF(ISNONTEXT(TR!K424),"",TR!K424)</f>
        <v>FR-TUNCN-1053</v>
      </c>
      <c r="B424" s="32" t="str">
        <f>TR!A424</f>
        <v>TR-DSRSW-2497</v>
      </c>
      <c r="C424" s="31" t="b">
        <f>ISERROR(FIND("-",TR!B424))</f>
        <v>0</v>
      </c>
      <c r="D424" s="31">
        <f>SetIndent(E424,(TR!C424-1)*2)</f>
        <v>4</v>
      </c>
      <c r="E424" s="35" t="str">
        <f>IF(ISERROR(FIND("-",TR!B424)),TR!B424&amp;" "&amp;TR!D424,TR!D424)</f>
        <v>The requirements in this section are for a Channel Stacking Switch (CSS) installation.</v>
      </c>
      <c r="F424" s="31" t="str">
        <f>TR!E424</f>
        <v>Com</v>
      </c>
      <c r="G424" s="31" t="str">
        <f>IF(ISERROR(FIND("Adara",TR!F424)),"","Adara ")</f>
        <v xml:space="preserve">Adara </v>
      </c>
      <c r="H424" s="31" t="str">
        <f>IF(ISERROR(FIND("Copernicus",TR!F424)),"","Copernicus ")</f>
        <v xml:space="preserve">Copernicus </v>
      </c>
      <c r="I424" s="31" t="str">
        <f>IF(ISERROR(FIND("Deneb",TR!F424)),"","Deneb ")</f>
        <v xml:space="preserve">Deneb </v>
      </c>
      <c r="J424" s="37" t="str">
        <f t="shared" si="6"/>
        <v xml:space="preserve">Adara Copernicus Deneb </v>
      </c>
      <c r="K424" s="31" t="str">
        <f>IF(ISBLANK(TR!G424),"",TR!G424)</f>
        <v/>
      </c>
      <c r="L424" s="31" t="str">
        <f>IF(ISBLANK(TR!H424),"",TR!H424)</f>
        <v/>
      </c>
      <c r="M424" s="30" t="str">
        <f>TR!J424</f>
        <v>Approved</v>
      </c>
      <c r="N424" s="31" t="str">
        <f>IF(OR(M424="Modified",M424="Cosmetic"),VLOOKUP(B424,PrevPFS!B$1:E$833,4,FALSE),"")</f>
        <v/>
      </c>
    </row>
    <row r="425" spans="1:14" ht="45" x14ac:dyDescent="0.25">
      <c r="A425" s="31" t="str">
        <f>IF(ISNONTEXT(TR!K425),"",TR!K425)</f>
        <v/>
      </c>
      <c r="B425" s="32" t="str">
        <f>TR!A425</f>
        <v>TR-DSRSW-1692</v>
      </c>
      <c r="C425" s="31" t="b">
        <f>ISERROR(FIND("-",TR!B425))</f>
        <v>1</v>
      </c>
      <c r="D425" s="31">
        <f>SetIndent(E425,(TR!C425-1)*2)</f>
        <v>4</v>
      </c>
      <c r="E425" s="35" t="str">
        <f>IF(ISERROR(FIND("-",TR!B425)),TR!B425&amp;" "&amp;TR!D425,TR!D425)</f>
        <v>20.1.1 CSS General</v>
      </c>
      <c r="F425" s="31" t="str">
        <f>TR!E425</f>
        <v>Hdr</v>
      </c>
      <c r="G425" s="31" t="str">
        <f>IF(ISERROR(FIND("Adara",TR!F425)),"","Adara ")</f>
        <v xml:space="preserve">Adara </v>
      </c>
      <c r="H425" s="31" t="str">
        <f>IF(ISERROR(FIND("Copernicus",TR!F425)),"","Copernicus ")</f>
        <v xml:space="preserve">Copernicus </v>
      </c>
      <c r="I425" s="31" t="str">
        <f>IF(ISERROR(FIND("Deneb",TR!F425)),"","Deneb ")</f>
        <v xml:space="preserve">Deneb </v>
      </c>
      <c r="J425" s="37" t="str">
        <f t="shared" si="6"/>
        <v xml:space="preserve">Adara Copernicus Deneb </v>
      </c>
      <c r="K425" s="31" t="str">
        <f>IF(ISBLANK(TR!G425),"",TR!G425)</f>
        <v/>
      </c>
      <c r="L425" s="31" t="str">
        <f>IF(ISBLANK(TR!H425),"",TR!H425)</f>
        <v>FR-DSRSW-1392</v>
      </c>
      <c r="M425" s="30" t="str">
        <f>TR!J425</f>
        <v>Approved</v>
      </c>
      <c r="N425" s="31" t="str">
        <f>IF(OR(M425="Modified",M425="Cosmetic"),VLOOKUP(B425,PrevPFS!B$1:E$833,4,FALSE),"")</f>
        <v/>
      </c>
    </row>
    <row r="426" spans="1:14" ht="45" x14ac:dyDescent="0.25">
      <c r="A426" s="31" t="str">
        <f>IF(ISNONTEXT(TR!K426),"",TR!K426)</f>
        <v>TR-0-TCSAT-1133</v>
      </c>
      <c r="B426" s="32" t="str">
        <f>TR!A426</f>
        <v>TR-DSRSW-1693</v>
      </c>
      <c r="C426" s="31" t="b">
        <f>ISERROR(FIND("-",TR!B426))</f>
        <v>0</v>
      </c>
      <c r="D426" s="31">
        <f>SetIndent(E426,(TR!C426-1)*2)</f>
        <v>6</v>
      </c>
      <c r="E426" s="38" t="str">
        <f>IF(ISERROR(FIND("-",TR!B426)),TR!B426&amp;" "&amp;TR!D426,TR!D426)</f>
        <v>The product SHALL comply with the CSS command definitions in CENELEC [EN50494 - 1]. Note, this requirement does not imply compliance with the examples or command sequences described in the above standards.</v>
      </c>
      <c r="F426" s="31" t="str">
        <f>TR!E426</f>
        <v>Req</v>
      </c>
      <c r="G426" s="31" t="str">
        <f>IF(ISERROR(FIND("Adara",TR!F426)),"","Adara ")</f>
        <v xml:space="preserve">Adara </v>
      </c>
      <c r="H426" s="31" t="str">
        <f>IF(ISERROR(FIND("Copernicus",TR!F426)),"","Copernicus ")</f>
        <v xml:space="preserve">Copernicus </v>
      </c>
      <c r="I426" s="31" t="str">
        <f>IF(ISERROR(FIND("Deneb",TR!F426)),"","Deneb ")</f>
        <v xml:space="preserve">Deneb </v>
      </c>
      <c r="J426" s="37" t="str">
        <f t="shared" si="6"/>
        <v xml:space="preserve">Adara Copernicus Deneb </v>
      </c>
      <c r="K426" s="31" t="str">
        <f>IF(ISBLANK(TR!G426),"",TR!G426)</f>
        <v/>
      </c>
      <c r="L426" s="31" t="str">
        <f>IF(ISBLANK(TR!H426),"",TR!H426)</f>
        <v>FR-DSRSW-1392</v>
      </c>
      <c r="M426" s="30" t="str">
        <f>TR!J426</f>
        <v>Approved</v>
      </c>
      <c r="N426" s="31" t="str">
        <f>IF(OR(M426="Modified",M426="Cosmetic"),VLOOKUP(B426,PrevPFS!B$1:E$833,4,FALSE),"")</f>
        <v/>
      </c>
    </row>
    <row r="427" spans="1:14" ht="45" x14ac:dyDescent="0.25">
      <c r="A427" s="31" t="str">
        <f>IF(ISNONTEXT(TR!K427),"",TR!K427)</f>
        <v>TR-0-TCSAT-1089</v>
      </c>
      <c r="B427" s="32" t="str">
        <f>TR!A427</f>
        <v>TR-DSRSW-1694</v>
      </c>
      <c r="C427" s="31" t="b">
        <f>ISERROR(FIND("-",TR!B427))</f>
        <v>0</v>
      </c>
      <c r="D427" s="31">
        <f>SetIndent(E427,(TR!C427-1)*2)</f>
        <v>6</v>
      </c>
      <c r="E427" s="38" t="str">
        <f>IF(ISERROR(FIND("-",TR!B427)),TR!B427&amp;" "&amp;TR!D427,TR!D427)</f>
        <v>The product SHALL, IF the Factory Reset user interface indicates that CSS settings are not retained, set the satellite installation mode to legacy mode AFTER a factory reset.</v>
      </c>
      <c r="F427" s="31" t="str">
        <f>TR!E427</f>
        <v>Req</v>
      </c>
      <c r="G427" s="31" t="str">
        <f>IF(ISERROR(FIND("Adara",TR!F427)),"","Adara ")</f>
        <v xml:space="preserve">Adara </v>
      </c>
      <c r="H427" s="31" t="str">
        <f>IF(ISERROR(FIND("Copernicus",TR!F427)),"","Copernicus ")</f>
        <v xml:space="preserve">Copernicus </v>
      </c>
      <c r="I427" s="31" t="str">
        <f>IF(ISERROR(FIND("Deneb",TR!F427)),"","Deneb ")</f>
        <v xml:space="preserve">Deneb </v>
      </c>
      <c r="J427" s="37" t="str">
        <f t="shared" si="6"/>
        <v xml:space="preserve">Adara Copernicus Deneb </v>
      </c>
      <c r="K427" s="31" t="str">
        <f>IF(ISBLANK(TR!G427),"",TR!G427)</f>
        <v/>
      </c>
      <c r="L427" s="31" t="str">
        <f>IF(ISBLANK(TR!H427),"",TR!H427)</f>
        <v>FR-DSRSW-1392</v>
      </c>
      <c r="M427" s="30" t="str">
        <f>TR!J427</f>
        <v>Approved</v>
      </c>
      <c r="N427" s="31" t="str">
        <f>IF(OR(M427="Modified",M427="Cosmetic"),VLOOKUP(B427,PrevPFS!B$1:E$833,4,FALSE),"")</f>
        <v/>
      </c>
    </row>
    <row r="428" spans="1:14" ht="45" x14ac:dyDescent="0.25">
      <c r="A428" s="31" t="str">
        <f>IF(ISNONTEXT(TR!K428),"",TR!K428)</f>
        <v>TR-0-TCSAT-1090</v>
      </c>
      <c r="B428" s="32" t="str">
        <f>TR!A428</f>
        <v>TR-DSRSW-1695</v>
      </c>
      <c r="C428" s="31" t="b">
        <f>ISERROR(FIND("-",TR!B428))</f>
        <v>0</v>
      </c>
      <c r="D428" s="31">
        <f>SetIndent(E428,(TR!C428-1)*2)</f>
        <v>6</v>
      </c>
      <c r="E428" s="38" t="str">
        <f>IF(ISERROR(FIND("-",TR!B428)),TR!B428&amp;" "&amp;TR!D428,TR!D428)</f>
        <v>The product SHALL, IF the Factory Reset user interface indicates that CSS settings are retained, restore the UB slot number setting(s) upon power-up.</v>
      </c>
      <c r="F428" s="31" t="str">
        <f>TR!E428</f>
        <v>Req</v>
      </c>
      <c r="G428" s="31" t="str">
        <f>IF(ISERROR(FIND("Adara",TR!F428)),"","Adara ")</f>
        <v xml:space="preserve">Adara </v>
      </c>
      <c r="H428" s="31" t="str">
        <f>IF(ISERROR(FIND("Copernicus",TR!F428)),"","Copernicus ")</f>
        <v xml:space="preserve">Copernicus </v>
      </c>
      <c r="I428" s="31" t="str">
        <f>IF(ISERROR(FIND("Deneb",TR!F428)),"","Deneb ")</f>
        <v xml:space="preserve">Deneb </v>
      </c>
      <c r="J428" s="37" t="str">
        <f t="shared" si="6"/>
        <v xml:space="preserve">Adara Copernicus Deneb </v>
      </c>
      <c r="K428" s="31" t="str">
        <f>IF(ISBLANK(TR!G428),"",TR!G428)</f>
        <v/>
      </c>
      <c r="L428" s="31" t="str">
        <f>IF(ISBLANK(TR!H428),"",TR!H428)</f>
        <v>FR-DSRSW-1392</v>
      </c>
      <c r="M428" s="30" t="str">
        <f>TR!J428</f>
        <v>Approved</v>
      </c>
      <c r="N428" s="31" t="str">
        <f>IF(OR(M428="Modified",M428="Cosmetic"),VLOOKUP(B428,PrevPFS!B$1:E$833,4,FALSE),"")</f>
        <v/>
      </c>
    </row>
    <row r="429" spans="1:14" ht="45" x14ac:dyDescent="0.25">
      <c r="A429" s="31" t="str">
        <f>IF(ISNONTEXT(TR!K429),"",TR!K429)</f>
        <v>TR-0-TCSAT-1130</v>
      </c>
      <c r="B429" s="32" t="str">
        <f>TR!A429</f>
        <v>TR-DSRSW-1696</v>
      </c>
      <c r="C429" s="31" t="b">
        <f>ISERROR(FIND("-",TR!B429))</f>
        <v>0</v>
      </c>
      <c r="D429" s="31">
        <f>SetIndent(E429,(TR!C429-1)*2)</f>
        <v>6</v>
      </c>
      <c r="E429" s="38" t="str">
        <f>IF(ISERROR(FIND("-",TR!B429)),TR!B429&amp;" "&amp;TR!D429,TR!D429)</f>
        <v>The product SHALL, IF the Factory Reset user interface indicates that CSS settings are retained, restore the UB frequency (automatic or manual) setting(s) upon power-up.</v>
      </c>
      <c r="F429" s="31" t="str">
        <f>TR!E429</f>
        <v>Req</v>
      </c>
      <c r="G429" s="31" t="str">
        <f>IF(ISERROR(FIND("Adara",TR!F429)),"","Adara ")</f>
        <v xml:space="preserve">Adara </v>
      </c>
      <c r="H429" s="31" t="str">
        <f>IF(ISERROR(FIND("Copernicus",TR!F429)),"","Copernicus ")</f>
        <v xml:space="preserve">Copernicus </v>
      </c>
      <c r="I429" s="31" t="str">
        <f>IF(ISERROR(FIND("Deneb",TR!F429)),"","Deneb ")</f>
        <v xml:space="preserve">Deneb </v>
      </c>
      <c r="J429" s="37" t="str">
        <f t="shared" si="6"/>
        <v xml:space="preserve">Adara Copernicus Deneb </v>
      </c>
      <c r="K429" s="31" t="str">
        <f>IF(ISBLANK(TR!G429),"",TR!G429)</f>
        <v/>
      </c>
      <c r="L429" s="31" t="str">
        <f>IF(ISBLANK(TR!H429),"",TR!H429)</f>
        <v>FR-DSRSW-1392</v>
      </c>
      <c r="M429" s="30" t="str">
        <f>TR!J429</f>
        <v>Approved</v>
      </c>
      <c r="N429" s="31" t="str">
        <f>IF(OR(M429="Modified",M429="Cosmetic"),VLOOKUP(B429,PrevPFS!B$1:E$833,4,FALSE),"")</f>
        <v/>
      </c>
    </row>
    <row r="430" spans="1:14" x14ac:dyDescent="0.25">
      <c r="A430" s="31" t="str">
        <f>IF(ISNONTEXT(TR!K430),"",TR!K430)</f>
        <v/>
      </c>
      <c r="B430" s="32" t="str">
        <f>TR!A430</f>
        <v>TR-DSRSW-2559</v>
      </c>
      <c r="C430" s="31" t="b">
        <f>ISERROR(FIND("-",TR!B430))</f>
        <v>0</v>
      </c>
      <c r="D430" s="31">
        <f>SetIndent(E430,(TR!C430-1)*2)</f>
        <v>6</v>
      </c>
      <c r="E430" s="38" t="str">
        <f>IF(ISERROR(FIND("-",TR!B430)),TR!B430&amp;" "&amp;TR!D430,TR!D430)</f>
        <v>The product SHALL support eight CSS user bands.</v>
      </c>
      <c r="F430" s="31" t="str">
        <f>TR!E430</f>
        <v>Req</v>
      </c>
      <c r="G430" s="31" t="str">
        <f>IF(ISERROR(FIND("Adara",TR!F430)),"","Adara ")</f>
        <v/>
      </c>
      <c r="H430" s="31" t="str">
        <f>IF(ISERROR(FIND("Copernicus",TR!F430)),"","Copernicus ")</f>
        <v/>
      </c>
      <c r="I430" s="31" t="str">
        <f>IF(ISERROR(FIND("Deneb",TR!F430)),"","Deneb ")</f>
        <v xml:space="preserve">Deneb </v>
      </c>
      <c r="J430" s="37" t="str">
        <f t="shared" si="6"/>
        <v xml:space="preserve">Deneb </v>
      </c>
      <c r="K430" s="31" t="str">
        <f>IF(ISBLANK(TR!G430),"",TR!G430)</f>
        <v/>
      </c>
      <c r="L430" s="31" t="str">
        <f>IF(ISBLANK(TR!H430),"",TR!H430)</f>
        <v>FR-DSRSW-1538</v>
      </c>
      <c r="M430" s="30" t="str">
        <f>TR!J430</f>
        <v>Added</v>
      </c>
      <c r="N430" s="31" t="str">
        <f>IF(OR(M430="Modified",M430="Cosmetic"),VLOOKUP(B430,PrevPFS!B$1:E$833,4,FALSE),"")</f>
        <v/>
      </c>
    </row>
    <row r="431" spans="1:14" ht="135" x14ac:dyDescent="0.25">
      <c r="A431" s="31" t="str">
        <f>IF(ISNONTEXT(TR!K431),"",TR!K431)</f>
        <v/>
      </c>
      <c r="B431" s="32" t="str">
        <f>TR!A431</f>
        <v>TR-DSRSW-2560</v>
      </c>
      <c r="C431" s="31" t="b">
        <f>ISERROR(FIND("-",TR!B431))</f>
        <v>0</v>
      </c>
      <c r="D431" s="31">
        <f>SetIndent(E431,(TR!C431-1)*2)</f>
        <v>6</v>
      </c>
      <c r="E431" s="38" t="str">
        <f>IF(ISERROR(FIND("-",TR!B431)),TR!B431&amp;" "&amp;TR!D431,TR!D431)</f>
        <v>The product SHALL support the following user band frequencies:
    1. 1210 MHz 
    2. 1420 MHz
    3. 1550 MHz
    4. 1680 MHz
    5. 1892 MHz
    6. 2040 MHz
    7. 1270 MHz
    8. 1330 MHz</v>
      </c>
      <c r="F431" s="31" t="str">
        <f>TR!E431</f>
        <v>Req</v>
      </c>
      <c r="G431" s="31" t="str">
        <f>IF(ISERROR(FIND("Adara",TR!F431)),"","Adara ")</f>
        <v/>
      </c>
      <c r="H431" s="31" t="str">
        <f>IF(ISERROR(FIND("Copernicus",TR!F431)),"","Copernicus ")</f>
        <v/>
      </c>
      <c r="I431" s="31" t="str">
        <f>IF(ISERROR(FIND("Deneb",TR!F431)),"","Deneb ")</f>
        <v xml:space="preserve">Deneb </v>
      </c>
      <c r="J431" s="37" t="str">
        <f t="shared" si="6"/>
        <v xml:space="preserve">Deneb </v>
      </c>
      <c r="K431" s="31" t="str">
        <f>IF(ISBLANK(TR!G431),"",TR!G431)</f>
        <v/>
      </c>
      <c r="L431" s="31" t="str">
        <f>IF(ISBLANK(TR!H431),"",TR!H431)</f>
        <v>FR-DSRSW-1538</v>
      </c>
      <c r="M431" s="30" t="str">
        <f>TR!J431</f>
        <v>Added</v>
      </c>
      <c r="N431" s="31" t="str">
        <f>IF(OR(M431="Modified",M431="Cosmetic"),VLOOKUP(B431,PrevPFS!B$1:E$833,4,FALSE),"")</f>
        <v/>
      </c>
    </row>
    <row r="432" spans="1:14" ht="45" x14ac:dyDescent="0.25">
      <c r="A432" s="31" t="str">
        <f>IF(ISNONTEXT(TR!K432),"",TR!K432)</f>
        <v/>
      </c>
      <c r="B432" s="32" t="str">
        <f>TR!A432</f>
        <v>TR-DSRSW-1697</v>
      </c>
      <c r="C432" s="31" t="b">
        <f>ISERROR(FIND("-",TR!B432))</f>
        <v>1</v>
      </c>
      <c r="D432" s="31">
        <f>SetIndent(E432,(TR!C432-1)*2)</f>
        <v>4</v>
      </c>
      <c r="E432" s="35" t="str">
        <f>IF(ISERROR(FIND("-",TR!B432)),TR!B432&amp;" "&amp;TR!D432,TR!D432)</f>
        <v>20.1.2 Power ON - Satellite Installation Mode</v>
      </c>
      <c r="F432" s="31" t="str">
        <f>TR!E432</f>
        <v>Hdr</v>
      </c>
      <c r="G432" s="31" t="str">
        <f>IF(ISERROR(FIND("Adara",TR!F432)),"","Adara ")</f>
        <v xml:space="preserve">Adara </v>
      </c>
      <c r="H432" s="31" t="str">
        <f>IF(ISERROR(FIND("Copernicus",TR!F432)),"","Copernicus ")</f>
        <v xml:space="preserve">Copernicus </v>
      </c>
      <c r="I432" s="31" t="str">
        <f>IF(ISERROR(FIND("Deneb",TR!F432)),"","Deneb ")</f>
        <v xml:space="preserve">Deneb </v>
      </c>
      <c r="J432" s="37" t="str">
        <f t="shared" si="6"/>
        <v xml:space="preserve">Adara Copernicus Deneb </v>
      </c>
      <c r="K432" s="31" t="str">
        <f>IF(ISBLANK(TR!G432),"",TR!G432)</f>
        <v/>
      </c>
      <c r="L432" s="31" t="str">
        <f>IF(ISBLANK(TR!H432),"",TR!H432)</f>
        <v>FR-DSRSW-1392</v>
      </c>
      <c r="M432" s="30" t="str">
        <f>TR!J432</f>
        <v>Approved</v>
      </c>
      <c r="N432" s="31" t="str">
        <f>IF(OR(M432="Modified",M432="Cosmetic"),VLOOKUP(B432,PrevPFS!B$1:E$833,4,FALSE),"")</f>
        <v/>
      </c>
    </row>
    <row r="433" spans="1:14" ht="45" x14ac:dyDescent="0.25">
      <c r="A433" s="31" t="str">
        <f>IF(ISNONTEXT(TR!K433),"",TR!K433)</f>
        <v>TR-0-TCSAT-1092</v>
      </c>
      <c r="B433" s="32" t="str">
        <f>TR!A433</f>
        <v>TR-DSRSW-1698</v>
      </c>
      <c r="C433" s="31" t="b">
        <f>ISERROR(FIND("-",TR!B433))</f>
        <v>0</v>
      </c>
      <c r="D433" s="31">
        <f>SetIndent(E433,(TR!C433-1)*2)</f>
        <v>6</v>
      </c>
      <c r="E433" s="38" t="str">
        <f>IF(ISERROR(FIND("-",TR!B433)),TR!B433&amp;" "&amp;TR!D433,TR!D433)</f>
        <v>The product SHALL, AFTER an AC power-on, set the satellite installation mode (CSS or Legacy) to the last satellite installation mode set by the application. (Note: satellite installation mode is typically stored in flash memory).</v>
      </c>
      <c r="F433" s="31" t="str">
        <f>TR!E433</f>
        <v>Req</v>
      </c>
      <c r="G433" s="31" t="str">
        <f>IF(ISERROR(FIND("Adara",TR!F433)),"","Adara ")</f>
        <v xml:space="preserve">Adara </v>
      </c>
      <c r="H433" s="31" t="str">
        <f>IF(ISERROR(FIND("Copernicus",TR!F433)),"","Copernicus ")</f>
        <v xml:space="preserve">Copernicus </v>
      </c>
      <c r="I433" s="31" t="str">
        <f>IF(ISERROR(FIND("Deneb",TR!F433)),"","Deneb ")</f>
        <v xml:space="preserve">Deneb </v>
      </c>
      <c r="J433" s="37" t="str">
        <f t="shared" si="6"/>
        <v xml:space="preserve">Adara Copernicus Deneb </v>
      </c>
      <c r="K433" s="31" t="str">
        <f>IF(ISBLANK(TR!G433),"",TR!G433)</f>
        <v/>
      </c>
      <c r="L433" s="31" t="str">
        <f>IF(ISBLANK(TR!H433),"",TR!H433)</f>
        <v>FR-DSRSW-1392</v>
      </c>
      <c r="M433" s="30" t="str">
        <f>TR!J433</f>
        <v>Approved</v>
      </c>
      <c r="N433" s="31" t="str">
        <f>IF(OR(M433="Modified",M433="Cosmetic"),VLOOKUP(B433,PrevPFS!B$1:E$833,4,FALSE),"")</f>
        <v/>
      </c>
    </row>
    <row r="434" spans="1:14" ht="45" x14ac:dyDescent="0.25">
      <c r="A434" s="31" t="str">
        <f>IF(ISNONTEXT(TR!K434),"",TR!K434)</f>
        <v/>
      </c>
      <c r="B434" s="32" t="str">
        <f>TR!A434</f>
        <v>TR-DSRSW-1699</v>
      </c>
      <c r="C434" s="31" t="b">
        <f>ISERROR(FIND("-",TR!B434))</f>
        <v>1</v>
      </c>
      <c r="D434" s="31">
        <f>SetIndent(E434,(TR!C434-1)*2)</f>
        <v>4</v>
      </c>
      <c r="E434" s="35" t="str">
        <f>IF(ISERROR(FIND("-",TR!B434)),TR!B434&amp;" "&amp;TR!D434,TR!D434)</f>
        <v>20.1.3 CSS Reclaim UB Slot</v>
      </c>
      <c r="F434" s="31" t="str">
        <f>TR!E434</f>
        <v>Hdr</v>
      </c>
      <c r="G434" s="31" t="str">
        <f>IF(ISERROR(FIND("Adara",TR!F434)),"","Adara ")</f>
        <v xml:space="preserve">Adara </v>
      </c>
      <c r="H434" s="31" t="str">
        <f>IF(ISERROR(FIND("Copernicus",TR!F434)),"","Copernicus ")</f>
        <v xml:space="preserve">Copernicus </v>
      </c>
      <c r="I434" s="31" t="str">
        <f>IF(ISERROR(FIND("Deneb",TR!F434)),"","Deneb ")</f>
        <v xml:space="preserve">Deneb </v>
      </c>
      <c r="J434" s="37" t="str">
        <f t="shared" si="6"/>
        <v xml:space="preserve">Adara Copernicus Deneb </v>
      </c>
      <c r="K434" s="31" t="str">
        <f>IF(ISBLANK(TR!G434),"",TR!G434)</f>
        <v/>
      </c>
      <c r="L434" s="31" t="str">
        <f>IF(ISBLANK(TR!H434),"",TR!H434)</f>
        <v>FR-DSRSW-1392</v>
      </c>
      <c r="M434" s="30" t="str">
        <f>TR!J434</f>
        <v>Approved</v>
      </c>
      <c r="N434" s="31" t="str">
        <f>IF(OR(M434="Modified",M434="Cosmetic"),VLOOKUP(B434,PrevPFS!B$1:E$833,4,FALSE),"")</f>
        <v/>
      </c>
    </row>
    <row r="435" spans="1:14" ht="45" x14ac:dyDescent="0.25">
      <c r="A435" s="31" t="str">
        <f>IF(ISNONTEXT(TR!K435),"",TR!K435)</f>
        <v>TR-0-TCSAT-1134</v>
      </c>
      <c r="B435" s="32" t="str">
        <f>TR!A435</f>
        <v>TR-DSRSW-1700</v>
      </c>
      <c r="C435" s="31" t="b">
        <f>ISERROR(FIND("-",TR!B435))</f>
        <v>0</v>
      </c>
      <c r="D435" s="31">
        <f>SetIndent(E435,(TR!C435-1)*2)</f>
        <v>6</v>
      </c>
      <c r="E435" s="38" t="str">
        <f>IF(ISERROR(FIND("-",TR!B435)),TR!B435&amp;" "&amp;TR!D435,TR!D435)</f>
        <v>The product SHALL, AFTER an AC power-on, WHEN CSS mode is enabled, AND CSS manual installation is not enabled, use the stored UB (user band) slot parameters for a satellite tuner IF that UB slot has not been claimed by another receiver.</v>
      </c>
      <c r="F435" s="31" t="str">
        <f>TR!E435</f>
        <v>Req</v>
      </c>
      <c r="G435" s="31" t="str">
        <f>IF(ISERROR(FIND("Adara",TR!F435)),"","Adara ")</f>
        <v xml:space="preserve">Adara </v>
      </c>
      <c r="H435" s="31" t="str">
        <f>IF(ISERROR(FIND("Copernicus",TR!F435)),"","Copernicus ")</f>
        <v xml:space="preserve">Copernicus </v>
      </c>
      <c r="I435" s="31" t="str">
        <f>IF(ISERROR(FIND("Deneb",TR!F435)),"","Deneb ")</f>
        <v xml:space="preserve">Deneb </v>
      </c>
      <c r="J435" s="37" t="str">
        <f t="shared" si="6"/>
        <v xml:space="preserve">Adara Copernicus Deneb </v>
      </c>
      <c r="K435" s="31" t="str">
        <f>IF(ISBLANK(TR!G435),"",TR!G435)</f>
        <v/>
      </c>
      <c r="L435" s="31" t="str">
        <f>IF(ISBLANK(TR!H435),"",TR!H435)</f>
        <v>FR-DSRSW-1392</v>
      </c>
      <c r="M435" s="30" t="str">
        <f>TR!J435</f>
        <v>Approved</v>
      </c>
      <c r="N435" s="31" t="str">
        <f>IF(OR(M435="Modified",M435="Cosmetic"),VLOOKUP(B435,PrevPFS!B$1:E$833,4,FALSE),"")</f>
        <v/>
      </c>
    </row>
    <row r="436" spans="1:14" ht="45" x14ac:dyDescent="0.25">
      <c r="A436" s="31" t="str">
        <f>IF(ISNONTEXT(TR!K436),"",TR!K436)</f>
        <v>TR-0-TCSAT-1135</v>
      </c>
      <c r="B436" s="32" t="str">
        <f>TR!A436</f>
        <v>TR-DSRSW-1701</v>
      </c>
      <c r="C436" s="31" t="b">
        <f>ISERROR(FIND("-",TR!B436))</f>
        <v>0</v>
      </c>
      <c r="D436" s="31">
        <f>SetIndent(E436,(TR!C436-1)*2)</f>
        <v>6</v>
      </c>
      <c r="E436" s="38" t="str">
        <f>IF(ISERROR(FIND("-",TR!B436)),TR!B436&amp;" "&amp;TR!D436,TR!D436)</f>
        <v>The product SHALL, AFTER an AC power-on, WHEN CSS mode is enabled, AND CSS manual installation is not enabled, enter CSS auto installation for a satellite tuner IF that UB slot has been claimed by another receiver.</v>
      </c>
      <c r="F436" s="31" t="str">
        <f>TR!E436</f>
        <v>Req</v>
      </c>
      <c r="G436" s="31" t="str">
        <f>IF(ISERROR(FIND("Adara",TR!F436)),"","Adara ")</f>
        <v xml:space="preserve">Adara </v>
      </c>
      <c r="H436" s="31" t="str">
        <f>IF(ISERROR(FIND("Copernicus",TR!F436)),"","Copernicus ")</f>
        <v xml:space="preserve">Copernicus </v>
      </c>
      <c r="I436" s="31" t="str">
        <f>IF(ISERROR(FIND("Deneb",TR!F436)),"","Deneb ")</f>
        <v xml:space="preserve">Deneb </v>
      </c>
      <c r="J436" s="37" t="str">
        <f t="shared" si="6"/>
        <v xml:space="preserve">Adara Copernicus Deneb </v>
      </c>
      <c r="K436" s="31" t="str">
        <f>IF(ISBLANK(TR!G436),"",TR!G436)</f>
        <v/>
      </c>
      <c r="L436" s="31" t="str">
        <f>IF(ISBLANK(TR!H436),"",TR!H436)</f>
        <v>FR-DSRSW-1392</v>
      </c>
      <c r="M436" s="30" t="str">
        <f>TR!J436</f>
        <v>Approved</v>
      </c>
      <c r="N436" s="31" t="str">
        <f>IF(OR(M436="Modified",M436="Cosmetic"),VLOOKUP(B436,PrevPFS!B$1:E$833,4,FALSE),"")</f>
        <v/>
      </c>
    </row>
    <row r="437" spans="1:14" ht="45" x14ac:dyDescent="0.25">
      <c r="A437" s="31" t="str">
        <f>IF(ISNONTEXT(TR!K437),"",TR!K437)</f>
        <v>TR-0-TCSAT-1138</v>
      </c>
      <c r="B437" s="32" t="str">
        <f>TR!A437</f>
        <v>TR-DSRSW-1702</v>
      </c>
      <c r="C437" s="31" t="b">
        <f>ISERROR(FIND("-",TR!B437))</f>
        <v>0</v>
      </c>
      <c r="D437" s="31">
        <f>SetIndent(E437,(TR!C437-1)*2)</f>
        <v>6</v>
      </c>
      <c r="E437" s="38" t="str">
        <f>IF(ISERROR(FIND("-",TR!B437)),TR!B437&amp;" "&amp;TR!D437,TR!D437)</f>
        <v>The product SHALL, AFTER an AC power-on, WHEN CSS mode is enabled, AND CSS manual installation is enabled, use the stored UB (user band) slot parameters.</v>
      </c>
      <c r="F437" s="31" t="str">
        <f>TR!E437</f>
        <v>Req</v>
      </c>
      <c r="G437" s="31" t="str">
        <f>IF(ISERROR(FIND("Adara",TR!F437)),"","Adara ")</f>
        <v xml:space="preserve">Adara </v>
      </c>
      <c r="H437" s="31" t="str">
        <f>IF(ISERROR(FIND("Copernicus",TR!F437)),"","Copernicus ")</f>
        <v xml:space="preserve">Copernicus </v>
      </c>
      <c r="I437" s="31" t="str">
        <f>IF(ISERROR(FIND("Deneb",TR!F437)),"","Deneb ")</f>
        <v xml:space="preserve">Deneb </v>
      </c>
      <c r="J437" s="37" t="str">
        <f t="shared" si="6"/>
        <v xml:space="preserve">Adara Copernicus Deneb </v>
      </c>
      <c r="K437" s="31" t="str">
        <f>IF(ISBLANK(TR!G437),"",TR!G437)</f>
        <v/>
      </c>
      <c r="L437" s="31" t="str">
        <f>IF(ISBLANK(TR!H437),"",TR!H437)</f>
        <v>FR-DSRSW-1392</v>
      </c>
      <c r="M437" s="30" t="str">
        <f>TR!J437</f>
        <v>Approved</v>
      </c>
      <c r="N437" s="31" t="str">
        <f>IF(OR(M437="Modified",M437="Cosmetic"),VLOOKUP(B437,PrevPFS!B$1:E$833,4,FALSE),"")</f>
        <v/>
      </c>
    </row>
    <row r="438" spans="1:14" ht="45" x14ac:dyDescent="0.25">
      <c r="A438" s="31" t="str">
        <f>IF(ISNONTEXT(TR!K438),"",TR!K438)</f>
        <v>TR-0-TCSAT-1136</v>
      </c>
      <c r="B438" s="32" t="str">
        <f>TR!A438</f>
        <v>TR-DSRSW-1703</v>
      </c>
      <c r="C438" s="31" t="b">
        <f>ISERROR(FIND("-",TR!B438))</f>
        <v>0</v>
      </c>
      <c r="D438" s="31">
        <f>SetIndent(E438,(TR!C438-1)*2)</f>
        <v>6</v>
      </c>
      <c r="E438" s="38" t="str">
        <f>IF(ISERROR(FIND("-",TR!B438)),TR!B438&amp;" "&amp;TR!D438,TR!D438)</f>
        <v>The product SHALL, AFTER an AC power-on, WHEN CSS mode is enabled, AND CSS manual installation is enabled, notify the application that the manual CSS acquisition has failed IF that UB is claimed by another receiver.</v>
      </c>
      <c r="F438" s="31" t="str">
        <f>TR!E438</f>
        <v>Req</v>
      </c>
      <c r="G438" s="31" t="str">
        <f>IF(ISERROR(FIND("Adara",TR!F438)),"","Adara ")</f>
        <v xml:space="preserve">Adara </v>
      </c>
      <c r="H438" s="31" t="str">
        <f>IF(ISERROR(FIND("Copernicus",TR!F438)),"","Copernicus ")</f>
        <v xml:space="preserve">Copernicus </v>
      </c>
      <c r="I438" s="31" t="str">
        <f>IF(ISERROR(FIND("Deneb",TR!F438)),"","Deneb ")</f>
        <v xml:space="preserve">Deneb </v>
      </c>
      <c r="J438" s="37" t="str">
        <f t="shared" si="6"/>
        <v xml:space="preserve">Adara Copernicus Deneb </v>
      </c>
      <c r="K438" s="31" t="str">
        <f>IF(ISBLANK(TR!G438),"",TR!G438)</f>
        <v/>
      </c>
      <c r="L438" s="31" t="str">
        <f>IF(ISBLANK(TR!H438),"",TR!H438)</f>
        <v>FR-DSRSW-1392</v>
      </c>
      <c r="M438" s="30" t="str">
        <f>TR!J438</f>
        <v>Approved</v>
      </c>
      <c r="N438" s="31" t="str">
        <f>IF(OR(M438="Modified",M438="Cosmetic"),VLOOKUP(B438,PrevPFS!B$1:E$833,4,FALSE),"")</f>
        <v/>
      </c>
    </row>
    <row r="439" spans="1:14" ht="45" x14ac:dyDescent="0.25">
      <c r="A439" s="31" t="str">
        <f>IF(ISNONTEXT(TR!K439),"",TR!K439)</f>
        <v>TR-0-TCSAT-1102</v>
      </c>
      <c r="B439" s="32" t="str">
        <f>TR!A439</f>
        <v>TR-DSRSW-1704</v>
      </c>
      <c r="C439" s="31" t="b">
        <f>ISERROR(FIND("-",TR!B439))</f>
        <v>0</v>
      </c>
      <c r="D439" s="31">
        <f>SetIndent(E439,(TR!C439-1)*2)</f>
        <v>6</v>
      </c>
      <c r="E439" s="38" t="str">
        <f>IF(ISERROR(FIND("-",TR!B439)),TR!B439&amp;" "&amp;TR!D439,TR!D439)</f>
        <v>The product SHALL avoid CSS signal collisions during an AC power on sequence. (Note: this can be tested by simultaneously powering up all the set-tops that are on the same satellite feed.)</v>
      </c>
      <c r="F439" s="31" t="str">
        <f>TR!E439</f>
        <v>Req</v>
      </c>
      <c r="G439" s="31" t="str">
        <f>IF(ISERROR(FIND("Adara",TR!F439)),"","Adara ")</f>
        <v xml:space="preserve">Adara </v>
      </c>
      <c r="H439" s="31" t="str">
        <f>IF(ISERROR(FIND("Copernicus",TR!F439)),"","Copernicus ")</f>
        <v xml:space="preserve">Copernicus </v>
      </c>
      <c r="I439" s="31" t="str">
        <f>IF(ISERROR(FIND("Deneb",TR!F439)),"","Deneb ")</f>
        <v xml:space="preserve">Deneb </v>
      </c>
      <c r="J439" s="37" t="str">
        <f t="shared" si="6"/>
        <v xml:space="preserve">Adara Copernicus Deneb </v>
      </c>
      <c r="K439" s="31" t="str">
        <f>IF(ISBLANK(TR!G439),"",TR!G439)</f>
        <v/>
      </c>
      <c r="L439" s="31" t="str">
        <f>IF(ISBLANK(TR!H439),"",TR!H439)</f>
        <v>FR-DSRSW-1392</v>
      </c>
      <c r="M439" s="30" t="str">
        <f>TR!J439</f>
        <v>Approved</v>
      </c>
      <c r="N439" s="31" t="str">
        <f>IF(OR(M439="Modified",M439="Cosmetic"),VLOOKUP(B439,PrevPFS!B$1:E$833,4,FALSE),"")</f>
        <v/>
      </c>
    </row>
    <row r="440" spans="1:14" ht="45" x14ac:dyDescent="0.25">
      <c r="A440" s="31" t="str">
        <f>IF(ISNONTEXT(TR!K440),"",TR!K440)</f>
        <v/>
      </c>
      <c r="B440" s="32" t="str">
        <f>TR!A440</f>
        <v>TR-DSRSW-1705</v>
      </c>
      <c r="C440" s="31" t="b">
        <f>ISERROR(FIND("-",TR!B440))</f>
        <v>1</v>
      </c>
      <c r="D440" s="31">
        <f>SetIndent(E440,(TR!C440-1)*2)</f>
        <v>4</v>
      </c>
      <c r="E440" s="35" t="str">
        <f>IF(ISERROR(FIND("-",TR!B440)),TR!B440&amp;" "&amp;TR!D440,TR!D440)</f>
        <v>20.1.4 CSS Reclaim UB Slot - Front Panel Reset</v>
      </c>
      <c r="F440" s="31" t="str">
        <f>TR!E440</f>
        <v>Hdr</v>
      </c>
      <c r="G440" s="31" t="str">
        <f>IF(ISERROR(FIND("Adara",TR!F440)),"","Adara ")</f>
        <v xml:space="preserve">Adara </v>
      </c>
      <c r="H440" s="31" t="str">
        <f>IF(ISERROR(FIND("Copernicus",TR!F440)),"","Copernicus ")</f>
        <v xml:space="preserve">Copernicus </v>
      </c>
      <c r="I440" s="31" t="str">
        <f>IF(ISERROR(FIND("Deneb",TR!F440)),"","Deneb ")</f>
        <v xml:space="preserve">Deneb </v>
      </c>
      <c r="J440" s="37" t="str">
        <f t="shared" si="6"/>
        <v xml:space="preserve">Adara Copernicus Deneb </v>
      </c>
      <c r="K440" s="31" t="str">
        <f>IF(ISBLANK(TR!G440),"",TR!G440)</f>
        <v/>
      </c>
      <c r="L440" s="31" t="str">
        <f>IF(ISBLANK(TR!H440),"",TR!H440)</f>
        <v>FR-DSRSW-1392</v>
      </c>
      <c r="M440" s="30" t="str">
        <f>TR!J440</f>
        <v>Approved</v>
      </c>
      <c r="N440" s="31" t="str">
        <f>IF(OR(M440="Modified",M440="Cosmetic"),VLOOKUP(B440,PrevPFS!B$1:E$833,4,FALSE),"")</f>
        <v/>
      </c>
    </row>
    <row r="441" spans="1:14" ht="45" x14ac:dyDescent="0.25">
      <c r="A441" s="31" t="str">
        <f>IF(ISNONTEXT(TR!K441),"",TR!K441)</f>
        <v/>
      </c>
      <c r="B441" s="32" t="str">
        <f>TR!A441</f>
        <v>TR-DSRSW-1706</v>
      </c>
      <c r="C441" s="31" t="b">
        <f>ISERROR(FIND("-",TR!B441))</f>
        <v>0</v>
      </c>
      <c r="D441" s="31">
        <f>SetIndent(E441,(TR!C441-1)*2)</f>
        <v>6</v>
      </c>
      <c r="E441" s="38" t="str">
        <f>IF(ISERROR(FIND("-",TR!B441)),TR!B441&amp;" "&amp;TR!D441,TR!D441)</f>
        <v>The product SHALL, AFTER a Front panel reset, WHEN CSS mode is enabled, AND CSS manual installation is not enabled, use the stored UB (user band) slot parameters for a satellite tuner IF that UB slot has not been claimed by another receiver.</v>
      </c>
      <c r="F441" s="31" t="str">
        <f>TR!E441</f>
        <v>Req</v>
      </c>
      <c r="G441" s="31" t="str">
        <f>IF(ISERROR(FIND("Adara",TR!F441)),"","Adara ")</f>
        <v xml:space="preserve">Adara </v>
      </c>
      <c r="H441" s="31" t="str">
        <f>IF(ISERROR(FIND("Copernicus",TR!F441)),"","Copernicus ")</f>
        <v xml:space="preserve">Copernicus </v>
      </c>
      <c r="I441" s="31" t="str">
        <f>IF(ISERROR(FIND("Deneb",TR!F441)),"","Deneb ")</f>
        <v xml:space="preserve">Deneb </v>
      </c>
      <c r="J441" s="37" t="str">
        <f t="shared" si="6"/>
        <v xml:space="preserve">Adara Copernicus Deneb </v>
      </c>
      <c r="K441" s="31" t="str">
        <f>IF(ISBLANK(TR!G441),"",TR!G441)</f>
        <v/>
      </c>
      <c r="L441" s="31" t="str">
        <f>IF(ISBLANK(TR!H441),"",TR!H441)</f>
        <v>FR-DSRSW-1392</v>
      </c>
      <c r="M441" s="30" t="str">
        <f>TR!J441</f>
        <v>Approved</v>
      </c>
      <c r="N441" s="31" t="str">
        <f>IF(OR(M441="Modified",M441="Cosmetic"),VLOOKUP(B441,PrevPFS!B$1:E$833,4,FALSE),"")</f>
        <v/>
      </c>
    </row>
    <row r="442" spans="1:14" ht="45" x14ac:dyDescent="0.25">
      <c r="A442" s="31" t="str">
        <f>IF(ISNONTEXT(TR!K442),"",TR!K442)</f>
        <v>TR-0-TCSAT-1140</v>
      </c>
      <c r="B442" s="32" t="str">
        <f>TR!A442</f>
        <v>TR-DSRSW-1707</v>
      </c>
      <c r="C442" s="31" t="b">
        <f>ISERROR(FIND("-",TR!B442))</f>
        <v>0</v>
      </c>
      <c r="D442" s="31">
        <f>SetIndent(E442,(TR!C442-1)*2)</f>
        <v>6</v>
      </c>
      <c r="E442" s="38" t="str">
        <f>IF(ISERROR(FIND("-",TR!B442)),TR!B442&amp;" "&amp;TR!D442,TR!D442)</f>
        <v>The product SHALL, AFTER a Front panel reset, WHEN CSS mode is enabled, AND CSS manual installation is not enabled, enter CSS auto installation for a satellite tuner IF that UB slot has been claimed by another receiver.</v>
      </c>
      <c r="F442" s="31" t="str">
        <f>TR!E442</f>
        <v>Req</v>
      </c>
      <c r="G442" s="31" t="str">
        <f>IF(ISERROR(FIND("Adara",TR!F442)),"","Adara ")</f>
        <v xml:space="preserve">Adara </v>
      </c>
      <c r="H442" s="31" t="str">
        <f>IF(ISERROR(FIND("Copernicus",TR!F442)),"","Copernicus ")</f>
        <v xml:space="preserve">Copernicus </v>
      </c>
      <c r="I442" s="31" t="str">
        <f>IF(ISERROR(FIND("Deneb",TR!F442)),"","Deneb ")</f>
        <v xml:space="preserve">Deneb </v>
      </c>
      <c r="J442" s="37" t="str">
        <f t="shared" si="6"/>
        <v xml:space="preserve">Adara Copernicus Deneb </v>
      </c>
      <c r="K442" s="31" t="str">
        <f>IF(ISBLANK(TR!G442),"",TR!G442)</f>
        <v/>
      </c>
      <c r="L442" s="31" t="str">
        <f>IF(ISBLANK(TR!H442),"",TR!H442)</f>
        <v>FR-DSRSW-1392</v>
      </c>
      <c r="M442" s="30" t="str">
        <f>TR!J442</f>
        <v>Approved</v>
      </c>
      <c r="N442" s="31" t="str">
        <f>IF(OR(M442="Modified",M442="Cosmetic"),VLOOKUP(B442,PrevPFS!B$1:E$833,4,FALSE),"")</f>
        <v/>
      </c>
    </row>
    <row r="443" spans="1:14" ht="45" x14ac:dyDescent="0.25">
      <c r="A443" s="31" t="str">
        <f>IF(ISNONTEXT(TR!K443),"",TR!K443)</f>
        <v>TR-0-TCSAT-1141</v>
      </c>
      <c r="B443" s="32" t="str">
        <f>TR!A443</f>
        <v>TR-DSRSW-1708</v>
      </c>
      <c r="C443" s="31" t="b">
        <f>ISERROR(FIND("-",TR!B443))</f>
        <v>0</v>
      </c>
      <c r="D443" s="31">
        <f>SetIndent(E443,(TR!C443-1)*2)</f>
        <v>6</v>
      </c>
      <c r="E443" s="38" t="str">
        <f>IF(ISERROR(FIND("-",TR!B443)),TR!B443&amp;" "&amp;TR!D443,TR!D443)</f>
        <v>The product SHALL, AFTER a Front panel reset, WHEN CSS mode is enabled, AND CSS manual installation is enabled, use the stored UB (user band) slot parameters.</v>
      </c>
      <c r="F443" s="31" t="str">
        <f>TR!E443</f>
        <v>Req</v>
      </c>
      <c r="G443" s="31" t="str">
        <f>IF(ISERROR(FIND("Adara",TR!F443)),"","Adara ")</f>
        <v xml:space="preserve">Adara </v>
      </c>
      <c r="H443" s="31" t="str">
        <f>IF(ISERROR(FIND("Copernicus",TR!F443)),"","Copernicus ")</f>
        <v xml:space="preserve">Copernicus </v>
      </c>
      <c r="I443" s="31" t="str">
        <f>IF(ISERROR(FIND("Deneb",TR!F443)),"","Deneb ")</f>
        <v xml:space="preserve">Deneb </v>
      </c>
      <c r="J443" s="37" t="str">
        <f t="shared" si="6"/>
        <v xml:space="preserve">Adara Copernicus Deneb </v>
      </c>
      <c r="K443" s="31" t="str">
        <f>IF(ISBLANK(TR!G443),"",TR!G443)</f>
        <v/>
      </c>
      <c r="L443" s="31" t="str">
        <f>IF(ISBLANK(TR!H443),"",TR!H443)</f>
        <v>FR-DSRSW-1392</v>
      </c>
      <c r="M443" s="30" t="str">
        <f>TR!J443</f>
        <v>Approved</v>
      </c>
      <c r="N443" s="31" t="str">
        <f>IF(OR(M443="Modified",M443="Cosmetic"),VLOOKUP(B443,PrevPFS!B$1:E$833,4,FALSE),"")</f>
        <v/>
      </c>
    </row>
    <row r="444" spans="1:14" ht="45" x14ac:dyDescent="0.25">
      <c r="A444" s="31" t="str">
        <f>IF(ISNONTEXT(TR!K444),"",TR!K444)</f>
        <v>TR-0-TCSAT-1142</v>
      </c>
      <c r="B444" s="32" t="str">
        <f>TR!A444</f>
        <v>TR-DSRSW-1709</v>
      </c>
      <c r="C444" s="31" t="b">
        <f>ISERROR(FIND("-",TR!B444))</f>
        <v>0</v>
      </c>
      <c r="D444" s="31">
        <f>SetIndent(E444,(TR!C444-1)*2)</f>
        <v>6</v>
      </c>
      <c r="E444" s="38" t="str">
        <f>IF(ISERROR(FIND("-",TR!B444)),TR!B444&amp;" "&amp;TR!D444,TR!D444)</f>
        <v>The product SHALL, AFTER a Front panel reset, WHEN CSS mode is enabled, AND CSS manual installation is enabled, notify the application that the manual CSS acquisition has failed IF the UB slot is in use by another receiver.</v>
      </c>
      <c r="F444" s="31" t="str">
        <f>TR!E444</f>
        <v>Req</v>
      </c>
      <c r="G444" s="31" t="str">
        <f>IF(ISERROR(FIND("Adara",TR!F444)),"","Adara ")</f>
        <v xml:space="preserve">Adara </v>
      </c>
      <c r="H444" s="31" t="str">
        <f>IF(ISERROR(FIND("Copernicus",TR!F444)),"","Copernicus ")</f>
        <v xml:space="preserve">Copernicus </v>
      </c>
      <c r="I444" s="31" t="str">
        <f>IF(ISERROR(FIND("Deneb",TR!F444)),"","Deneb ")</f>
        <v xml:space="preserve">Deneb </v>
      </c>
      <c r="J444" s="37" t="str">
        <f t="shared" si="6"/>
        <v xml:space="preserve">Adara Copernicus Deneb </v>
      </c>
      <c r="K444" s="31" t="str">
        <f>IF(ISBLANK(TR!G444),"",TR!G444)</f>
        <v/>
      </c>
      <c r="L444" s="31" t="str">
        <f>IF(ISBLANK(TR!H444),"",TR!H444)</f>
        <v>FR-DSRSW-1392</v>
      </c>
      <c r="M444" s="30" t="str">
        <f>TR!J444</f>
        <v>Approved</v>
      </c>
      <c r="N444" s="31" t="str">
        <f>IF(OR(M444="Modified",M444="Cosmetic"),VLOOKUP(B444,PrevPFS!B$1:E$833,4,FALSE),"")</f>
        <v/>
      </c>
    </row>
    <row r="445" spans="1:14" ht="45" x14ac:dyDescent="0.25">
      <c r="A445" s="31" t="str">
        <f>IF(ISNONTEXT(TR!K445),"",TR!K445)</f>
        <v/>
      </c>
      <c r="B445" s="32" t="str">
        <f>TR!A445</f>
        <v>TR-DSRSW-1710</v>
      </c>
      <c r="C445" s="31" t="b">
        <f>ISERROR(FIND("-",TR!B445))</f>
        <v>1</v>
      </c>
      <c r="D445" s="31">
        <f>SetIndent(E445,(TR!C445-1)*2)</f>
        <v>4</v>
      </c>
      <c r="E445" s="35" t="str">
        <f>IF(ISERROR(FIND("-",TR!B445)),TR!B445&amp;" "&amp;TR!D445,TR!D445)</f>
        <v>20.1.5 CSS Manual Installation</v>
      </c>
      <c r="F445" s="31" t="str">
        <f>TR!E445</f>
        <v>Hdr</v>
      </c>
      <c r="G445" s="31" t="str">
        <f>IF(ISERROR(FIND("Adara",TR!F445)),"","Adara ")</f>
        <v xml:space="preserve">Adara </v>
      </c>
      <c r="H445" s="31" t="str">
        <f>IF(ISERROR(FIND("Copernicus",TR!F445)),"","Copernicus ")</f>
        <v xml:space="preserve">Copernicus </v>
      </c>
      <c r="I445" s="31" t="str">
        <f>IF(ISERROR(FIND("Deneb",TR!F445)),"","Deneb ")</f>
        <v xml:space="preserve">Deneb </v>
      </c>
      <c r="J445" s="37" t="str">
        <f t="shared" si="6"/>
        <v xml:space="preserve">Adara Copernicus Deneb </v>
      </c>
      <c r="K445" s="31" t="str">
        <f>IF(ISBLANK(TR!G445),"",TR!G445)</f>
        <v/>
      </c>
      <c r="L445" s="31" t="str">
        <f>IF(ISBLANK(TR!H445),"",TR!H445)</f>
        <v>FR-DSRSW-1392</v>
      </c>
      <c r="M445" s="30" t="str">
        <f>TR!J445</f>
        <v>Approved</v>
      </c>
      <c r="N445" s="31" t="str">
        <f>IF(OR(M445="Modified",M445="Cosmetic"),VLOOKUP(B445,PrevPFS!B$1:E$833,4,FALSE),"")</f>
        <v/>
      </c>
    </row>
    <row r="446" spans="1:14" ht="45" x14ac:dyDescent="0.25">
      <c r="A446" s="31" t="str">
        <f>IF(ISNONTEXT(TR!K446),"",TR!K446)</f>
        <v>TR-0-TCSAT-1143</v>
      </c>
      <c r="B446" s="32" t="str">
        <f>TR!A446</f>
        <v>TR-DSRSW-1711</v>
      </c>
      <c r="C446" s="31" t="b">
        <f>ISERROR(FIND("-",TR!B446))</f>
        <v>0</v>
      </c>
      <c r="D446" s="31">
        <f>SetIndent(E446,(TR!C446-1)*2)</f>
        <v>6</v>
      </c>
      <c r="E446" s="38" t="str">
        <f>IF(ISERROR(FIND("-",TR!B446)),TR!B446&amp;" "&amp;TR!D446,TR!D446)</f>
        <v>The product SHALL, during CSS manual installation, use the UB slot number entered by the user for the each selected satellite tuner (regardless of if the UB slot is in use by another receiver).</v>
      </c>
      <c r="F446" s="31" t="str">
        <f>TR!E446</f>
        <v>Req</v>
      </c>
      <c r="G446" s="31" t="str">
        <f>IF(ISERROR(FIND("Adara",TR!F446)),"","Adara ")</f>
        <v xml:space="preserve">Adara </v>
      </c>
      <c r="H446" s="31" t="str">
        <f>IF(ISERROR(FIND("Copernicus",TR!F446)),"","Copernicus ")</f>
        <v xml:space="preserve">Copernicus </v>
      </c>
      <c r="I446" s="31" t="str">
        <f>IF(ISERROR(FIND("Deneb",TR!F446)),"","Deneb ")</f>
        <v xml:space="preserve">Deneb </v>
      </c>
      <c r="J446" s="37" t="str">
        <f t="shared" si="6"/>
        <v xml:space="preserve">Adara Copernicus Deneb </v>
      </c>
      <c r="K446" s="31" t="str">
        <f>IF(ISBLANK(TR!G446),"",TR!G446)</f>
        <v/>
      </c>
      <c r="L446" s="31" t="str">
        <f>IF(ISBLANK(TR!H446),"",TR!H446)</f>
        <v>FR-DSRSW-1392</v>
      </c>
      <c r="M446" s="30" t="str">
        <f>TR!J446</f>
        <v>Approved</v>
      </c>
      <c r="N446" s="31" t="str">
        <f>IF(OR(M446="Modified",M446="Cosmetic"),VLOOKUP(B446,PrevPFS!B$1:E$833,4,FALSE),"")</f>
        <v/>
      </c>
    </row>
    <row r="447" spans="1:14" ht="45" x14ac:dyDescent="0.25">
      <c r="A447" s="31" t="str">
        <f>IF(ISNONTEXT(TR!K447),"",TR!K447)</f>
        <v/>
      </c>
      <c r="B447" s="32" t="str">
        <f>TR!A447</f>
        <v>TR-DSRSW-1712</v>
      </c>
      <c r="C447" s="31" t="b">
        <f>ISERROR(FIND("-",TR!B447))</f>
        <v>1</v>
      </c>
      <c r="D447" s="31">
        <f>SetIndent(E447,(TR!C447-1)*2)</f>
        <v>4</v>
      </c>
      <c r="E447" s="35" t="str">
        <f>IF(ISERROR(FIND("-",TR!B447)),TR!B447&amp;" "&amp;TR!D447,TR!D447)</f>
        <v>20.1.6 CSS Auto Installation</v>
      </c>
      <c r="F447" s="31" t="str">
        <f>TR!E447</f>
        <v>Hdr</v>
      </c>
      <c r="G447" s="31" t="str">
        <f>IF(ISERROR(FIND("Adara",TR!F447)),"","Adara ")</f>
        <v xml:space="preserve">Adara </v>
      </c>
      <c r="H447" s="31" t="str">
        <f>IF(ISERROR(FIND("Copernicus",TR!F447)),"","Copernicus ")</f>
        <v xml:space="preserve">Copernicus </v>
      </c>
      <c r="I447" s="31" t="str">
        <f>IF(ISERROR(FIND("Deneb",TR!F447)),"","Deneb ")</f>
        <v xml:space="preserve">Deneb </v>
      </c>
      <c r="J447" s="37" t="str">
        <f t="shared" si="6"/>
        <v xml:space="preserve">Adara Copernicus Deneb </v>
      </c>
      <c r="K447" s="31" t="str">
        <f>IF(ISBLANK(TR!G447),"",TR!G447)</f>
        <v/>
      </c>
      <c r="L447" s="31" t="str">
        <f>IF(ISBLANK(TR!H447),"",TR!H447)</f>
        <v>FR-DSRSW-1392</v>
      </c>
      <c r="M447" s="30" t="str">
        <f>TR!J447</f>
        <v>Approved</v>
      </c>
      <c r="N447" s="31" t="str">
        <f>IF(OR(M447="Modified",M447="Cosmetic"),VLOOKUP(B447,PrevPFS!B$1:E$833,4,FALSE),"")</f>
        <v/>
      </c>
    </row>
    <row r="448" spans="1:14" ht="45" x14ac:dyDescent="0.25">
      <c r="A448" s="31" t="str">
        <f>IF(ISNONTEXT(TR!K448),"",TR!K448)</f>
        <v>TR-0-TCSAT-1117</v>
      </c>
      <c r="B448" s="32" t="str">
        <f>TR!A448</f>
        <v>TR-DSRSW-1713</v>
      </c>
      <c r="C448" s="31" t="b">
        <f>ISERROR(FIND("-",TR!B448))</f>
        <v>0</v>
      </c>
      <c r="D448" s="31">
        <f>SetIndent(E448,(TR!C448-1)*2)</f>
        <v>6</v>
      </c>
      <c r="E448" s="38" t="str">
        <f>IF(ISERROR(FIND("-",TR!B448)),TR!B448&amp;" "&amp;TR!D448,TR!D448)</f>
        <v>The product SHALL allow the application to initiate CSS auto installation.</v>
      </c>
      <c r="F448" s="31" t="str">
        <f>TR!E448</f>
        <v>Req</v>
      </c>
      <c r="G448" s="31" t="str">
        <f>IF(ISERROR(FIND("Adara",TR!F448)),"","Adara ")</f>
        <v xml:space="preserve">Adara </v>
      </c>
      <c r="H448" s="31" t="str">
        <f>IF(ISERROR(FIND("Copernicus",TR!F448)),"","Copernicus ")</f>
        <v xml:space="preserve">Copernicus </v>
      </c>
      <c r="I448" s="31" t="str">
        <f>IF(ISERROR(FIND("Deneb",TR!F448)),"","Deneb ")</f>
        <v xml:space="preserve">Deneb </v>
      </c>
      <c r="J448" s="37" t="str">
        <f t="shared" si="6"/>
        <v xml:space="preserve">Adara Copernicus Deneb </v>
      </c>
      <c r="K448" s="31" t="str">
        <f>IF(ISBLANK(TR!G448),"",TR!G448)</f>
        <v/>
      </c>
      <c r="L448" s="31" t="str">
        <f>IF(ISBLANK(TR!H448),"",TR!H448)</f>
        <v>FR-DSRSW-1392</v>
      </c>
      <c r="M448" s="30" t="str">
        <f>TR!J448</f>
        <v>Approved</v>
      </c>
      <c r="N448" s="31" t="str">
        <f>IF(OR(M448="Modified",M448="Cosmetic"),VLOOKUP(B448,PrevPFS!B$1:E$833,4,FALSE),"")</f>
        <v/>
      </c>
    </row>
    <row r="449" spans="1:14" ht="45" x14ac:dyDescent="0.25">
      <c r="A449" s="31" t="str">
        <f>IF(ISNONTEXT(TR!K449),"",TR!K449)</f>
        <v>TR-0-TCSAT-1150</v>
      </c>
      <c r="B449" s="32" t="str">
        <f>TR!A449</f>
        <v>TR-DSRSW-1714</v>
      </c>
      <c r="C449" s="31" t="b">
        <f>ISERROR(FIND("-",TR!B449))</f>
        <v>0</v>
      </c>
      <c r="D449" s="31">
        <f>SetIndent(E449,(TR!C449-1)*2)</f>
        <v>6</v>
      </c>
      <c r="E449" s="38" t="str">
        <f>IF(ISERROR(FIND("-",TR!B449)),TR!B449&amp;" "&amp;TR!D449,TR!D449)</f>
        <v>The product shall power off and make available the tuner's current UB slot, if any, prior to attempting to acquire a UB slot during CSS auto installation.</v>
      </c>
      <c r="F449" s="31" t="str">
        <f>TR!E449</f>
        <v>Req</v>
      </c>
      <c r="G449" s="31" t="str">
        <f>IF(ISERROR(FIND("Adara",TR!F449)),"","Adara ")</f>
        <v xml:space="preserve">Adara </v>
      </c>
      <c r="H449" s="31" t="str">
        <f>IF(ISERROR(FIND("Copernicus",TR!F449)),"","Copernicus ")</f>
        <v xml:space="preserve">Copernicus </v>
      </c>
      <c r="I449" s="31" t="str">
        <f>IF(ISERROR(FIND("Deneb",TR!F449)),"","Deneb ")</f>
        <v xml:space="preserve">Deneb </v>
      </c>
      <c r="J449" s="37" t="str">
        <f t="shared" si="6"/>
        <v xml:space="preserve">Adara Copernicus Deneb </v>
      </c>
      <c r="K449" s="31" t="str">
        <f>IF(ISBLANK(TR!G449),"",TR!G449)</f>
        <v/>
      </c>
      <c r="L449" s="31" t="str">
        <f>IF(ISBLANK(TR!H449),"",TR!H449)</f>
        <v>FR-DSRSW-1392</v>
      </c>
      <c r="M449" s="30" t="str">
        <f>TR!J449</f>
        <v>Approved</v>
      </c>
      <c r="N449" s="31" t="str">
        <f>IF(OR(M449="Modified",M449="Cosmetic"),VLOOKUP(B449,PrevPFS!B$1:E$833,4,FALSE),"")</f>
        <v/>
      </c>
    </row>
    <row r="450" spans="1:14" ht="45" x14ac:dyDescent="0.25">
      <c r="A450" s="31" t="str">
        <f>IF(ISNONTEXT(TR!K450),"",TR!K450)</f>
        <v>TR-0-TCSAT-1118</v>
      </c>
      <c r="B450" s="32" t="str">
        <f>TR!A450</f>
        <v>TR-DSRSW-1715</v>
      </c>
      <c r="C450" s="31" t="b">
        <f>ISERROR(FIND("-",TR!B450))</f>
        <v>0</v>
      </c>
      <c r="D450" s="31">
        <f>SetIndent(E450,(TR!C450-1)*2)</f>
        <v>6</v>
      </c>
      <c r="E450" s="38" t="str">
        <f>IF(ISERROR(FIND("-",TR!B450)),TR!B450&amp;" "&amp;TR!D450,TR!D450)</f>
        <v>The product SHALL, during single cable CSS auto installation, make a first attempt to acquire the lowest available UB slot number.</v>
      </c>
      <c r="F450" s="31" t="str">
        <f>TR!E450</f>
        <v>Req</v>
      </c>
      <c r="G450" s="31" t="str">
        <f>IF(ISERROR(FIND("Adara",TR!F450)),"","Adara ")</f>
        <v xml:space="preserve">Adara </v>
      </c>
      <c r="H450" s="31" t="str">
        <f>IF(ISERROR(FIND("Copernicus",TR!F450)),"","Copernicus ")</f>
        <v xml:space="preserve">Copernicus </v>
      </c>
      <c r="I450" s="31" t="str">
        <f>IF(ISERROR(FIND("Deneb",TR!F450)),"","Deneb ")</f>
        <v xml:space="preserve">Deneb </v>
      </c>
      <c r="J450" s="37" t="str">
        <f t="shared" si="6"/>
        <v xml:space="preserve">Adara Copernicus Deneb </v>
      </c>
      <c r="K450" s="31" t="str">
        <f>IF(ISBLANK(TR!G450),"",TR!G450)</f>
        <v/>
      </c>
      <c r="L450" s="31" t="str">
        <f>IF(ISBLANK(TR!H450),"",TR!H450)</f>
        <v>FR-DSRSW-1392</v>
      </c>
      <c r="M450" s="30" t="str">
        <f>TR!J450</f>
        <v>Approved</v>
      </c>
      <c r="N450" s="31" t="str">
        <f>IF(OR(M450="Modified",M450="Cosmetic"),VLOOKUP(B450,PrevPFS!B$1:E$833,4,FALSE),"")</f>
        <v/>
      </c>
    </row>
    <row r="451" spans="1:14" ht="90" x14ac:dyDescent="0.25">
      <c r="A451" s="31" t="str">
        <f>IF(ISNONTEXT(TR!K451),"",TR!K451)</f>
        <v>TR-0-TCSAT-1151</v>
      </c>
      <c r="B451" s="32" t="str">
        <f>TR!A451</f>
        <v>TR-DSRSW-1716</v>
      </c>
      <c r="C451" s="31" t="b">
        <f>ISERROR(FIND("-",TR!B451))</f>
        <v>0</v>
      </c>
      <c r="D451" s="31">
        <f>SetIndent(E451,(TR!C451-1)*2)</f>
        <v>6</v>
      </c>
      <c r="E451" s="38" t="str">
        <f>IF(ISERROR(FIND("-",TR!B451)),TR!B451&amp;" "&amp;TR!D451,TR!D451)</f>
        <v>The product SHALL, IF no UB slots are available after the first UB acquisition attempt, power OFF each accessible UB slot, then make a second attempt to claim to lowest available UB slot. (Note: In this context, "accessible UB slot" refers to all the possible UB slots that are available to the satellite tuner. This will vary depending on the configuration of the SCIF since not all UB slots are necessarily available on each SCIF output).</v>
      </c>
      <c r="F451" s="31" t="str">
        <f>TR!E451</f>
        <v>Req</v>
      </c>
      <c r="G451" s="31" t="str">
        <f>IF(ISERROR(FIND("Adara",TR!F451)),"","Adara ")</f>
        <v xml:space="preserve">Adara </v>
      </c>
      <c r="H451" s="31" t="str">
        <f>IF(ISERROR(FIND("Copernicus",TR!F451)),"","Copernicus ")</f>
        <v xml:space="preserve">Copernicus </v>
      </c>
      <c r="I451" s="31" t="str">
        <f>IF(ISERROR(FIND("Deneb",TR!F451)),"","Deneb ")</f>
        <v xml:space="preserve">Deneb </v>
      </c>
      <c r="J451" s="37" t="str">
        <f t="shared" ref="J451:J514" si="7">G451&amp;H451&amp;I451</f>
        <v xml:space="preserve">Adara Copernicus Deneb </v>
      </c>
      <c r="K451" s="31" t="str">
        <f>IF(ISBLANK(TR!G451),"",TR!G451)</f>
        <v/>
      </c>
      <c r="L451" s="31" t="str">
        <f>IF(ISBLANK(TR!H451),"",TR!H451)</f>
        <v>FR-DSRSW-1392</v>
      </c>
      <c r="M451" s="30" t="str">
        <f>TR!J451</f>
        <v>Approved</v>
      </c>
      <c r="N451" s="31" t="str">
        <f>IF(OR(M451="Modified",M451="Cosmetic"),VLOOKUP(B451,PrevPFS!B$1:E$833,4,FALSE),"")</f>
        <v/>
      </c>
    </row>
    <row r="452" spans="1:14" ht="45" x14ac:dyDescent="0.25">
      <c r="A452" s="31" t="str">
        <f>IF(ISNONTEXT(TR!K452),"",TR!K452)</f>
        <v>TR-0-TCSAT-1120</v>
      </c>
      <c r="B452" s="32" t="str">
        <f>TR!A452</f>
        <v>TR-DSRSW-1717</v>
      </c>
      <c r="C452" s="31" t="b">
        <f>ISERROR(FIND("-",TR!B452))</f>
        <v>0</v>
      </c>
      <c r="D452" s="31">
        <f>SetIndent(E452,(TR!C452-1)*2)</f>
        <v>6</v>
      </c>
      <c r="E452" s="38" t="str">
        <f>IF(ISERROR(FIND("-",TR!B452)),TR!B452&amp;" "&amp;TR!D452,TR!D452)</f>
        <v>The product SHALL, IF CSS auto installation UB slot acquisition IS successful, save the allocated UB number to nonvolatile memory.</v>
      </c>
      <c r="F452" s="31" t="str">
        <f>TR!E452</f>
        <v>Req</v>
      </c>
      <c r="G452" s="31" t="str">
        <f>IF(ISERROR(FIND("Adara",TR!F452)),"","Adara ")</f>
        <v xml:space="preserve">Adara </v>
      </c>
      <c r="H452" s="31" t="str">
        <f>IF(ISERROR(FIND("Copernicus",TR!F452)),"","Copernicus ")</f>
        <v xml:space="preserve">Copernicus </v>
      </c>
      <c r="I452" s="31" t="str">
        <f>IF(ISERROR(FIND("Deneb",TR!F452)),"","Deneb ")</f>
        <v xml:space="preserve">Deneb </v>
      </c>
      <c r="J452" s="37" t="str">
        <f t="shared" si="7"/>
        <v xml:space="preserve">Adara Copernicus Deneb </v>
      </c>
      <c r="K452" s="31" t="str">
        <f>IF(ISBLANK(TR!G452),"",TR!G452)</f>
        <v/>
      </c>
      <c r="L452" s="31" t="str">
        <f>IF(ISBLANK(TR!H452),"",TR!H452)</f>
        <v>FR-DSRSW-1392</v>
      </c>
      <c r="M452" s="30" t="str">
        <f>TR!J452</f>
        <v>Approved</v>
      </c>
      <c r="N452" s="31" t="str">
        <f>IF(OR(M452="Modified",M452="Cosmetic"),VLOOKUP(B452,PrevPFS!B$1:E$833,4,FALSE),"")</f>
        <v/>
      </c>
    </row>
    <row r="453" spans="1:14" ht="45" x14ac:dyDescent="0.25">
      <c r="A453" s="31" t="str">
        <f>IF(ISNONTEXT(TR!K453),"",TR!K453)</f>
        <v>TR-0-TCSAT-1132</v>
      </c>
      <c r="B453" s="32" t="str">
        <f>TR!A453</f>
        <v>TR-DSRSW-1718</v>
      </c>
      <c r="C453" s="31" t="b">
        <f>ISERROR(FIND("-",TR!B453))</f>
        <v>0</v>
      </c>
      <c r="D453" s="31">
        <f>SetIndent(E453,(TR!C453-1)*2)</f>
        <v>6</v>
      </c>
      <c r="E453" s="38" t="str">
        <f>IF(ISERROR(FIND("-",TR!B453)),TR!B453&amp;" "&amp;TR!D453,TR!D453)</f>
        <v>The product SHALL, IF CSS auto installation UB slot acquisition IS successful, save the allocated UB frequency to nonvolatile memory.</v>
      </c>
      <c r="F453" s="31" t="str">
        <f>TR!E453</f>
        <v>Req</v>
      </c>
      <c r="G453" s="31" t="str">
        <f>IF(ISERROR(FIND("Adara",TR!F453)),"","Adara ")</f>
        <v xml:space="preserve">Adara </v>
      </c>
      <c r="H453" s="31" t="str">
        <f>IF(ISERROR(FIND("Copernicus",TR!F453)),"","Copernicus ")</f>
        <v xml:space="preserve">Copernicus </v>
      </c>
      <c r="I453" s="31" t="str">
        <f>IF(ISERROR(FIND("Deneb",TR!F453)),"","Deneb ")</f>
        <v xml:space="preserve">Deneb </v>
      </c>
      <c r="J453" s="37" t="str">
        <f t="shared" si="7"/>
        <v xml:space="preserve">Adara Copernicus Deneb </v>
      </c>
      <c r="K453" s="31" t="str">
        <f>IF(ISBLANK(TR!G453),"",TR!G453)</f>
        <v/>
      </c>
      <c r="L453" s="31" t="str">
        <f>IF(ISBLANK(TR!H453),"",TR!H453)</f>
        <v>FR-DSRSW-1392</v>
      </c>
      <c r="M453" s="30" t="str">
        <f>TR!J453</f>
        <v>Approved</v>
      </c>
      <c r="N453" s="31" t="str">
        <f>IF(OR(M453="Modified",M453="Cosmetic"),VLOOKUP(B453,PrevPFS!B$1:E$833,4,FALSE),"")</f>
        <v/>
      </c>
    </row>
    <row r="454" spans="1:14" ht="45" x14ac:dyDescent="0.25">
      <c r="A454" s="31" t="str">
        <f>IF(ISNONTEXT(TR!K454),"",TR!K454)</f>
        <v>TR-0-TCSAT-1121</v>
      </c>
      <c r="B454" s="32" t="str">
        <f>TR!A454</f>
        <v>TR-DSRSW-1719</v>
      </c>
      <c r="C454" s="31" t="b">
        <f>ISERROR(FIND("-",TR!B454))</f>
        <v>0</v>
      </c>
      <c r="D454" s="31">
        <f>SetIndent(E454,(TR!C454-1)*2)</f>
        <v>6</v>
      </c>
      <c r="E454" s="38" t="str">
        <f>IF(ISERROR(FIND("-",TR!B454)),TR!B454&amp;" "&amp;TR!D454,TR!D454)</f>
        <v>The product SHALL, IF CSS auto installation IS NOT successful, notify the application of the failure.</v>
      </c>
      <c r="F454" s="31" t="str">
        <f>TR!E454</f>
        <v>Req</v>
      </c>
      <c r="G454" s="31" t="str">
        <f>IF(ISERROR(FIND("Adara",TR!F454)),"","Adara ")</f>
        <v xml:space="preserve">Adara </v>
      </c>
      <c r="H454" s="31" t="str">
        <f>IF(ISERROR(FIND("Copernicus",TR!F454)),"","Copernicus ")</f>
        <v xml:space="preserve">Copernicus </v>
      </c>
      <c r="I454" s="31" t="str">
        <f>IF(ISERROR(FIND("Deneb",TR!F454)),"","Deneb ")</f>
        <v xml:space="preserve">Deneb </v>
      </c>
      <c r="J454" s="37" t="str">
        <f t="shared" si="7"/>
        <v xml:space="preserve">Adara Copernicus Deneb </v>
      </c>
      <c r="K454" s="31" t="str">
        <f>IF(ISBLANK(TR!G454),"",TR!G454)</f>
        <v/>
      </c>
      <c r="L454" s="31" t="str">
        <f>IF(ISBLANK(TR!H454),"",TR!H454)</f>
        <v>FR-DSRSW-1392</v>
      </c>
      <c r="M454" s="30" t="str">
        <f>TR!J454</f>
        <v>Approved</v>
      </c>
      <c r="N454" s="31" t="str">
        <f>IF(OR(M454="Modified",M454="Cosmetic"),VLOOKUP(B454,PrevPFS!B$1:E$833,4,FALSE),"")</f>
        <v/>
      </c>
    </row>
    <row r="455" spans="1:14" ht="45" x14ac:dyDescent="0.25">
      <c r="A455" s="31" t="str">
        <f>IF(ISNONTEXT(TR!K455),"",TR!K455)</f>
        <v>TR-0-TCSAT-1119</v>
      </c>
      <c r="B455" s="32" t="str">
        <f>TR!A455</f>
        <v>TR-DSRSW-1720</v>
      </c>
      <c r="C455" s="31" t="b">
        <f>ISERROR(FIND("-",TR!B455))</f>
        <v>0</v>
      </c>
      <c r="D455" s="31">
        <f>SetIndent(E455,(TR!C455-1)*2)</f>
        <v>6</v>
      </c>
      <c r="E455" s="38" t="str">
        <f>IF(ISERROR(FIND("-",TR!B455)),TR!B455&amp;" "&amp;TR!D455,TR!D455)</f>
        <v>The product SHALL, at the conclusion of the auto installation process, power OFF all UB tones that were enabled during the auto installation process.</v>
      </c>
      <c r="F455" s="31" t="str">
        <f>TR!E455</f>
        <v>Req</v>
      </c>
      <c r="G455" s="31" t="str">
        <f>IF(ISERROR(FIND("Adara",TR!F455)),"","Adara ")</f>
        <v xml:space="preserve">Adara </v>
      </c>
      <c r="H455" s="31" t="str">
        <f>IF(ISERROR(FIND("Copernicus",TR!F455)),"","Copernicus ")</f>
        <v xml:space="preserve">Copernicus </v>
      </c>
      <c r="I455" s="31" t="str">
        <f>IF(ISERROR(FIND("Deneb",TR!F455)),"","Deneb ")</f>
        <v xml:space="preserve">Deneb </v>
      </c>
      <c r="J455" s="37" t="str">
        <f t="shared" si="7"/>
        <v xml:space="preserve">Adara Copernicus Deneb </v>
      </c>
      <c r="K455" s="31" t="str">
        <f>IF(ISBLANK(TR!G455),"",TR!G455)</f>
        <v/>
      </c>
      <c r="L455" s="31" t="str">
        <f>IF(ISBLANK(TR!H455),"",TR!H455)</f>
        <v>FR-DSRSW-1392</v>
      </c>
      <c r="M455" s="30" t="str">
        <f>TR!J455</f>
        <v>Approved</v>
      </c>
      <c r="N455" s="31" t="str">
        <f>IF(OR(M455="Modified",M455="Cosmetic"),VLOOKUP(B455,PrevPFS!B$1:E$833,4,FALSE),"")</f>
        <v/>
      </c>
    </row>
    <row r="456" spans="1:14" ht="45" x14ac:dyDescent="0.25">
      <c r="A456" s="31" t="str">
        <f>IF(ISNONTEXT(TR!K456),"",TR!K456)</f>
        <v/>
      </c>
      <c r="B456" s="32" t="str">
        <f>TR!A456</f>
        <v>TR-DSRSW-1721</v>
      </c>
      <c r="C456" s="31" t="b">
        <f>ISERROR(FIND("-",TR!B456))</f>
        <v>1</v>
      </c>
      <c r="D456" s="31">
        <f>SetIndent(E456,(TR!C456-1)*2)</f>
        <v>4</v>
      </c>
      <c r="E456" s="35" t="str">
        <f>IF(ISERROR(FIND("-",TR!B456)),TR!B456&amp;" "&amp;TR!D456,TR!D456)</f>
        <v>20.1.7 Channel Change</v>
      </c>
      <c r="F456" s="31" t="str">
        <f>TR!E456</f>
        <v>Hdr</v>
      </c>
      <c r="G456" s="31" t="str">
        <f>IF(ISERROR(FIND("Adara",TR!F456)),"","Adara ")</f>
        <v xml:space="preserve">Adara </v>
      </c>
      <c r="H456" s="31" t="str">
        <f>IF(ISERROR(FIND("Copernicus",TR!F456)),"","Copernicus ")</f>
        <v xml:space="preserve">Copernicus </v>
      </c>
      <c r="I456" s="31" t="str">
        <f>IF(ISERROR(FIND("Deneb",TR!F456)),"","Deneb ")</f>
        <v xml:space="preserve">Deneb </v>
      </c>
      <c r="J456" s="37" t="str">
        <f t="shared" si="7"/>
        <v xml:space="preserve">Adara Copernicus Deneb </v>
      </c>
      <c r="K456" s="31" t="str">
        <f>IF(ISBLANK(TR!G456),"",TR!G456)</f>
        <v/>
      </c>
      <c r="L456" s="31" t="str">
        <f>IF(ISBLANK(TR!H456),"",TR!H456)</f>
        <v>FR-DSRSW-1392</v>
      </c>
      <c r="M456" s="30" t="str">
        <f>TR!J456</f>
        <v>Approved</v>
      </c>
      <c r="N456" s="31" t="str">
        <f>IF(OR(M456="Modified",M456="Cosmetic"),VLOOKUP(B456,PrevPFS!B$1:E$833,4,FALSE),"")</f>
        <v/>
      </c>
    </row>
    <row r="457" spans="1:14" ht="45" x14ac:dyDescent="0.25">
      <c r="A457" s="31" t="str">
        <f>IF(ISNONTEXT(TR!K457),"",TR!K457)</f>
        <v>TR-0-TCSAT-1123</v>
      </c>
      <c r="B457" s="32" t="str">
        <f>TR!A457</f>
        <v>TR-DSRSW-1722</v>
      </c>
      <c r="C457" s="31" t="b">
        <f>ISERROR(FIND("-",TR!B457))</f>
        <v>0</v>
      </c>
      <c r="D457" s="31">
        <f>SetIndent(E457,(TR!C457-1)*2)</f>
        <v>6</v>
      </c>
      <c r="E457" s="38" t="str">
        <f>IF(ISERROR(FIND("-",TR!B457)),TR!B457&amp;" "&amp;TR!D457,TR!D457)</f>
        <v>The product SHALL, for a channel change while CSS is enabled, acquire the target channel at the assigned UB frequency, accounting for any rounding error in the CSS channel change command tuning word.</v>
      </c>
      <c r="F457" s="31" t="str">
        <f>TR!E457</f>
        <v>Req</v>
      </c>
      <c r="G457" s="31" t="str">
        <f>IF(ISERROR(FIND("Adara",TR!F457)),"","Adara ")</f>
        <v xml:space="preserve">Adara </v>
      </c>
      <c r="H457" s="31" t="str">
        <f>IF(ISERROR(FIND("Copernicus",TR!F457)),"","Copernicus ")</f>
        <v xml:space="preserve">Copernicus </v>
      </c>
      <c r="I457" s="31" t="str">
        <f>IF(ISERROR(FIND("Deneb",TR!F457)),"","Deneb ")</f>
        <v xml:space="preserve">Deneb </v>
      </c>
      <c r="J457" s="37" t="str">
        <f t="shared" si="7"/>
        <v xml:space="preserve">Adara Copernicus Deneb </v>
      </c>
      <c r="K457" s="31" t="str">
        <f>IF(ISBLANK(TR!G457),"",TR!G457)</f>
        <v/>
      </c>
      <c r="L457" s="31" t="str">
        <f>IF(ISBLANK(TR!H457),"",TR!H457)</f>
        <v>FR-DSRSW-1392</v>
      </c>
      <c r="M457" s="30" t="str">
        <f>TR!J457</f>
        <v>Approved</v>
      </c>
      <c r="N457" s="31" t="str">
        <f>IF(OR(M457="Modified",M457="Cosmetic"),VLOOKUP(B457,PrevPFS!B$1:E$833,4,FALSE),"")</f>
        <v/>
      </c>
    </row>
    <row r="458" spans="1:14" ht="60" x14ac:dyDescent="0.25">
      <c r="A458" s="31" t="str">
        <f>IF(ISNONTEXT(TR!K458),"",TR!K458)</f>
        <v>TR-0-TCSAT-1124</v>
      </c>
      <c r="B458" s="32" t="str">
        <f>TR!A458</f>
        <v>TR-DSRSW-1723</v>
      </c>
      <c r="C458" s="31" t="b">
        <f>ISERROR(FIND("-",TR!B458))</f>
        <v>0</v>
      </c>
      <c r="D458" s="31">
        <f>SetIndent(E458,(TR!C458-1)*2)</f>
        <v>6</v>
      </c>
      <c r="E458" s="38" t="str">
        <f>IF(ISERROR(FIND("-",TR!B458)),TR!B458&amp;" "&amp;TR!D458,TR!D458)</f>
        <v>The product SHALL, after a channel change, notify the application IF the PAT TSID does not match the TSID given in the Network Information Tables (NITs). (Note: the application should attempt to retune if the TSID does not match, but eventually give up allowing NITs to update if necessary.)</v>
      </c>
      <c r="F458" s="31" t="str">
        <f>TR!E458</f>
        <v>Req</v>
      </c>
      <c r="G458" s="31" t="str">
        <f>IF(ISERROR(FIND("Adara",TR!F458)),"","Adara ")</f>
        <v xml:space="preserve">Adara </v>
      </c>
      <c r="H458" s="31" t="str">
        <f>IF(ISERROR(FIND("Copernicus",TR!F458)),"","Copernicus ")</f>
        <v xml:space="preserve">Copernicus </v>
      </c>
      <c r="I458" s="31" t="str">
        <f>IF(ISERROR(FIND("Deneb",TR!F458)),"","Deneb ")</f>
        <v xml:space="preserve">Deneb </v>
      </c>
      <c r="J458" s="37" t="str">
        <f t="shared" si="7"/>
        <v xml:space="preserve">Adara Copernicus Deneb </v>
      </c>
      <c r="K458" s="31" t="str">
        <f>IF(ISBLANK(TR!G458),"",TR!G458)</f>
        <v/>
      </c>
      <c r="L458" s="31" t="str">
        <f>IF(ISBLANK(TR!H458),"",TR!H458)</f>
        <v>FR-DSRSW-1392</v>
      </c>
      <c r="M458" s="30" t="str">
        <f>TR!J458</f>
        <v>Approved</v>
      </c>
      <c r="N458" s="31" t="str">
        <f>IF(OR(M458="Modified",M458="Cosmetic"),VLOOKUP(B458,PrevPFS!B$1:E$833,4,FALSE),"")</f>
        <v/>
      </c>
    </row>
    <row r="459" spans="1:14" ht="45" x14ac:dyDescent="0.25">
      <c r="A459" s="31" t="str">
        <f>IF(ISNONTEXT(TR!K459),"",TR!K459)</f>
        <v>TR-0-TCSAT-1125</v>
      </c>
      <c r="B459" s="32" t="str">
        <f>TR!A459</f>
        <v>TR-DSRSW-1724</v>
      </c>
      <c r="C459" s="31" t="b">
        <f>ISERROR(FIND("-",TR!B459))</f>
        <v>0</v>
      </c>
      <c r="D459" s="31">
        <f>SetIndent(E459,(TR!C459-1)*2)</f>
        <v>6</v>
      </c>
      <c r="E459" s="38" t="str">
        <f>IF(ISERROR(FIND("-",TR!B459)),TR!B459&amp;" "&amp;TR!D459,TR!D459)</f>
        <v>The product SHALL, after detection of a DISEqC CSS message collision, wait for a random duration period before generating a new DISEqC CSS message to minimize subsequent traffic collisions. (note: [EN50494-1] section 8 demonstates one possible method.)</v>
      </c>
      <c r="F459" s="31" t="str">
        <f>TR!E459</f>
        <v>Req</v>
      </c>
      <c r="G459" s="31" t="str">
        <f>IF(ISERROR(FIND("Adara",TR!F459)),"","Adara ")</f>
        <v xml:space="preserve">Adara </v>
      </c>
      <c r="H459" s="31" t="str">
        <f>IF(ISERROR(FIND("Copernicus",TR!F459)),"","Copernicus ")</f>
        <v xml:space="preserve">Copernicus </v>
      </c>
      <c r="I459" s="31" t="str">
        <f>IF(ISERROR(FIND("Deneb",TR!F459)),"","Deneb ")</f>
        <v xml:space="preserve">Deneb </v>
      </c>
      <c r="J459" s="37" t="str">
        <f t="shared" si="7"/>
        <v xml:space="preserve">Adara Copernicus Deneb </v>
      </c>
      <c r="K459" s="31" t="str">
        <f>IF(ISBLANK(TR!G459),"",TR!G459)</f>
        <v/>
      </c>
      <c r="L459" s="31" t="str">
        <f>IF(ISBLANK(TR!H459),"",TR!H459)</f>
        <v>FR-DSRSW-1392</v>
      </c>
      <c r="M459" s="30" t="str">
        <f>TR!J459</f>
        <v>Approved</v>
      </c>
      <c r="N459" s="31" t="str">
        <f>IF(OR(M459="Modified",M459="Cosmetic"),VLOOKUP(B459,PrevPFS!B$1:E$833,4,FALSE),"")</f>
        <v/>
      </c>
    </row>
    <row r="460" spans="1:14" ht="45" x14ac:dyDescent="0.25">
      <c r="A460" s="31" t="str">
        <f>IF(ISNONTEXT(TR!K460),"",TR!K460)</f>
        <v/>
      </c>
      <c r="B460" s="32" t="str">
        <f>TR!A460</f>
        <v>TR-DSRSW-1725</v>
      </c>
      <c r="C460" s="31" t="b">
        <f>ISERROR(FIND("-",TR!B460))</f>
        <v>1</v>
      </c>
      <c r="D460" s="31">
        <f>SetIndent(E460,(TR!C460-1)*2)</f>
        <v>4</v>
      </c>
      <c r="E460" s="35" t="str">
        <f>IF(ISERROR(FIND("-",TR!B460)),TR!B460&amp;" "&amp;TR!D460,TR!D460)</f>
        <v>20.1.8 CSS Signal Loss</v>
      </c>
      <c r="F460" s="31" t="str">
        <f>TR!E460</f>
        <v>Hdr</v>
      </c>
      <c r="G460" s="31" t="str">
        <f>IF(ISERROR(FIND("Adara",TR!F460)),"","Adara ")</f>
        <v xml:space="preserve">Adara </v>
      </c>
      <c r="H460" s="31" t="str">
        <f>IF(ISERROR(FIND("Copernicus",TR!F460)),"","Copernicus ")</f>
        <v xml:space="preserve">Copernicus </v>
      </c>
      <c r="I460" s="31" t="str">
        <f>IF(ISERROR(FIND("Deneb",TR!F460)),"","Deneb ")</f>
        <v xml:space="preserve">Deneb </v>
      </c>
      <c r="J460" s="37" t="str">
        <f t="shared" si="7"/>
        <v xml:space="preserve">Adara Copernicus Deneb </v>
      </c>
      <c r="K460" s="31" t="str">
        <f>IF(ISBLANK(TR!G460),"",TR!G460)</f>
        <v/>
      </c>
      <c r="L460" s="31" t="str">
        <f>IF(ISBLANK(TR!H460),"",TR!H460)</f>
        <v>FR-DSRSW-1392</v>
      </c>
      <c r="M460" s="30" t="str">
        <f>TR!J460</f>
        <v>Approved</v>
      </c>
      <c r="N460" s="31" t="str">
        <f>IF(OR(M460="Modified",M460="Cosmetic"),VLOOKUP(B460,PrevPFS!B$1:E$833,4,FALSE),"")</f>
        <v/>
      </c>
    </row>
    <row r="461" spans="1:14" ht="45" x14ac:dyDescent="0.25">
      <c r="A461" s="31" t="str">
        <f>IF(ISNONTEXT(TR!K461),"",TR!K461)</f>
        <v>TR-0-TCSAT-1129</v>
      </c>
      <c r="B461" s="32" t="str">
        <f>TR!A461</f>
        <v>TR-DSRSW-1726</v>
      </c>
      <c r="C461" s="31" t="b">
        <f>ISERROR(FIND("-",TR!B461))</f>
        <v>0</v>
      </c>
      <c r="D461" s="31">
        <f>SetIndent(E461,(TR!C461-1)*2)</f>
        <v>6</v>
      </c>
      <c r="E461" s="38" t="str">
        <f>IF(ISERROR(FIND("-",TR!B461)),TR!B461&amp;" "&amp;TR!D461,TR!D461)</f>
        <v>The product SHALL, after UB carrier loss while CSS is active, reclaim the associated UB slot within 1 second.</v>
      </c>
      <c r="F461" s="31" t="str">
        <f>TR!E461</f>
        <v>Req</v>
      </c>
      <c r="G461" s="31" t="str">
        <f>IF(ISERROR(FIND("Adara",TR!F461)),"","Adara ")</f>
        <v xml:space="preserve">Adara </v>
      </c>
      <c r="H461" s="31" t="str">
        <f>IF(ISERROR(FIND("Copernicus",TR!F461)),"","Copernicus ")</f>
        <v xml:space="preserve">Copernicus </v>
      </c>
      <c r="I461" s="31" t="str">
        <f>IF(ISERROR(FIND("Deneb",TR!F461)),"","Deneb ")</f>
        <v xml:space="preserve">Deneb </v>
      </c>
      <c r="J461" s="37" t="str">
        <f t="shared" si="7"/>
        <v xml:space="preserve">Adara Copernicus Deneb </v>
      </c>
      <c r="K461" s="31" t="str">
        <f>IF(ISBLANK(TR!G461),"",TR!G461)</f>
        <v/>
      </c>
      <c r="L461" s="31" t="str">
        <f>IF(ISBLANK(TR!H461),"",TR!H461)</f>
        <v>FR-DSRSW-1392</v>
      </c>
      <c r="M461" s="30" t="str">
        <f>TR!J461</f>
        <v>Approved</v>
      </c>
      <c r="N461" s="31" t="str">
        <f>IF(OR(M461="Modified",M461="Cosmetic"),VLOOKUP(B461,PrevPFS!B$1:E$833,4,FALSE),"")</f>
        <v/>
      </c>
    </row>
    <row r="462" spans="1:14" ht="45" x14ac:dyDescent="0.25">
      <c r="A462" s="31" t="str">
        <f>IF(ISNONTEXT(TR!K462),"",TR!K462)</f>
        <v>FR-TUNCN-1057</v>
      </c>
      <c r="B462" s="32" t="str">
        <f>TR!A462</f>
        <v>TR-DSRSW-1727</v>
      </c>
      <c r="C462" s="31" t="b">
        <f>ISERROR(FIND("-",TR!B462))</f>
        <v>1</v>
      </c>
      <c r="D462" s="31">
        <f>SetIndent(E462,(TR!C462-1)*2)</f>
        <v>2</v>
      </c>
      <c r="E462" s="34" t="str">
        <f>IF(ISERROR(FIND("-",TR!B462)),TR!B462&amp;" "&amp;TR!D462,TR!D462)</f>
        <v>20.2 LNB Type API</v>
      </c>
      <c r="F462" s="31" t="str">
        <f>TR!E462</f>
        <v>Hdr</v>
      </c>
      <c r="G462" s="31" t="str">
        <f>IF(ISERROR(FIND("Adara",TR!F462)),"","Adara ")</f>
        <v xml:space="preserve">Adara </v>
      </c>
      <c r="H462" s="31" t="str">
        <f>IF(ISERROR(FIND("Copernicus",TR!F462)),"","Copernicus ")</f>
        <v xml:space="preserve">Copernicus </v>
      </c>
      <c r="I462" s="31" t="str">
        <f>IF(ISERROR(FIND("Deneb",TR!F462)),"","Deneb ")</f>
        <v xml:space="preserve">Deneb </v>
      </c>
      <c r="J462" s="37" t="str">
        <f t="shared" si="7"/>
        <v xml:space="preserve">Adara Copernicus Deneb </v>
      </c>
      <c r="K462" s="31" t="str">
        <f>IF(ISBLANK(TR!G462),"",TR!G462)</f>
        <v/>
      </c>
      <c r="L462" s="31" t="str">
        <f>IF(ISBLANK(TR!H462),"",TR!H462)</f>
        <v>FR-DSRSW-1393</v>
      </c>
      <c r="M462" s="30" t="str">
        <f>TR!J462</f>
        <v>Approved</v>
      </c>
      <c r="N462" s="31" t="str">
        <f>IF(OR(M462="Modified",M462="Cosmetic"),VLOOKUP(B462,PrevPFS!B$1:E$833,4,FALSE),"")</f>
        <v/>
      </c>
    </row>
    <row r="463" spans="1:14" ht="45" x14ac:dyDescent="0.25">
      <c r="A463" s="31" t="str">
        <f>IF(ISNONTEXT(TR!K463),"",TR!K463)</f>
        <v>FR-TUNCN-1057</v>
      </c>
      <c r="B463" s="32" t="str">
        <f>TR!A463</f>
        <v>TR-DSRSW-2498</v>
      </c>
      <c r="C463" s="31" t="b">
        <f>ISERROR(FIND("-",TR!B463))</f>
        <v>0</v>
      </c>
      <c r="D463" s="31">
        <f>SetIndent(E463,(TR!C463-1)*2)</f>
        <v>4</v>
      </c>
      <c r="E463" s="35" t="str">
        <f>IF(ISERROR(FIND("-",TR!B463)),TR!B463&amp;" "&amp;TR!D463,TR!D463)</f>
        <v>The requirements below allow the product to report the satellite LNB type to the client application.</v>
      </c>
      <c r="F463" s="31" t="str">
        <f>TR!E463</f>
        <v>Com</v>
      </c>
      <c r="G463" s="31" t="str">
        <f>IF(ISERROR(FIND("Adara",TR!F463)),"","Adara ")</f>
        <v xml:space="preserve">Adara </v>
      </c>
      <c r="H463" s="31" t="str">
        <f>IF(ISERROR(FIND("Copernicus",TR!F463)),"","Copernicus ")</f>
        <v xml:space="preserve">Copernicus </v>
      </c>
      <c r="I463" s="31" t="str">
        <f>IF(ISERROR(FIND("Deneb",TR!F463)),"","Deneb ")</f>
        <v xml:space="preserve">Deneb </v>
      </c>
      <c r="J463" s="37" t="str">
        <f t="shared" si="7"/>
        <v xml:space="preserve">Adara Copernicus Deneb </v>
      </c>
      <c r="K463" s="31" t="str">
        <f>IF(ISBLANK(TR!G463),"",TR!G463)</f>
        <v/>
      </c>
      <c r="L463" s="31" t="str">
        <f>IF(ISBLANK(TR!H463),"",TR!H463)</f>
        <v/>
      </c>
      <c r="M463" s="30" t="str">
        <f>TR!J463</f>
        <v>Approved</v>
      </c>
      <c r="N463" s="31" t="str">
        <f>IF(OR(M463="Modified",M463="Cosmetic"),VLOOKUP(B463,PrevPFS!B$1:E$833,4,FALSE),"")</f>
        <v/>
      </c>
    </row>
    <row r="464" spans="1:14" ht="90" x14ac:dyDescent="0.25">
      <c r="A464" s="31" t="str">
        <f>IF(ISNONTEXT(TR!K464),"",TR!K464)</f>
        <v>TR-0-TCSAT-1155</v>
      </c>
      <c r="B464" s="32" t="str">
        <f>TR!A464</f>
        <v>TR-DSRSW-1728</v>
      </c>
      <c r="C464" s="31" t="b">
        <f>ISERROR(FIND("-",TR!B464))</f>
        <v>0</v>
      </c>
      <c r="D464" s="31">
        <f>SetIndent(E464,(TR!C464-1)*2)</f>
        <v>4</v>
      </c>
      <c r="E464" s="35" t="str">
        <f>IF(ISERROR(FIND("-",TR!B464)),TR!B464&amp;" "&amp;TR!D464,TR!D464)</f>
        <v>The product SHALL provide an API to allow application software to determine the LNB type.  Supported LNB types are:
 1. Quad band 
 2. xKu band
 3. CSS with Quad band
 4. CSS with xKu band</v>
      </c>
      <c r="F464" s="31" t="str">
        <f>TR!E464</f>
        <v>Req</v>
      </c>
      <c r="G464" s="31" t="str">
        <f>IF(ISERROR(FIND("Adara",TR!F464)),"","Adara ")</f>
        <v xml:space="preserve">Adara </v>
      </c>
      <c r="H464" s="31" t="str">
        <f>IF(ISERROR(FIND("Copernicus",TR!F464)),"","Copernicus ")</f>
        <v xml:space="preserve">Copernicus </v>
      </c>
      <c r="I464" s="31" t="str">
        <f>IF(ISERROR(FIND("Deneb",TR!F464)),"","Deneb ")</f>
        <v xml:space="preserve">Deneb </v>
      </c>
      <c r="J464" s="37" t="str">
        <f t="shared" si="7"/>
        <v xml:space="preserve">Adara Copernicus Deneb </v>
      </c>
      <c r="K464" s="31" t="str">
        <f>IF(ISBLANK(TR!G464),"",TR!G464)</f>
        <v/>
      </c>
      <c r="L464" s="31" t="str">
        <f>IF(ISBLANK(TR!H464),"",TR!H464)</f>
        <v>FR-DSRSW-1393</v>
      </c>
      <c r="M464" s="30" t="str">
        <f>TR!J464</f>
        <v>Approved</v>
      </c>
      <c r="N464" s="31" t="str">
        <f>IF(OR(M464="Modified",M464="Cosmetic"),VLOOKUP(B464,PrevPFS!B$1:E$833,4,FALSE),"")</f>
        <v/>
      </c>
    </row>
    <row r="465" spans="1:14" ht="45" x14ac:dyDescent="0.25">
      <c r="A465" s="31" t="str">
        <f>IF(ISNONTEXT(TR!K465),"",TR!K465)</f>
        <v/>
      </c>
      <c r="B465" s="32" t="str">
        <f>TR!A465</f>
        <v>TR-DSRSW-1733</v>
      </c>
      <c r="C465" s="31" t="b">
        <f>ISERROR(FIND("-",TR!B465))</f>
        <v>1</v>
      </c>
      <c r="D465" s="31">
        <f>SetIndent(E465,(TR!C465-1)*2)</f>
        <v>0</v>
      </c>
      <c r="E465" s="33" t="str">
        <f>IF(ISERROR(FIND("-",TR!B465)),TR!B465&amp;" "&amp;TR!D465,TR!D465)</f>
        <v>21 Tuning and Demodulation</v>
      </c>
      <c r="F465" s="31" t="str">
        <f>TR!E465</f>
        <v>Hdr</v>
      </c>
      <c r="G465" s="31" t="str">
        <f>IF(ISERROR(FIND("Adara",TR!F465)),"","Adara ")</f>
        <v xml:space="preserve">Adara </v>
      </c>
      <c r="H465" s="31" t="str">
        <f>IF(ISERROR(FIND("Copernicus",TR!F465)),"","Copernicus ")</f>
        <v xml:space="preserve">Copernicus </v>
      </c>
      <c r="I465" s="31" t="str">
        <f>IF(ISERROR(FIND("Deneb",TR!F465)),"","Deneb ")</f>
        <v xml:space="preserve">Deneb </v>
      </c>
      <c r="J465" s="37" t="str">
        <f t="shared" si="7"/>
        <v xml:space="preserve">Adara Copernicus Deneb </v>
      </c>
      <c r="K465" s="31" t="str">
        <f>IF(ISBLANK(TR!G465),"",TR!G465)</f>
        <v/>
      </c>
      <c r="L465" s="31" t="str">
        <f>IF(ISBLANK(TR!H465),"",TR!H465)</f>
        <v>FR-DSRSW-1394</v>
      </c>
      <c r="M465" s="30" t="str">
        <f>TR!J465</f>
        <v>Approved</v>
      </c>
      <c r="N465" s="31" t="str">
        <f>IF(OR(M465="Modified",M465="Cosmetic"),VLOOKUP(B465,PrevPFS!B$1:E$833,4,FALSE),"")</f>
        <v/>
      </c>
    </row>
    <row r="466" spans="1:14" ht="45" x14ac:dyDescent="0.25">
      <c r="A466" s="31" t="str">
        <f>IF(ISNONTEXT(TR!K466),"",TR!K466)</f>
        <v/>
      </c>
      <c r="B466" s="32" t="str">
        <f>TR!A466</f>
        <v>TR-DSRSW-2193</v>
      </c>
      <c r="C466" s="31" t="b">
        <f>ISERROR(FIND("-",TR!B466))</f>
        <v>1</v>
      </c>
      <c r="D466" s="31">
        <f>SetIndent(E466,(TR!C466-1)*2)</f>
        <v>2</v>
      </c>
      <c r="E466" s="34" t="str">
        <f>IF(ISERROR(FIND("-",TR!B466)),TR!B466&amp;" "&amp;TR!D466,TR!D466)</f>
        <v>21.1 8-PSK Demodulation</v>
      </c>
      <c r="F466" s="31" t="str">
        <f>TR!E466</f>
        <v>Hdr</v>
      </c>
      <c r="G466" s="31" t="str">
        <f>IF(ISERROR(FIND("Adara",TR!F466)),"","Adara ")</f>
        <v xml:space="preserve">Adara </v>
      </c>
      <c r="H466" s="31" t="str">
        <f>IF(ISERROR(FIND("Copernicus",TR!F466)),"","Copernicus ")</f>
        <v xml:space="preserve">Copernicus </v>
      </c>
      <c r="I466" s="31" t="str">
        <f>IF(ISERROR(FIND("Deneb",TR!F466)),"","Deneb ")</f>
        <v xml:space="preserve">Deneb </v>
      </c>
      <c r="J466" s="37" t="str">
        <f t="shared" si="7"/>
        <v xml:space="preserve">Adara Copernicus Deneb </v>
      </c>
      <c r="K466" s="31" t="str">
        <f>IF(ISBLANK(TR!G466),"",TR!G466)</f>
        <v/>
      </c>
      <c r="L466" s="31" t="str">
        <f>IF(ISBLANK(TR!H466),"",TR!H466)</f>
        <v>FR-DSRSW-1395</v>
      </c>
      <c r="M466" s="30" t="str">
        <f>TR!J466</f>
        <v>Approved</v>
      </c>
      <c r="N466" s="31" t="str">
        <f>IF(OR(M466="Modified",M466="Cosmetic"),VLOOKUP(B466,PrevPFS!B$1:E$833,4,FALSE),"")</f>
        <v/>
      </c>
    </row>
    <row r="467" spans="1:14" ht="45" x14ac:dyDescent="0.25">
      <c r="A467" s="31" t="str">
        <f>IF(ISNONTEXT(TR!K467),"",TR!K467)</f>
        <v>TR-0-TD8PSK-FPR-1024</v>
      </c>
      <c r="B467" s="32" t="str">
        <f>TR!A467</f>
        <v>TR-DSRSW-1735</v>
      </c>
      <c r="C467" s="31" t="b">
        <f>ISERROR(FIND("-",TR!B467))</f>
        <v>0</v>
      </c>
      <c r="D467" s="31">
        <f>SetIndent(E467,(TR!C467-1)*2)</f>
        <v>4</v>
      </c>
      <c r="E467" s="35" t="str">
        <f>IF(ISERROR(FIND("-",TR!B467)),TR!B467&amp;" "&amp;TR!D467,TR!D467)</f>
        <v>The product SHALL be capable of the following 8-PSK symbol and code rate combination: 20.50 Msps symbol rate, 2/3 code rate, 1.92 bps payload</v>
      </c>
      <c r="F467" s="31" t="str">
        <f>TR!E467</f>
        <v>Req</v>
      </c>
      <c r="G467" s="31" t="str">
        <f>IF(ISERROR(FIND("Adara",TR!F467)),"","Adara ")</f>
        <v xml:space="preserve">Adara </v>
      </c>
      <c r="H467" s="31" t="str">
        <f>IF(ISERROR(FIND("Copernicus",TR!F467)),"","Copernicus ")</f>
        <v xml:space="preserve">Copernicus </v>
      </c>
      <c r="I467" s="31" t="str">
        <f>IF(ISERROR(FIND("Deneb",TR!F467)),"","Deneb ")</f>
        <v xml:space="preserve">Deneb </v>
      </c>
      <c r="J467" s="37" t="str">
        <f t="shared" si="7"/>
        <v xml:space="preserve">Adara Copernicus Deneb </v>
      </c>
      <c r="K467" s="31" t="str">
        <f>IF(ISBLANK(TR!G467),"",TR!G467)</f>
        <v/>
      </c>
      <c r="L467" s="31" t="str">
        <f>IF(ISBLANK(TR!H467),"",TR!H467)</f>
        <v>FR-DSRSW-1395</v>
      </c>
      <c r="M467" s="30" t="str">
        <f>TR!J467</f>
        <v>Approved</v>
      </c>
      <c r="N467" s="31" t="str">
        <f>IF(OR(M467="Modified",M467="Cosmetic"),VLOOKUP(B467,PrevPFS!B$1:E$833,4,FALSE),"")</f>
        <v/>
      </c>
    </row>
    <row r="468" spans="1:14" ht="45" x14ac:dyDescent="0.25">
      <c r="A468" s="31" t="str">
        <f>IF(ISNONTEXT(TR!K468),"",TR!K468)</f>
        <v>TR-0-TD8PSK-FPR-1029</v>
      </c>
      <c r="B468" s="32" t="str">
        <f>TR!A468</f>
        <v>TR-DSRSW-1740</v>
      </c>
      <c r="C468" s="31" t="b">
        <f>ISERROR(FIND("-",TR!B468))</f>
        <v>0</v>
      </c>
      <c r="D468" s="31">
        <f>SetIndent(E468,(TR!C468-1)*2)</f>
        <v>4</v>
      </c>
      <c r="E468" s="35" t="str">
        <f>IF(ISERROR(FIND("-",TR!B468)),TR!B468&amp;" "&amp;TR!D468,TR!D468)</f>
        <v>The product SHALL be capable of the following 8-PSK symbol and code rate combination: 21.00 Msps symbol rate, 3/4 code rate, 2.11 bps payload</v>
      </c>
      <c r="F468" s="31" t="str">
        <f>TR!E468</f>
        <v>Req</v>
      </c>
      <c r="G468" s="31" t="str">
        <f>IF(ISERROR(FIND("Adara",TR!F468)),"","Adara ")</f>
        <v xml:space="preserve">Adara </v>
      </c>
      <c r="H468" s="31" t="str">
        <f>IF(ISERROR(FIND("Copernicus",TR!F468)),"","Copernicus ")</f>
        <v xml:space="preserve">Copernicus </v>
      </c>
      <c r="I468" s="31" t="str">
        <f>IF(ISERROR(FIND("Deneb",TR!F468)),"","Deneb ")</f>
        <v xml:space="preserve">Deneb </v>
      </c>
      <c r="J468" s="37" t="str">
        <f t="shared" si="7"/>
        <v xml:space="preserve">Adara Copernicus Deneb </v>
      </c>
      <c r="K468" s="31" t="str">
        <f>IF(ISBLANK(TR!G468),"",TR!G468)</f>
        <v/>
      </c>
      <c r="L468" s="31" t="str">
        <f>IF(ISBLANK(TR!H468),"",TR!H468)</f>
        <v>FR-DSRSW-1395</v>
      </c>
      <c r="M468" s="30" t="str">
        <f>TR!J468</f>
        <v>Approved</v>
      </c>
      <c r="N468" s="31" t="str">
        <f>IF(OR(M468="Modified",M468="Cosmetic"),VLOOKUP(B468,PrevPFS!B$1:E$833,4,FALSE),"")</f>
        <v/>
      </c>
    </row>
    <row r="469" spans="1:14" ht="45" x14ac:dyDescent="0.25">
      <c r="A469" s="31" t="str">
        <f>IF(ISNONTEXT(TR!K469),"",TR!K469)</f>
        <v>TR-0-TD8PSK-FPR-2251</v>
      </c>
      <c r="B469" s="32" t="str">
        <f>TR!A469</f>
        <v>TR-DSRSW-1744</v>
      </c>
      <c r="C469" s="31" t="b">
        <f>ISERROR(FIND("-",TR!B469))</f>
        <v>0</v>
      </c>
      <c r="D469" s="31">
        <f>SetIndent(E469,(TR!C469-1)*2)</f>
        <v>4</v>
      </c>
      <c r="E469" s="35" t="str">
        <f>IF(ISERROR(FIND("-",TR!B469)),TR!B469&amp;" "&amp;TR!D469,TR!D469)</f>
        <v>The product SHALL be capable of the following 8-PSK symbol and code rate combination: 22.00 Msps symbol rate, 2/3 code rate, 1.92 bps payload</v>
      </c>
      <c r="F469" s="31" t="str">
        <f>TR!E469</f>
        <v>Req</v>
      </c>
      <c r="G469" s="31" t="str">
        <f>IF(ISERROR(FIND("Adara",TR!F469)),"","Adara ")</f>
        <v xml:space="preserve">Adara </v>
      </c>
      <c r="H469" s="31" t="str">
        <f>IF(ISERROR(FIND("Copernicus",TR!F469)),"","Copernicus ")</f>
        <v xml:space="preserve">Copernicus </v>
      </c>
      <c r="I469" s="31" t="str">
        <f>IF(ISERROR(FIND("Deneb",TR!F469)),"","Deneb ")</f>
        <v xml:space="preserve">Deneb </v>
      </c>
      <c r="J469" s="37" t="str">
        <f t="shared" si="7"/>
        <v xml:space="preserve">Adara Copernicus Deneb </v>
      </c>
      <c r="K469" s="31" t="str">
        <f>IF(ISBLANK(TR!G469),"",TR!G469)</f>
        <v/>
      </c>
      <c r="L469" s="31" t="str">
        <f>IF(ISBLANK(TR!H469),"",TR!H469)</f>
        <v>FR-DSRSW-1395</v>
      </c>
      <c r="M469" s="30" t="str">
        <f>TR!J469</f>
        <v>Approved</v>
      </c>
      <c r="N469" s="31" t="str">
        <f>IF(OR(M469="Modified",M469="Cosmetic"),VLOOKUP(B469,PrevPFS!B$1:E$833,4,FALSE),"")</f>
        <v/>
      </c>
    </row>
    <row r="470" spans="1:14" ht="45" x14ac:dyDescent="0.25">
      <c r="A470" s="31" t="str">
        <f>IF(ISNONTEXT(TR!K470),"",TR!K470)</f>
        <v>TR-0-TD8PSK-FPR-2252</v>
      </c>
      <c r="B470" s="32" t="str">
        <f>TR!A470</f>
        <v>TR-DSRSW-1745</v>
      </c>
      <c r="C470" s="31" t="b">
        <f>ISERROR(FIND("-",TR!B470))</f>
        <v>0</v>
      </c>
      <c r="D470" s="31">
        <f>SetIndent(E470,(TR!C470-1)*2)</f>
        <v>4</v>
      </c>
      <c r="E470" s="35" t="str">
        <f>IF(ISERROR(FIND("-",TR!B470)),TR!B470&amp;" "&amp;TR!D470,TR!D470)</f>
        <v>The product SHALL be capable of the following 8-PSK symbol and code rate combination: 22.00 Msps symbol rate, 3/4 code rate, 2.05 bps payload</v>
      </c>
      <c r="F470" s="31" t="str">
        <f>TR!E470</f>
        <v>Req</v>
      </c>
      <c r="G470" s="31" t="str">
        <f>IF(ISERROR(FIND("Adara",TR!F470)),"","Adara ")</f>
        <v xml:space="preserve">Adara </v>
      </c>
      <c r="H470" s="31" t="str">
        <f>IF(ISERROR(FIND("Copernicus",TR!F470)),"","Copernicus ")</f>
        <v xml:space="preserve">Copernicus </v>
      </c>
      <c r="I470" s="31" t="str">
        <f>IF(ISERROR(FIND("Deneb",TR!F470)),"","Deneb ")</f>
        <v xml:space="preserve">Deneb </v>
      </c>
      <c r="J470" s="37" t="str">
        <f t="shared" si="7"/>
        <v xml:space="preserve">Adara Copernicus Deneb </v>
      </c>
      <c r="K470" s="31" t="str">
        <f>IF(ISBLANK(TR!G470),"",TR!G470)</f>
        <v/>
      </c>
      <c r="L470" s="31" t="str">
        <f>IF(ISBLANK(TR!H470),"",TR!H470)</f>
        <v>FR-DSRSW-1395</v>
      </c>
      <c r="M470" s="30" t="str">
        <f>TR!J470</f>
        <v>Approved</v>
      </c>
      <c r="N470" s="31" t="str">
        <f>IF(OR(M470="Modified",M470="Cosmetic"),VLOOKUP(B470,PrevPFS!B$1:E$833,4,FALSE),"")</f>
        <v/>
      </c>
    </row>
    <row r="471" spans="1:14" ht="45" x14ac:dyDescent="0.25">
      <c r="A471" s="31" t="str">
        <f>IF(ISNONTEXT(TR!K471),"",TR!K471)</f>
        <v>TR-0-TD8PSK-FPR-2253</v>
      </c>
      <c r="B471" s="32" t="str">
        <f>TR!A471</f>
        <v>TR-DSRSW-1746</v>
      </c>
      <c r="C471" s="31" t="b">
        <f>ISERROR(FIND("-",TR!B471))</f>
        <v>0</v>
      </c>
      <c r="D471" s="31">
        <f>SetIndent(E471,(TR!C471-1)*2)</f>
        <v>4</v>
      </c>
      <c r="E471" s="35" t="str">
        <f>IF(ISERROR(FIND("-",TR!B471)),TR!B471&amp;" "&amp;TR!D471,TR!D471)</f>
        <v>The product SHALL be capable of the following 8-PSK symbol and code rate combination: 22.00 Msps symbol rate, 3/4 code rate, 2.11 bps payload</v>
      </c>
      <c r="F471" s="31" t="str">
        <f>TR!E471</f>
        <v>Req</v>
      </c>
      <c r="G471" s="31" t="str">
        <f>IF(ISERROR(FIND("Adara",TR!F471)),"","Adara ")</f>
        <v xml:space="preserve">Adara </v>
      </c>
      <c r="H471" s="31" t="str">
        <f>IF(ISERROR(FIND("Copernicus",TR!F471)),"","Copernicus ")</f>
        <v xml:space="preserve">Copernicus </v>
      </c>
      <c r="I471" s="31" t="str">
        <f>IF(ISERROR(FIND("Deneb",TR!F471)),"","Deneb ")</f>
        <v xml:space="preserve">Deneb </v>
      </c>
      <c r="J471" s="37" t="str">
        <f t="shared" si="7"/>
        <v xml:space="preserve">Adara Copernicus Deneb </v>
      </c>
      <c r="K471" s="31" t="str">
        <f>IF(ISBLANK(TR!G471),"",TR!G471)</f>
        <v/>
      </c>
      <c r="L471" s="31" t="str">
        <f>IF(ISBLANK(TR!H471),"",TR!H471)</f>
        <v>FR-DSRSW-1395</v>
      </c>
      <c r="M471" s="30" t="str">
        <f>TR!J471</f>
        <v>Approved</v>
      </c>
      <c r="N471" s="31" t="str">
        <f>IF(OR(M471="Modified",M471="Cosmetic"),VLOOKUP(B471,PrevPFS!B$1:E$833,4,FALSE),"")</f>
        <v/>
      </c>
    </row>
    <row r="472" spans="1:14" ht="45" x14ac:dyDescent="0.25">
      <c r="A472" s="31" t="str">
        <f>IF(ISNONTEXT(TR!K472),"",TR!K472)</f>
        <v>TR-0-TD8PSK-FPR-2253</v>
      </c>
      <c r="B472" s="32" t="str">
        <f>TR!A472</f>
        <v>TR-DSRSW-2456</v>
      </c>
      <c r="C472" s="31" t="b">
        <f>ISERROR(FIND("-",TR!B472))</f>
        <v>0</v>
      </c>
      <c r="D472" s="31">
        <f>SetIndent(E472,(TR!C472-1)*2)</f>
        <v>4</v>
      </c>
      <c r="E472" s="35" t="str">
        <f>IF(ISERROR(FIND("-",TR!B472)),TR!B472&amp;" "&amp;TR!D472,TR!D472)</f>
        <v>The product SHALL be capable of the following 8-PSK symbol and code rate combination: 22.00 Msps symbol rate, 5/6 code rate, 2.30 bps payload</v>
      </c>
      <c r="F472" s="31" t="str">
        <f>TR!E472</f>
        <v>Req</v>
      </c>
      <c r="G472" s="31" t="str">
        <f>IF(ISERROR(FIND("Adara",TR!F472)),"","Adara ")</f>
        <v xml:space="preserve">Adara </v>
      </c>
      <c r="H472" s="31" t="str">
        <f>IF(ISERROR(FIND("Copernicus",TR!F472)),"","Copernicus ")</f>
        <v xml:space="preserve">Copernicus </v>
      </c>
      <c r="I472" s="31" t="str">
        <f>IF(ISERROR(FIND("Deneb",TR!F472)),"","Deneb ")</f>
        <v xml:space="preserve">Deneb </v>
      </c>
      <c r="J472" s="37" t="str">
        <f t="shared" si="7"/>
        <v xml:space="preserve">Adara Copernicus Deneb </v>
      </c>
      <c r="K472" s="31" t="str">
        <f>IF(ISBLANK(TR!G472),"",TR!G472)</f>
        <v/>
      </c>
      <c r="L472" s="31" t="str">
        <f>IF(ISBLANK(TR!H472),"",TR!H472)</f>
        <v>FR-DSRSW-1395</v>
      </c>
      <c r="M472" s="30" t="str">
        <f>TR!J472</f>
        <v>Approved</v>
      </c>
      <c r="N472" s="31" t="str">
        <f>IF(OR(M472="Modified",M472="Cosmetic"),VLOOKUP(B472,PrevPFS!B$1:E$833,4,FALSE),"")</f>
        <v/>
      </c>
    </row>
    <row r="473" spans="1:14" ht="45" x14ac:dyDescent="0.25">
      <c r="A473" s="31" t="str">
        <f>IF(ISNONTEXT(TR!K473),"",TR!K473)</f>
        <v>TR-0-TD8PSK-FPR-2253</v>
      </c>
      <c r="B473" s="32" t="str">
        <f>TR!A473</f>
        <v>TR-DSRSW-2457</v>
      </c>
      <c r="C473" s="31" t="b">
        <f>ISERROR(FIND("-",TR!B473))</f>
        <v>0</v>
      </c>
      <c r="D473" s="31">
        <f>SetIndent(E473,(TR!C473-1)*2)</f>
        <v>4</v>
      </c>
      <c r="E473" s="35" t="str">
        <f>IF(ISERROR(FIND("-",TR!B473)),TR!B473&amp;" "&amp;TR!D473,TR!D473)</f>
        <v>The product SHALL be capable of the following 8-PSK symbol and code rate combination: 22.00 Msps symbol rate, 8/9 code rate, 2.40 bps payload</v>
      </c>
      <c r="F473" s="31" t="str">
        <f>TR!E473</f>
        <v>Req</v>
      </c>
      <c r="G473" s="31" t="str">
        <f>IF(ISERROR(FIND("Adara",TR!F473)),"","Adara ")</f>
        <v xml:space="preserve">Adara </v>
      </c>
      <c r="H473" s="31" t="str">
        <f>IF(ISERROR(FIND("Copernicus",TR!F473)),"","Copernicus ")</f>
        <v xml:space="preserve">Copernicus </v>
      </c>
      <c r="I473" s="31" t="str">
        <f>IF(ISERROR(FIND("Deneb",TR!F473)),"","Deneb ")</f>
        <v xml:space="preserve">Deneb </v>
      </c>
      <c r="J473" s="37" t="str">
        <f t="shared" si="7"/>
        <v xml:space="preserve">Adara Copernicus Deneb </v>
      </c>
      <c r="K473" s="31" t="str">
        <f>IF(ISBLANK(TR!G473),"",TR!G473)</f>
        <v/>
      </c>
      <c r="L473" s="31" t="str">
        <f>IF(ISBLANK(TR!H473),"",TR!H473)</f>
        <v>FR-DSRSW-1395</v>
      </c>
      <c r="M473" s="30" t="str">
        <f>TR!J473</f>
        <v>Approved</v>
      </c>
      <c r="N473" s="31" t="str">
        <f>IF(OR(M473="Modified",M473="Cosmetic"),VLOOKUP(B473,PrevPFS!B$1:E$833,4,FALSE),"")</f>
        <v/>
      </c>
    </row>
    <row r="474" spans="1:14" ht="45" x14ac:dyDescent="0.25">
      <c r="A474" s="31" t="str">
        <f>IF(ISNONTEXT(TR!K474),"",TR!K474)</f>
        <v>FR-TUNTD-1058</v>
      </c>
      <c r="B474" s="32" t="str">
        <f>TR!A474</f>
        <v>TR-DSRSW-1747</v>
      </c>
      <c r="C474" s="31" t="b">
        <f>ISERROR(FIND("-",TR!B474))</f>
        <v>1</v>
      </c>
      <c r="D474" s="31">
        <f>SetIndent(E474,(TR!C474-1)*2)</f>
        <v>2</v>
      </c>
      <c r="E474" s="34" t="str">
        <f>IF(ISERROR(FIND("-",TR!B474)),TR!B474&amp;" "&amp;TR!D474,TR!D474)</f>
        <v>21.2 QPSK demodulation</v>
      </c>
      <c r="F474" s="31" t="str">
        <f>TR!E474</f>
        <v>Hdr</v>
      </c>
      <c r="G474" s="31" t="str">
        <f>IF(ISERROR(FIND("Adara",TR!F474)),"","Adara ")</f>
        <v xml:space="preserve">Adara </v>
      </c>
      <c r="H474" s="31" t="str">
        <f>IF(ISERROR(FIND("Copernicus",TR!F474)),"","Copernicus ")</f>
        <v xml:space="preserve">Copernicus </v>
      </c>
      <c r="I474" s="31" t="str">
        <f>IF(ISERROR(FIND("Deneb",TR!F474)),"","Deneb ")</f>
        <v xml:space="preserve">Deneb </v>
      </c>
      <c r="J474" s="37" t="str">
        <f t="shared" si="7"/>
        <v xml:space="preserve">Adara Copernicus Deneb </v>
      </c>
      <c r="K474" s="31" t="str">
        <f>IF(ISBLANK(TR!G474),"",TR!G474)</f>
        <v/>
      </c>
      <c r="L474" s="31" t="str">
        <f>IF(ISBLANK(TR!H474),"",TR!H474)</f>
        <v>FR-DSRSW-1396</v>
      </c>
      <c r="M474" s="30" t="str">
        <f>TR!J474</f>
        <v>Approved</v>
      </c>
      <c r="N474" s="31" t="str">
        <f>IF(OR(M474="Modified",M474="Cosmetic"),VLOOKUP(B474,PrevPFS!B$1:E$833,4,FALSE),"")</f>
        <v/>
      </c>
    </row>
    <row r="475" spans="1:14" ht="45" x14ac:dyDescent="0.25">
      <c r="A475" s="31" t="str">
        <f>IF(ISNONTEXT(TR!K475),"",TR!K475)</f>
        <v>TR-0-TDQPSK-1020</v>
      </c>
      <c r="B475" s="32" t="str">
        <f>TR!A475</f>
        <v>TR-DSRSW-1748</v>
      </c>
      <c r="C475" s="31" t="b">
        <f>ISERROR(FIND("-",TR!B475))</f>
        <v>0</v>
      </c>
      <c r="D475" s="31">
        <f>SetIndent(E475,(TR!C475-1)*2)</f>
        <v>4</v>
      </c>
      <c r="E475" s="35" t="str">
        <f>IF(ISERROR(FIND("-",TR!B475)),TR!B475&amp;" "&amp;TR!D475,TR!D475)</f>
        <v>The product SHALL be capable of the following QPSK symbol and code rate combination: 19.51 Msps symbol rate, 3/4 code rate, combined mode.</v>
      </c>
      <c r="F475" s="31" t="str">
        <f>TR!E475</f>
        <v>Req</v>
      </c>
      <c r="G475" s="31" t="str">
        <f>IF(ISERROR(FIND("Adara",TR!F475)),"","Adara ")</f>
        <v xml:space="preserve">Adara </v>
      </c>
      <c r="H475" s="31" t="str">
        <f>IF(ISERROR(FIND("Copernicus",TR!F475)),"","Copernicus ")</f>
        <v xml:space="preserve">Copernicus </v>
      </c>
      <c r="I475" s="31" t="str">
        <f>IF(ISERROR(FIND("Deneb",TR!F475)),"","Deneb ")</f>
        <v xml:space="preserve">Deneb </v>
      </c>
      <c r="J475" s="37" t="str">
        <f t="shared" si="7"/>
        <v xml:space="preserve">Adara Copernicus Deneb </v>
      </c>
      <c r="K475" s="31" t="str">
        <f>IF(ISBLANK(TR!G475),"",TR!G475)</f>
        <v/>
      </c>
      <c r="L475" s="31" t="str">
        <f>IF(ISBLANK(TR!H475),"",TR!H475)</f>
        <v>FR-DSRSW-1396</v>
      </c>
      <c r="M475" s="30" t="str">
        <f>TR!J475</f>
        <v>Approved</v>
      </c>
      <c r="N475" s="31" t="str">
        <f>IF(OR(M475="Modified",M475="Cosmetic"),VLOOKUP(B475,PrevPFS!B$1:E$833,4,FALSE),"")</f>
        <v/>
      </c>
    </row>
    <row r="476" spans="1:14" ht="45" x14ac:dyDescent="0.25">
      <c r="A476" s="31" t="str">
        <f>IF(ISNONTEXT(TR!K476),"",TR!K476)</f>
        <v>FR-TUNTD-1076</v>
      </c>
      <c r="B476" s="32" t="str">
        <f>TR!A476</f>
        <v>TR-DSRSW-1749</v>
      </c>
      <c r="C476" s="31" t="b">
        <f>ISERROR(FIND("-",TR!B476))</f>
        <v>1</v>
      </c>
      <c r="D476" s="31">
        <f>SetIndent(E476,(TR!C476-1)*2)</f>
        <v>2</v>
      </c>
      <c r="E476" s="34" t="str">
        <f>IF(ISERROR(FIND("-",TR!B476)),TR!B476&amp;" "&amp;TR!D476,TR!D476)</f>
        <v>21.3 Service Acquisition</v>
      </c>
      <c r="F476" s="31" t="str">
        <f>TR!E476</f>
        <v>Hdr</v>
      </c>
      <c r="G476" s="31" t="str">
        <f>IF(ISERROR(FIND("Adara",TR!F476)),"","Adara ")</f>
        <v xml:space="preserve">Adara </v>
      </c>
      <c r="H476" s="31" t="str">
        <f>IF(ISERROR(FIND("Copernicus",TR!F476)),"","Copernicus ")</f>
        <v xml:space="preserve">Copernicus </v>
      </c>
      <c r="I476" s="31" t="str">
        <f>IF(ISERROR(FIND("Deneb",TR!F476)),"","Deneb ")</f>
        <v xml:space="preserve">Deneb </v>
      </c>
      <c r="J476" s="37" t="str">
        <f t="shared" si="7"/>
        <v xml:space="preserve">Adara Copernicus Deneb </v>
      </c>
      <c r="K476" s="31" t="str">
        <f>IF(ISBLANK(TR!G476),"",TR!G476)</f>
        <v/>
      </c>
      <c r="L476" s="31" t="str">
        <f>IF(ISBLANK(TR!H476),"",TR!H476)</f>
        <v>FR-DSRSW-1397</v>
      </c>
      <c r="M476" s="30" t="str">
        <f>TR!J476</f>
        <v>Approved</v>
      </c>
      <c r="N476" s="31" t="str">
        <f>IF(OR(M476="Modified",M476="Cosmetic"),VLOOKUP(B476,PrevPFS!B$1:E$833,4,FALSE),"")</f>
        <v/>
      </c>
    </row>
    <row r="477" spans="1:14" ht="45" x14ac:dyDescent="0.25">
      <c r="A477" s="31" t="str">
        <f>IF(ISNONTEXT(TR!K477),"",TR!K477)</f>
        <v/>
      </c>
      <c r="B477" s="32" t="str">
        <f>TR!A477</f>
        <v>TR-DSRSW-2194</v>
      </c>
      <c r="C477" s="31" t="b">
        <f>ISERROR(FIND("-",TR!B477))</f>
        <v>1</v>
      </c>
      <c r="D477" s="31">
        <f>SetIndent(E477,(TR!C477-1)*2)</f>
        <v>4</v>
      </c>
      <c r="E477" s="35" t="str">
        <f>IF(ISERROR(FIND("-",TR!B477)),TR!B477&amp;" "&amp;TR!D477,TR!D477)</f>
        <v>21.3.1 Channel Selection</v>
      </c>
      <c r="F477" s="31" t="str">
        <f>TR!E477</f>
        <v>Hdr</v>
      </c>
      <c r="G477" s="31" t="str">
        <f>IF(ISERROR(FIND("Adara",TR!F477)),"","Adara ")</f>
        <v xml:space="preserve">Adara </v>
      </c>
      <c r="H477" s="31" t="str">
        <f>IF(ISERROR(FIND("Copernicus",TR!F477)),"","Copernicus ")</f>
        <v xml:space="preserve">Copernicus </v>
      </c>
      <c r="I477" s="31" t="str">
        <f>IF(ISERROR(FIND("Deneb",TR!F477)),"","Deneb ")</f>
        <v xml:space="preserve">Deneb </v>
      </c>
      <c r="J477" s="37" t="str">
        <f t="shared" si="7"/>
        <v xml:space="preserve">Adara Copernicus Deneb </v>
      </c>
      <c r="K477" s="31" t="str">
        <f>IF(ISBLANK(TR!G477),"",TR!G477)</f>
        <v/>
      </c>
      <c r="L477" s="31" t="str">
        <f>IF(ISBLANK(TR!H477),"",TR!H477)</f>
        <v>FR-DSRSW-1397</v>
      </c>
      <c r="M477" s="30" t="str">
        <f>TR!J477</f>
        <v>Approved</v>
      </c>
      <c r="N477" s="31" t="str">
        <f>IF(OR(M477="Modified",M477="Cosmetic"),VLOOKUP(B477,PrevPFS!B$1:E$833,4,FALSE),"")</f>
        <v/>
      </c>
    </row>
    <row r="478" spans="1:14" ht="45" x14ac:dyDescent="0.25">
      <c r="A478" s="31" t="str">
        <f>IF(ISNONTEXT(TR!K478),"",TR!K478)</f>
        <v>TR-0-SRVCACQ-1007</v>
      </c>
      <c r="B478" s="32" t="str">
        <f>TR!A478</f>
        <v>TR-DSRSW-1750</v>
      </c>
      <c r="C478" s="31" t="b">
        <f>ISERROR(FIND("-",TR!B478))</f>
        <v>0</v>
      </c>
      <c r="D478" s="31">
        <f>SetIndent(E478,(TR!C478-1)*2)</f>
        <v>6</v>
      </c>
      <c r="E478" s="38" t="str">
        <f>IF(ISERROR(FIND("-",TR!B478)),TR!B478&amp;" "&amp;TR!D478,TR!D478)</f>
        <v xml:space="preserve">The product SHALL return an error and take no further action (i.e. any existing services that would have been replaced are not affected by the failed acquisition attempt) if any parameter provided by a client to acquire a service is invalid.  </v>
      </c>
      <c r="F478" s="31" t="str">
        <f>TR!E478</f>
        <v>Req</v>
      </c>
      <c r="G478" s="31" t="str">
        <f>IF(ISERROR(FIND("Adara",TR!F478)),"","Adara ")</f>
        <v xml:space="preserve">Adara </v>
      </c>
      <c r="H478" s="31" t="str">
        <f>IF(ISERROR(FIND("Copernicus",TR!F478)),"","Copernicus ")</f>
        <v xml:space="preserve">Copernicus </v>
      </c>
      <c r="I478" s="31" t="str">
        <f>IF(ISERROR(FIND("Deneb",TR!F478)),"","Deneb ")</f>
        <v xml:space="preserve">Deneb </v>
      </c>
      <c r="J478" s="37" t="str">
        <f t="shared" si="7"/>
        <v xml:space="preserve">Adara Copernicus Deneb </v>
      </c>
      <c r="K478" s="31" t="str">
        <f>IF(ISBLANK(TR!G478),"",TR!G478)</f>
        <v/>
      </c>
      <c r="L478" s="31" t="str">
        <f>IF(ISBLANK(TR!H478),"",TR!H478)</f>
        <v>FR-DSRSW-1397</v>
      </c>
      <c r="M478" s="30" t="str">
        <f>TR!J478</f>
        <v>Approved</v>
      </c>
      <c r="N478" s="31" t="str">
        <f>IF(OR(M478="Modified",M478="Cosmetic"),VLOOKUP(B478,PrevPFS!B$1:E$833,4,FALSE),"")</f>
        <v/>
      </c>
    </row>
    <row r="479" spans="1:14" ht="45" x14ac:dyDescent="0.25">
      <c r="A479" s="31" t="str">
        <f>IF(ISNONTEXT(TR!K479),"",TR!K479)</f>
        <v>TR-0-SRVCACQ-1270</v>
      </c>
      <c r="B479" s="32" t="str">
        <f>TR!A479</f>
        <v>TR-DSRSW-1751</v>
      </c>
      <c r="C479" s="31" t="b">
        <f>ISERROR(FIND("-",TR!B479))</f>
        <v>0</v>
      </c>
      <c r="D479" s="31">
        <f>SetIndent(E479,(TR!C479-1)*2)</f>
        <v>6</v>
      </c>
      <c r="E479" s="38" t="str">
        <f>IF(ISERROR(FIND("-",TR!B479)),TR!B479&amp;" "&amp;TR!D479,TR!D479)</f>
        <v xml:space="preserve">The product SHALL allow the user to select normal, non-hidden services with virtual channel numbers in the range of 1 to 999 decimal. </v>
      </c>
      <c r="F479" s="31" t="str">
        <f>TR!E479</f>
        <v>Req</v>
      </c>
      <c r="G479" s="31" t="str">
        <f>IF(ISERROR(FIND("Adara",TR!F479)),"","Adara ")</f>
        <v xml:space="preserve">Adara </v>
      </c>
      <c r="H479" s="31" t="str">
        <f>IF(ISERROR(FIND("Copernicus",TR!F479)),"","Copernicus ")</f>
        <v xml:space="preserve">Copernicus </v>
      </c>
      <c r="I479" s="31" t="str">
        <f>IF(ISERROR(FIND("Deneb",TR!F479)),"","Deneb ")</f>
        <v xml:space="preserve">Deneb </v>
      </c>
      <c r="J479" s="37" t="str">
        <f t="shared" si="7"/>
        <v xml:space="preserve">Adara Copernicus Deneb </v>
      </c>
      <c r="K479" s="31" t="str">
        <f>IF(ISBLANK(TR!G479),"",TR!G479)</f>
        <v/>
      </c>
      <c r="L479" s="31" t="str">
        <f>IF(ISBLANK(TR!H479),"",TR!H479)</f>
        <v>FR-DSRSW-1397</v>
      </c>
      <c r="M479" s="30" t="str">
        <f>TR!J479</f>
        <v>Approved</v>
      </c>
      <c r="N479" s="31" t="str">
        <f>IF(OR(M479="Modified",M479="Cosmetic"),VLOOKUP(B479,PrevPFS!B$1:E$833,4,FALSE),"")</f>
        <v/>
      </c>
    </row>
    <row r="480" spans="1:14" ht="45" x14ac:dyDescent="0.25">
      <c r="A480" s="31" t="str">
        <f>IF(ISNONTEXT(TR!K480),"",TR!K480)</f>
        <v>TR-0-SRVCACQ-1008</v>
      </c>
      <c r="B480" s="32" t="str">
        <f>TR!A480</f>
        <v>TR-DSRSW-1752</v>
      </c>
      <c r="C480" s="31" t="b">
        <f>ISERROR(FIND("-",TR!B480))</f>
        <v>0</v>
      </c>
      <c r="D480" s="31">
        <f>SetIndent(E480,(TR!C480-1)*2)</f>
        <v>6</v>
      </c>
      <c r="E480" s="38" t="str">
        <f>IF(ISERROR(FIND("-",TR!B480)),TR!B480&amp;" "&amp;TR!D480,TR!D480)</f>
        <v xml:space="preserve">The product SHALL acquire services with virtual channel numbers in the range of 1 to 4095 decimal. </v>
      </c>
      <c r="F480" s="31" t="str">
        <f>TR!E480</f>
        <v>Req</v>
      </c>
      <c r="G480" s="31" t="str">
        <f>IF(ISERROR(FIND("Adara",TR!F480)),"","Adara ")</f>
        <v xml:space="preserve">Adara </v>
      </c>
      <c r="H480" s="31" t="str">
        <f>IF(ISERROR(FIND("Copernicus",TR!F480)),"","Copernicus ")</f>
        <v xml:space="preserve">Copernicus </v>
      </c>
      <c r="I480" s="31" t="str">
        <f>IF(ISERROR(FIND("Deneb",TR!F480)),"","Deneb ")</f>
        <v xml:space="preserve">Deneb </v>
      </c>
      <c r="J480" s="37" t="str">
        <f t="shared" si="7"/>
        <v xml:space="preserve">Adara Copernicus Deneb </v>
      </c>
      <c r="K480" s="31" t="str">
        <f>IF(ISBLANK(TR!G480),"",TR!G480)</f>
        <v/>
      </c>
      <c r="L480" s="31" t="str">
        <f>IF(ISBLANK(TR!H480),"",TR!H480)</f>
        <v>FR-DSRSW-1397</v>
      </c>
      <c r="M480" s="30" t="str">
        <f>TR!J480</f>
        <v>Approved</v>
      </c>
      <c r="N480" s="31" t="str">
        <f>IF(OR(M480="Modified",M480="Cosmetic"),VLOOKUP(B480,PrevPFS!B$1:E$833,4,FALSE),"")</f>
        <v/>
      </c>
    </row>
    <row r="481" spans="1:14" ht="45" x14ac:dyDescent="0.25">
      <c r="A481" s="31" t="str">
        <f>IF(ISNONTEXT(TR!K481),"",TR!K481)</f>
        <v>TR-0-SRVCACQ-1008</v>
      </c>
      <c r="B481" s="32" t="str">
        <f>TR!A481</f>
        <v>TR-DSRSW-2520</v>
      </c>
      <c r="C481" s="31" t="b">
        <f>ISERROR(FIND("-",TR!B481))</f>
        <v>0</v>
      </c>
      <c r="D481" s="31">
        <f>SetIndent(E481,(TR!C481-1)*2)</f>
        <v>6</v>
      </c>
      <c r="E481" s="38" t="str">
        <f>IF(ISERROR(FIND("-",TR!B481)),TR!B481&amp;" "&amp;TR!D481,TR!D481)</f>
        <v>The product SHALL be capable of storing a minimum of 905 channel definitions.</v>
      </c>
      <c r="F481" s="31" t="str">
        <f>TR!E481</f>
        <v>Req</v>
      </c>
      <c r="G481" s="31" t="str">
        <f>IF(ISERROR(FIND("Adara",TR!F481)),"","Adara ")</f>
        <v xml:space="preserve">Adara </v>
      </c>
      <c r="H481" s="31" t="str">
        <f>IF(ISERROR(FIND("Copernicus",TR!F481)),"","Copernicus ")</f>
        <v xml:space="preserve">Copernicus </v>
      </c>
      <c r="I481" s="31" t="str">
        <f>IF(ISERROR(FIND("Deneb",TR!F481)),"","Deneb ")</f>
        <v xml:space="preserve">Deneb </v>
      </c>
      <c r="J481" s="37" t="str">
        <f t="shared" si="7"/>
        <v xml:space="preserve">Adara Copernicus Deneb </v>
      </c>
      <c r="K481" s="31" t="str">
        <f>IF(ISBLANK(TR!G481),"",TR!G481)</f>
        <v/>
      </c>
      <c r="L481" s="31" t="str">
        <f>IF(ISBLANK(TR!H481),"",TR!H481)</f>
        <v>FR-DSRSW-1397</v>
      </c>
      <c r="M481" s="30" t="str">
        <f>TR!J481</f>
        <v>Approved</v>
      </c>
      <c r="N481" s="31" t="str">
        <f>IF(OR(M481="Modified",M481="Cosmetic"),VLOOKUP(B481,PrevPFS!B$1:E$833,4,FALSE),"")</f>
        <v/>
      </c>
    </row>
    <row r="482" spans="1:14" ht="45" x14ac:dyDescent="0.25">
      <c r="A482" s="31" t="str">
        <f>IF(ISNONTEXT(TR!K482),"",TR!K482)</f>
        <v>TR-0-SRVCACQ-1291</v>
      </c>
      <c r="B482" s="32" t="str">
        <f>TR!A482</f>
        <v>TR-DSRSW-1753</v>
      </c>
      <c r="C482" s="31" t="b">
        <f>ISERROR(FIND("-",TR!B482))</f>
        <v>0</v>
      </c>
      <c r="D482" s="31">
        <f>SetIndent(E482,(TR!C482-1)*2)</f>
        <v>6</v>
      </c>
      <c r="E482" s="38" t="str">
        <f>IF(ISERROR(FIND("-",TR!B482)),TR!B482&amp;" "&amp;TR!D482,TR!D482)</f>
        <v>The product SHALL support audio services regardless of whether a video component is present. (tags: audio only, music channel )</v>
      </c>
      <c r="F482" s="31" t="str">
        <f>TR!E482</f>
        <v>Req</v>
      </c>
      <c r="G482" s="31" t="str">
        <f>IF(ISERROR(FIND("Adara",TR!F482)),"","Adara ")</f>
        <v xml:space="preserve">Adara </v>
      </c>
      <c r="H482" s="31" t="str">
        <f>IF(ISERROR(FIND("Copernicus",TR!F482)),"","Copernicus ")</f>
        <v xml:space="preserve">Copernicus </v>
      </c>
      <c r="I482" s="31" t="str">
        <f>IF(ISERROR(FIND("Deneb",TR!F482)),"","Deneb ")</f>
        <v xml:space="preserve">Deneb </v>
      </c>
      <c r="J482" s="37" t="str">
        <f t="shared" si="7"/>
        <v xml:space="preserve">Adara Copernicus Deneb </v>
      </c>
      <c r="K482" s="31" t="str">
        <f>IF(ISBLANK(TR!G482),"",TR!G482)</f>
        <v/>
      </c>
      <c r="L482" s="31" t="str">
        <f>IF(ISBLANK(TR!H482),"",TR!H482)</f>
        <v>FR-DSRSW-1397</v>
      </c>
      <c r="M482" s="30" t="str">
        <f>TR!J482</f>
        <v>Approved</v>
      </c>
      <c r="N482" s="31" t="str">
        <f>IF(OR(M482="Modified",M482="Cosmetic"),VLOOKUP(B482,PrevPFS!B$1:E$833,4,FALSE),"")</f>
        <v/>
      </c>
    </row>
    <row r="483" spans="1:14" ht="45" x14ac:dyDescent="0.25">
      <c r="A483" s="31" t="str">
        <f>IF(ISNONTEXT(TR!K483),"",TR!K483)</f>
        <v/>
      </c>
      <c r="B483" s="32" t="str">
        <f>TR!A483</f>
        <v>TR-DSRSW-1766</v>
      </c>
      <c r="C483" s="31" t="b">
        <f>ISERROR(FIND("-",TR!B483))</f>
        <v>1</v>
      </c>
      <c r="D483" s="31">
        <f>SetIndent(E483,(TR!C483-1)*2)</f>
        <v>4</v>
      </c>
      <c r="E483" s="35" t="str">
        <f>IF(ISERROR(FIND("-",TR!B483)),TR!B483&amp;" "&amp;TR!D483,TR!D483)</f>
        <v>21.3.2 A/V Component Selection</v>
      </c>
      <c r="F483" s="31" t="str">
        <f>TR!E483</f>
        <v>Hdr</v>
      </c>
      <c r="G483" s="31" t="str">
        <f>IF(ISERROR(FIND("Adara",TR!F483)),"","Adara ")</f>
        <v xml:space="preserve">Adara </v>
      </c>
      <c r="H483" s="31" t="str">
        <f>IF(ISERROR(FIND("Copernicus",TR!F483)),"","Copernicus ")</f>
        <v xml:space="preserve">Copernicus </v>
      </c>
      <c r="I483" s="31" t="str">
        <f>IF(ISERROR(FIND("Deneb",TR!F483)),"","Deneb ")</f>
        <v xml:space="preserve">Deneb </v>
      </c>
      <c r="J483" s="37" t="str">
        <f t="shared" si="7"/>
        <v xml:space="preserve">Adara Copernicus Deneb </v>
      </c>
      <c r="K483" s="31" t="str">
        <f>IF(ISBLANK(TR!G483),"",TR!G483)</f>
        <v/>
      </c>
      <c r="L483" s="31" t="str">
        <f>IF(ISBLANK(TR!H483),"",TR!H483)</f>
        <v>FR-DSRSW-1397</v>
      </c>
      <c r="M483" s="30" t="str">
        <f>TR!J483</f>
        <v>Approved</v>
      </c>
      <c r="N483" s="31" t="str">
        <f>IF(OR(M483="Modified",M483="Cosmetic"),VLOOKUP(B483,PrevPFS!B$1:E$833,4,FALSE),"")</f>
        <v/>
      </c>
    </row>
    <row r="484" spans="1:14" ht="60" x14ac:dyDescent="0.25">
      <c r="A484" s="31" t="str">
        <f>IF(ISNONTEXT(TR!K484),"",TR!K484)</f>
        <v>TR-0-SRVCACQ-1141</v>
      </c>
      <c r="B484" s="32" t="str">
        <f>TR!A484</f>
        <v>TR-DSRSW-1767</v>
      </c>
      <c r="C484" s="31" t="b">
        <f>ISERROR(FIND("-",TR!B484))</f>
        <v>0</v>
      </c>
      <c r="D484" s="31">
        <f>SetIndent(E484,(TR!C484-1)*2)</f>
        <v>6</v>
      </c>
      <c r="E484" s="38" t="str">
        <f>IF(ISERROR(FIND("-",TR!B484)),TR!B484&amp;" "&amp;TR!D484,TR!D484)</f>
        <v xml:space="preserve">When an A/V service is acquired, and the client indicates that default components should be selected, the product SHALL select the audio component that corresponds to the preferred language if the preferred language has been configured and there is an audio component that matches the preferred language. </v>
      </c>
      <c r="F484" s="31" t="str">
        <f>TR!E484</f>
        <v>Req</v>
      </c>
      <c r="G484" s="31" t="str">
        <f>IF(ISERROR(FIND("Adara",TR!F484)),"","Adara ")</f>
        <v xml:space="preserve">Adara </v>
      </c>
      <c r="H484" s="31" t="str">
        <f>IF(ISERROR(FIND("Copernicus",TR!F484)),"","Copernicus ")</f>
        <v xml:space="preserve">Copernicus </v>
      </c>
      <c r="I484" s="31" t="str">
        <f>IF(ISERROR(FIND("Deneb",TR!F484)),"","Deneb ")</f>
        <v xml:space="preserve">Deneb </v>
      </c>
      <c r="J484" s="37" t="str">
        <f t="shared" si="7"/>
        <v xml:space="preserve">Adara Copernicus Deneb </v>
      </c>
      <c r="K484" s="31" t="str">
        <f>IF(ISBLANK(TR!G484),"",TR!G484)</f>
        <v/>
      </c>
      <c r="L484" s="31" t="str">
        <f>IF(ISBLANK(TR!H484),"",TR!H484)</f>
        <v>FR-DSRSW-1397</v>
      </c>
      <c r="M484" s="30" t="str">
        <f>TR!J484</f>
        <v>Approved</v>
      </c>
      <c r="N484" s="31" t="str">
        <f>IF(OR(M484="Modified",M484="Cosmetic"),VLOOKUP(B484,PrevPFS!B$1:E$833,4,FALSE),"")</f>
        <v/>
      </c>
    </row>
    <row r="485" spans="1:14" ht="45" x14ac:dyDescent="0.25">
      <c r="A485" s="31" t="str">
        <f>IF(ISNONTEXT(TR!K485),"",TR!K485)</f>
        <v>TR-0-SRVCACQ-1292</v>
      </c>
      <c r="B485" s="32" t="str">
        <f>TR!A485</f>
        <v>TR-DSRSW-1768</v>
      </c>
      <c r="C485" s="31" t="b">
        <f>ISERROR(FIND("-",TR!B485))</f>
        <v>0</v>
      </c>
      <c r="D485" s="31">
        <f>SetIndent(E485,(TR!C485-1)*2)</f>
        <v>6</v>
      </c>
      <c r="E485" s="38" t="str">
        <f>IF(ISERROR(FIND("-",TR!B485)),TR!B485&amp;" "&amp;TR!D485,TR!D485)</f>
        <v>The product SHALL select the first audio component listed in the PMT if there is no audio component that matches the preferred language.</v>
      </c>
      <c r="F485" s="31" t="str">
        <f>TR!E485</f>
        <v>Req</v>
      </c>
      <c r="G485" s="31" t="str">
        <f>IF(ISERROR(FIND("Adara",TR!F485)),"","Adara ")</f>
        <v xml:space="preserve">Adara </v>
      </c>
      <c r="H485" s="31" t="str">
        <f>IF(ISERROR(FIND("Copernicus",TR!F485)),"","Copernicus ")</f>
        <v xml:space="preserve">Copernicus </v>
      </c>
      <c r="I485" s="31" t="str">
        <f>IF(ISERROR(FIND("Deneb",TR!F485)),"","Deneb ")</f>
        <v xml:space="preserve">Deneb </v>
      </c>
      <c r="J485" s="37" t="str">
        <f t="shared" si="7"/>
        <v xml:space="preserve">Adara Copernicus Deneb </v>
      </c>
      <c r="K485" s="31" t="str">
        <f>IF(ISBLANK(TR!G485),"",TR!G485)</f>
        <v/>
      </c>
      <c r="L485" s="31" t="str">
        <f>IF(ISBLANK(TR!H485),"",TR!H485)</f>
        <v>FR-DSRSW-1397</v>
      </c>
      <c r="M485" s="30" t="str">
        <f>TR!J485</f>
        <v>Approved</v>
      </c>
      <c r="N485" s="31" t="str">
        <f>IF(OR(M485="Modified",M485="Cosmetic"),VLOOKUP(B485,PrevPFS!B$1:E$833,4,FALSE),"")</f>
        <v/>
      </c>
    </row>
    <row r="486" spans="1:14" ht="45" x14ac:dyDescent="0.25">
      <c r="A486" s="31" t="str">
        <f>IF(ISNONTEXT(TR!K486),"",TR!K486)</f>
        <v>TR-0-SRVCACQ-1146</v>
      </c>
      <c r="B486" s="32" t="str">
        <f>TR!A486</f>
        <v>TR-DSRSW-1769</v>
      </c>
      <c r="C486" s="31" t="b">
        <f>ISERROR(FIND("-",TR!B486))</f>
        <v>0</v>
      </c>
      <c r="D486" s="31">
        <f>SetIndent(E486,(TR!C486-1)*2)</f>
        <v>6</v>
      </c>
      <c r="E486" s="38" t="str">
        <f>IF(ISERROR(FIND("-",TR!B486)),TR!B486&amp;" "&amp;TR!D486,TR!D486)</f>
        <v xml:space="preserve">The product SHALL automatically update selection of A/V component streams when the settop's language configuration changes. </v>
      </c>
      <c r="F486" s="31" t="str">
        <f>TR!E486</f>
        <v>Req</v>
      </c>
      <c r="G486" s="31" t="str">
        <f>IF(ISERROR(FIND("Adara",TR!F486)),"","Adara ")</f>
        <v xml:space="preserve">Adara </v>
      </c>
      <c r="H486" s="31" t="str">
        <f>IF(ISERROR(FIND("Copernicus",TR!F486)),"","Copernicus ")</f>
        <v xml:space="preserve">Copernicus </v>
      </c>
      <c r="I486" s="31" t="str">
        <f>IF(ISERROR(FIND("Deneb",TR!F486)),"","Deneb ")</f>
        <v xml:space="preserve">Deneb </v>
      </c>
      <c r="J486" s="37" t="str">
        <f t="shared" si="7"/>
        <v xml:space="preserve">Adara Copernicus Deneb </v>
      </c>
      <c r="K486" s="31" t="str">
        <f>IF(ISBLANK(TR!G486),"",TR!G486)</f>
        <v/>
      </c>
      <c r="L486" s="31" t="str">
        <f>IF(ISBLANK(TR!H486),"",TR!H486)</f>
        <v>FR-DSRSW-1397</v>
      </c>
      <c r="M486" s="30" t="str">
        <f>TR!J486</f>
        <v>Approved</v>
      </c>
      <c r="N486" s="31" t="str">
        <f>IF(OR(M486="Modified",M486="Cosmetic"),VLOOKUP(B486,PrevPFS!B$1:E$833,4,FALSE),"")</f>
        <v/>
      </c>
    </row>
    <row r="487" spans="1:14" ht="45" x14ac:dyDescent="0.25">
      <c r="A487" s="31" t="str">
        <f>IF(ISNONTEXT(TR!K487),"",TR!K487)</f>
        <v/>
      </c>
      <c r="B487" s="32" t="str">
        <f>TR!A487</f>
        <v>TR-DSRSW-1770</v>
      </c>
      <c r="C487" s="31" t="b">
        <f>ISERROR(FIND("-",TR!B487))</f>
        <v>1</v>
      </c>
      <c r="D487" s="31">
        <f>SetIndent(E487,(TR!C487-1)*2)</f>
        <v>4</v>
      </c>
      <c r="E487" s="35" t="str">
        <f>IF(ISERROR(FIND("-",TR!B487)),TR!B487&amp;" "&amp;TR!D487,TR!D487)</f>
        <v>21.3.3 Virtual Channel (VCT)</v>
      </c>
      <c r="F487" s="31" t="str">
        <f>TR!E487</f>
        <v>Hdr</v>
      </c>
      <c r="G487" s="31" t="str">
        <f>IF(ISERROR(FIND("Adara",TR!F487)),"","Adara ")</f>
        <v xml:space="preserve">Adara </v>
      </c>
      <c r="H487" s="31" t="str">
        <f>IF(ISERROR(FIND("Copernicus",TR!F487)),"","Copernicus ")</f>
        <v xml:space="preserve">Copernicus </v>
      </c>
      <c r="I487" s="31" t="str">
        <f>IF(ISERROR(FIND("Deneb",TR!F487)),"","Deneb ")</f>
        <v xml:space="preserve">Deneb </v>
      </c>
      <c r="J487" s="37" t="str">
        <f t="shared" si="7"/>
        <v xml:space="preserve">Adara Copernicus Deneb </v>
      </c>
      <c r="K487" s="31" t="str">
        <f>IF(ISBLANK(TR!G487),"",TR!G487)</f>
        <v/>
      </c>
      <c r="L487" s="31" t="str">
        <f>IF(ISBLANK(TR!H487),"",TR!H487)</f>
        <v>FR-DSRSW-1397</v>
      </c>
      <c r="M487" s="30" t="str">
        <f>TR!J487</f>
        <v>Approved</v>
      </c>
      <c r="N487" s="31" t="str">
        <f>IF(OR(M487="Modified",M487="Cosmetic"),VLOOKUP(B487,PrevPFS!B$1:E$833,4,FALSE),"")</f>
        <v/>
      </c>
    </row>
    <row r="488" spans="1:14" ht="45" x14ac:dyDescent="0.25">
      <c r="A488" s="31" t="str">
        <f>IF(ISNONTEXT(TR!K488),"",TR!K488)</f>
        <v>TR-0-SRVCACQ-1278</v>
      </c>
      <c r="B488" s="32" t="str">
        <f>TR!A488</f>
        <v>TR-DSRSW-1771</v>
      </c>
      <c r="C488" s="31" t="b">
        <f>ISERROR(FIND("-",TR!B488))</f>
        <v>0</v>
      </c>
      <c r="D488" s="31">
        <f>SetIndent(E488,(TR!C488-1)*2)</f>
        <v>6</v>
      </c>
      <c r="E488" s="38" t="str">
        <f>IF(ISERROR(FIND("-",TR!B488)),TR!B488&amp;" "&amp;TR!D488,TR!D488)</f>
        <v>The product SHALL only accept Virtual Channel Table (VCT)  Messages where the enumerated type transmission_medium indicates a "reseved10" transmission medium.</v>
      </c>
      <c r="F488" s="31" t="str">
        <f>TR!E488</f>
        <v>Req</v>
      </c>
      <c r="G488" s="31" t="str">
        <f>IF(ISERROR(FIND("Adara",TR!F488)),"","Adara ")</f>
        <v xml:space="preserve">Adara </v>
      </c>
      <c r="H488" s="31" t="str">
        <f>IF(ISERROR(FIND("Copernicus",TR!F488)),"","Copernicus ")</f>
        <v xml:space="preserve">Copernicus </v>
      </c>
      <c r="I488" s="31" t="str">
        <f>IF(ISERROR(FIND("Deneb",TR!F488)),"","Deneb ")</f>
        <v xml:space="preserve">Deneb </v>
      </c>
      <c r="J488" s="37" t="str">
        <f t="shared" si="7"/>
        <v xml:space="preserve">Adara Copernicus Deneb </v>
      </c>
      <c r="K488" s="31" t="str">
        <f>IF(ISBLANK(TR!G488),"",TR!G488)</f>
        <v/>
      </c>
      <c r="L488" s="31" t="str">
        <f>IF(ISBLANK(TR!H488),"",TR!H488)</f>
        <v>FR-DSRSW-1397</v>
      </c>
      <c r="M488" s="30" t="str">
        <f>TR!J488</f>
        <v>Approved</v>
      </c>
      <c r="N488" s="31" t="str">
        <f>IF(OR(M488="Modified",M488="Cosmetic"),VLOOKUP(B488,PrevPFS!B$1:E$833,4,FALSE),"")</f>
        <v/>
      </c>
    </row>
    <row r="489" spans="1:14" ht="45" x14ac:dyDescent="0.25">
      <c r="A489" s="31" t="str">
        <f>IF(ISNONTEXT(TR!K489),"",TR!K489)</f>
        <v>TR-0-SRVCACQ-1186</v>
      </c>
      <c r="B489" s="32" t="str">
        <f>TR!A489</f>
        <v>TR-DSRSW-1772</v>
      </c>
      <c r="C489" s="31" t="b">
        <f>ISERROR(FIND("-",TR!B489))</f>
        <v>0</v>
      </c>
      <c r="D489" s="31">
        <f>SetIndent(E489,(TR!C489-1)*2)</f>
        <v>6</v>
      </c>
      <c r="E489" s="38" t="str">
        <f>IF(ISERROR(FIND("-",TR!B489)),TR!B489&amp;" "&amp;TR!D489,TR!D489)</f>
        <v xml:space="preserve">The product SHALL maintain the Virtual Channel Table (VCT) in non-volatile memory. </v>
      </c>
      <c r="F489" s="31" t="str">
        <f>TR!E489</f>
        <v>Req</v>
      </c>
      <c r="G489" s="31" t="str">
        <f>IF(ISERROR(FIND("Adara",TR!F489)),"","Adara ")</f>
        <v xml:space="preserve">Adara </v>
      </c>
      <c r="H489" s="31" t="str">
        <f>IF(ISERROR(FIND("Copernicus",TR!F489)),"","Copernicus ")</f>
        <v xml:space="preserve">Copernicus </v>
      </c>
      <c r="I489" s="31" t="str">
        <f>IF(ISERROR(FIND("Deneb",TR!F489)),"","Deneb ")</f>
        <v xml:space="preserve">Deneb </v>
      </c>
      <c r="J489" s="37" t="str">
        <f t="shared" si="7"/>
        <v xml:space="preserve">Adara Copernicus Deneb </v>
      </c>
      <c r="K489" s="31" t="str">
        <f>IF(ISBLANK(TR!G489),"",TR!G489)</f>
        <v/>
      </c>
      <c r="L489" s="31" t="str">
        <f>IF(ISBLANK(TR!H489),"",TR!H489)</f>
        <v>FR-DSRSW-1397</v>
      </c>
      <c r="M489" s="30" t="str">
        <f>TR!J489</f>
        <v>Approved</v>
      </c>
      <c r="N489" s="31" t="str">
        <f>IF(OR(M489="Modified",M489="Cosmetic"),VLOOKUP(B489,PrevPFS!B$1:E$833,4,FALSE),"")</f>
        <v/>
      </c>
    </row>
    <row r="490" spans="1:14" ht="45" x14ac:dyDescent="0.25">
      <c r="A490" s="31" t="str">
        <f>IF(ISNONTEXT(TR!K490),"",TR!K490)</f>
        <v/>
      </c>
      <c r="B490" s="32" t="str">
        <f>TR!A490</f>
        <v>TR-DSRSW-1773</v>
      </c>
      <c r="C490" s="31" t="b">
        <f>ISERROR(FIND("-",TR!B490))</f>
        <v>1</v>
      </c>
      <c r="D490" s="31">
        <f>SetIndent(E490,(TR!C490-1)*2)</f>
        <v>4</v>
      </c>
      <c r="E490" s="35" t="str">
        <f>IF(ISERROR(FIND("-",TR!B490)),TR!B490&amp;" "&amp;TR!D490,TR!D490)</f>
        <v>21.3.4 ROM Resident VCT</v>
      </c>
      <c r="F490" s="31" t="str">
        <f>TR!E490</f>
        <v>Hdr</v>
      </c>
      <c r="G490" s="31" t="str">
        <f>IF(ISERROR(FIND("Adara",TR!F490)),"","Adara ")</f>
        <v xml:space="preserve">Adara </v>
      </c>
      <c r="H490" s="31" t="str">
        <f>IF(ISERROR(FIND("Copernicus",TR!F490)),"","Copernicus ")</f>
        <v xml:space="preserve">Copernicus </v>
      </c>
      <c r="I490" s="31" t="str">
        <f>IF(ISERROR(FIND("Deneb",TR!F490)),"","Deneb ")</f>
        <v xml:space="preserve">Deneb </v>
      </c>
      <c r="J490" s="37" t="str">
        <f t="shared" si="7"/>
        <v xml:space="preserve">Adara Copernicus Deneb </v>
      </c>
      <c r="K490" s="31" t="str">
        <f>IF(ISBLANK(TR!G490),"",TR!G490)</f>
        <v/>
      </c>
      <c r="L490" s="31" t="str">
        <f>IF(ISBLANK(TR!H490),"",TR!H490)</f>
        <v>FR-DSRSW-1397</v>
      </c>
      <c r="M490" s="30" t="str">
        <f>TR!J490</f>
        <v>Approved</v>
      </c>
      <c r="N490" s="31" t="str">
        <f>IF(OR(M490="Modified",M490="Cosmetic"),VLOOKUP(B490,PrevPFS!B$1:E$833,4,FALSE),"")</f>
        <v/>
      </c>
    </row>
    <row r="491" spans="1:14" ht="45" x14ac:dyDescent="0.25">
      <c r="A491" s="31" t="str">
        <f>IF(ISNONTEXT(TR!K491),"",TR!K491)</f>
        <v>TR-0-SRVCACQ-1277</v>
      </c>
      <c r="B491" s="32" t="str">
        <f>TR!A491</f>
        <v>TR-DSRSW-1774</v>
      </c>
      <c r="C491" s="31" t="b">
        <f>ISERROR(FIND("-",TR!B491))</f>
        <v>0</v>
      </c>
      <c r="D491" s="31">
        <f>SetIndent(E491,(TR!C491-1)*2)</f>
        <v>6</v>
      </c>
      <c r="E491" s="38" t="str">
        <f>IF(ISERROR(FIND("-",TR!B491)),TR!B491&amp;" "&amp;TR!D491,TR!D491)</f>
        <v>The product SHALL use the ROM resident VCT containing the Satellite Virtual Channels until updated by valid VCT messages.</v>
      </c>
      <c r="F491" s="31" t="str">
        <f>TR!E491</f>
        <v>Req</v>
      </c>
      <c r="G491" s="31" t="str">
        <f>IF(ISERROR(FIND("Adara",TR!F491)),"","Adara ")</f>
        <v xml:space="preserve">Adara </v>
      </c>
      <c r="H491" s="31" t="str">
        <f>IF(ISERROR(FIND("Copernicus",TR!F491)),"","Copernicus ")</f>
        <v xml:space="preserve">Copernicus </v>
      </c>
      <c r="I491" s="31" t="str">
        <f>IF(ISERROR(FIND("Deneb",TR!F491)),"","Deneb ")</f>
        <v xml:space="preserve">Deneb </v>
      </c>
      <c r="J491" s="37" t="str">
        <f t="shared" si="7"/>
        <v xml:space="preserve">Adara Copernicus Deneb </v>
      </c>
      <c r="K491" s="31" t="str">
        <f>IF(ISBLANK(TR!G491),"",TR!G491)</f>
        <v/>
      </c>
      <c r="L491" s="31" t="str">
        <f>IF(ISBLANK(TR!H491),"",TR!H491)</f>
        <v>FR-DSRSW-1397</v>
      </c>
      <c r="M491" s="30" t="str">
        <f>TR!J491</f>
        <v>Approved</v>
      </c>
      <c r="N491" s="31" t="str">
        <f>IF(OR(M491="Modified",M491="Cosmetic"),VLOOKUP(B491,PrevPFS!B$1:E$833,4,FALSE),"")</f>
        <v/>
      </c>
    </row>
    <row r="492" spans="1:14" ht="45" x14ac:dyDescent="0.25">
      <c r="A492" s="31" t="str">
        <f>IF(ISNONTEXT(TR!K492),"",TR!K492)</f>
        <v>TR-0-SRVCACQ-1280</v>
      </c>
      <c r="B492" s="32" t="str">
        <f>TR!A492</f>
        <v>TR-DSRSW-1775</v>
      </c>
      <c r="C492" s="31" t="b">
        <f>ISERROR(FIND("-",TR!B492))</f>
        <v>0</v>
      </c>
      <c r="D492" s="31">
        <f>SetIndent(E492,(TR!C492-1)*2)</f>
        <v>6</v>
      </c>
      <c r="E492" s="38" t="str">
        <f>IF(ISERROR(FIND("-",TR!B492)),TR!B492&amp;" "&amp;TR!D492,TR!D492)</f>
        <v xml:space="preserve">The product SHALL contain a ROM based default virtual channel map with VCT ID 0x1100 (decimal 4352). </v>
      </c>
      <c r="F492" s="31" t="str">
        <f>TR!E492</f>
        <v>Req</v>
      </c>
      <c r="G492" s="31" t="str">
        <f>IF(ISERROR(FIND("Adara",TR!F492)),"","Adara ")</f>
        <v xml:space="preserve">Adara </v>
      </c>
      <c r="H492" s="31" t="str">
        <f>IF(ISERROR(FIND("Copernicus",TR!F492)),"","Copernicus ")</f>
        <v xml:space="preserve">Copernicus </v>
      </c>
      <c r="I492" s="31" t="str">
        <f>IF(ISERROR(FIND("Deneb",TR!F492)),"","Deneb ")</f>
        <v xml:space="preserve">Deneb </v>
      </c>
      <c r="J492" s="37" t="str">
        <f t="shared" si="7"/>
        <v xml:space="preserve">Adara Copernicus Deneb </v>
      </c>
      <c r="K492" s="31" t="str">
        <f>IF(ISBLANK(TR!G492),"",TR!G492)</f>
        <v/>
      </c>
      <c r="L492" s="31" t="str">
        <f>IF(ISBLANK(TR!H492),"",TR!H492)</f>
        <v>FR-DSRSW-1397</v>
      </c>
      <c r="M492" s="30" t="str">
        <f>TR!J492</f>
        <v>Approved</v>
      </c>
      <c r="N492" s="31" t="str">
        <f>IF(OR(M492="Modified",M492="Cosmetic"),VLOOKUP(B492,PrevPFS!B$1:E$833,4,FALSE),"")</f>
        <v/>
      </c>
    </row>
    <row r="493" spans="1:14" ht="45" x14ac:dyDescent="0.25">
      <c r="A493" s="31" t="str">
        <f>IF(ISNONTEXT(TR!K493),"",TR!K493)</f>
        <v>TR-0-SRVCACQ-1289</v>
      </c>
      <c r="B493" s="32" t="str">
        <f>TR!A493</f>
        <v>TR-DSRSW-1776</v>
      </c>
      <c r="C493" s="31" t="b">
        <f>ISERROR(FIND("-",TR!B493))</f>
        <v>0</v>
      </c>
      <c r="D493" s="31">
        <f>SetIndent(E493,(TR!C493-1)*2)</f>
        <v>6</v>
      </c>
      <c r="E493" s="38" t="str">
        <f>IF(ISERROR(FIND("-",TR!B493)),TR!B493&amp;" "&amp;TR!D493,TR!D493)</f>
        <v xml:space="preserve">The product SHALL default to the ROM based virtual channel map after a Factory Reset. </v>
      </c>
      <c r="F493" s="31" t="str">
        <f>TR!E493</f>
        <v>Req</v>
      </c>
      <c r="G493" s="31" t="str">
        <f>IF(ISERROR(FIND("Adara",TR!F493)),"","Adara ")</f>
        <v xml:space="preserve">Adara </v>
      </c>
      <c r="H493" s="31" t="str">
        <f>IF(ISERROR(FIND("Copernicus",TR!F493)),"","Copernicus ")</f>
        <v xml:space="preserve">Copernicus </v>
      </c>
      <c r="I493" s="31" t="str">
        <f>IF(ISERROR(FIND("Deneb",TR!F493)),"","Deneb ")</f>
        <v xml:space="preserve">Deneb </v>
      </c>
      <c r="J493" s="37" t="str">
        <f t="shared" si="7"/>
        <v xml:space="preserve">Adara Copernicus Deneb </v>
      </c>
      <c r="K493" s="31" t="str">
        <f>IF(ISBLANK(TR!G493),"",TR!G493)</f>
        <v/>
      </c>
      <c r="L493" s="31" t="str">
        <f>IF(ISBLANK(TR!H493),"",TR!H493)</f>
        <v>FR-DSRSW-1397</v>
      </c>
      <c r="M493" s="30" t="str">
        <f>TR!J493</f>
        <v>Approved</v>
      </c>
      <c r="N493" s="31" t="str">
        <f>IF(OR(M493="Modified",M493="Cosmetic"),VLOOKUP(B493,PrevPFS!B$1:E$833,4,FALSE),"")</f>
        <v/>
      </c>
    </row>
    <row r="494" spans="1:14" ht="409.5" x14ac:dyDescent="0.25">
      <c r="A494" s="31" t="str">
        <f>IF(ISNONTEXT(TR!K494),"",TR!K494)</f>
        <v>TR-0-SRVCACQ-1281</v>
      </c>
      <c r="B494" s="32" t="str">
        <f>TR!A494</f>
        <v>TR-DSRSW-1777</v>
      </c>
      <c r="C494" s="31" t="b">
        <f>ISERROR(FIND("-",TR!B494))</f>
        <v>0</v>
      </c>
      <c r="D494" s="31">
        <f>SetIndent(E494,(TR!C494-1)*2)</f>
        <v>6</v>
      </c>
      <c r="E494" s="38" t="str">
        <f>IF(ISERROR(FIND("-",TR!B494)),TR!B494&amp;" "&amp;TR!D494,TR!D494)</f>
        <v>The product SHALL contain a default ROM resident VCT as defined in the table below.
Chn  Xpdr  Sat  Po  Frequency  SymRate  CR  Mod  Ton  SvcN  SourceID
200  49  1  VR  1147750000  19510470  3/4  QPSK  0  010  0x0002
201  40  1  HL  0970000000  19510470  3/4  QPSK  0  255  0x0003
202  41  1  VR  1010000000  29265700  7/8  QPSK  0  005  0x0009
203  42  1  HL  1010000000  19510470  3/4  QPSK  0  255  0x000C
204  08  1  VR  0964750000  19510470  3/4  QPSK  0  255  0x000D
205  44  1  HL  1050000000  19510470  3/4  QPSK  0  255  0x000E
206  03  1  VR  1070000000  19510470  3/4  QPSK  0  255  0x000F
207  46  1  HL  1090000000  19510470  3/4  QPSK  0  255  0x0013
208  03  1  VR  1070000000  19510470  3/4  QPSK  0  255  0x03B5
209  48  1  HL  1130000000  19510470  3/4  QPSK  0  255  0x03B6
210  29  1  HL  1147750000  19510470  3/4  QPSK  0  255  0x002A
211  29  1  HL  1147750000  19510470  3/4  QPSK  0  255  0x002F
212  51  1  VR  1190000000  19510470  3/4  QPSK  0  255  0x0030
213  52  1  HL  1210000000  19510470  3/4  QPSK  0  255  0x0031
214  53  1  VR  1230000000  19510470  3/4  QPSK  0  255  0x0050
215  54  1  HL  1250000000  19510470  3/4  QPSK  0  255  0x0051
216  55  1  VR  1270000000  19510470  3/4  QPSK  0  255  0x0057
217  56  1  HL  1290000000  19510470  3/4  QPSK  0  255  0x0058
218  57  1  VR  1310000000  19510470  3/4  QPSK  0  255  0x005B
222  61  1  VR  1390000000  19510470  3/4  QPSK  0  255  0x005C
223  62  1  HL  1410000000  19510470  3/4  QPSK  0  255  0x005D
224  63  1  VR  1430000000  19510470  3/4  QPSK  0  255  0x005F
231  14  1  VR  1230000000  19510470  3/4  QPSK  0  255  0x0064
232  15  1  HL  1250000000  19510470  3/4  QPSK  0  255  0x006D
233  16  1  VR  1270000000  19510470  3/4  QPSK  0  255  0x0074
234  17  1  HL  1290000000  19510470  3/4  QPSK  0  255  0x0075
250  24  1  VR  1825000000  19510470  3/4  QPSK  0  255  0x0076
251  23  1  VR  1370000000  14632850  7/8  OQPSK  0  255  0x0077
252  24  1  VR  1825000000  19510470  3/4  QPSK  0  255  0x0078
253  25  1  VR  1130000000  04877617  3/4  OQPSK  0  255  0x0079
254  26  1  VR  1170000000  19510470  3/4  QPSK  0  255  0x007A
256  28  1  HL  1123500000  19510470  3/4  QPSK  0  255  0x00A3
257  29  1  HL  1147750000  19510470  3/4  QPSK  0  255  0x00A4
258  30  1  VR  1310000000  19510470  3/4  QPSK  0  255  0x00A5
259  31  1  HL  1278500000  19510470  3/4  QPSK  0  255  0x00A6
260  32  1  VR  1427000000  19510470  3/4  QPSK  0  255  0x00BF
265  02  1  VR  1641750000  21000000  2.11  PSK_8  0  101  0xFB6F
266  45  1  VR  1147750000  20500000  1.92  PSK_8  1  001  0xFAA3
267  43  1  VR  1018500000  22000000  8/9  PSK_8  0  102  0xFC7E
268  27  1  VR  1824750000  20500000  1.92  PSK_8  0  285  0x010A
281  01  1  VR  1422250000  19510470  3/4  QPSK  0  255  0x010B
283  03  1  VR  1070000000  19510470  3/4  QPSK  0  255  0x010D
284  04  1  VR  1054000000  19510470  3/4  QPSK  0  255  0x010E
285  05  1  VR  1089000000  19510470  3/4  QPSK  0  255  0x010F
286  06  1  VR  0995250000  19510470  3/4  QPSK  0  255  0x0110
287  07  1  VR  1150000000  19510470  3/4  QPSK  0  255  0x0111
288  08  1  VR  0964750000  19510470  3/4  QPSK  0  255  0x0112
289  09  1  VR  1391750000  19510470  3/4  QPSK  0  255  0x0113
290  10  1  VR  1237000000  19510470  3/4  QPSK  0  255  0x0114
291  11  1  HL  1374250000  19510470  3/4  QPSK  0  255  0x0115
292  12  1  HL  1311000000  19510470  3/4  QPSK  0  255  0x0116
293  13  1  VR  1117250000  19510470  3/4  QPSK  0  255  0x0117
299  06  1  VR  0995250000  19510470  3/4  QPSK  0  255  0x1010
350  01  1  VR  1422250000  19510470  3/4  QPSK  1  255  0x0071
402  06  1  VR  0995250000  19510470  3/4  QPSK  0  255  0x011A
501  26  1  VR  1170000000  19510470  3/4  QPSK  0  255  0x011B
503  26  1  VR  1170000000  19510470  3/4  QPSK  0  255  0x011C
509  26  1  VR  1170000000  19510470  3/4  QPSK  0  255  0x011E
666  42  1  HL  1010000000  19510470  3/4  QPSK  0  255  0x0118
668  42  1  HL  1010000000  19510470  3/4  QPSK  0  255  0x0119
700  00  1  HL  1313250000  19510470  3/4  QPSK  1  255  0x007D
703  30  1  VR  1310000000  19510470  3/4  QPSK  0  255  0x0120
705  30  1  VR  1310000000  19510470  3/4  QPSK  0  255  0x0121
899  47  1  VR  1210000000  21000000  8/9  PSK_8  0  255  0x011F
900  23  1  VR  1370000000  14632850  7/8  OQPSK  0  040  0x0399
901  50  1  HL  1620000000  22000000  5/6  PSK_8  0  255  0x0128
902  47  1  VR  1210000000  21000000  8/9  PSK_8  0  255  0x0129
904  58  1  VR  1430000000  20000000  1.92  PSK_8  0  010  0x0123
905  58  1  VR  1430000000  20000000  1.92  PSK_8  1  003  0x0124
906  59  1  HL  1430000000  21500000  2.11  PSK_8  0  020  0x0125
907  59  1  HL  1430000000  21500000  2.11  PSK_8  1  023  0x0126
908  60  1  HL  0970000000  20000000  1.92  PSK_8  0  000  0x0127
921  34  1  HL  0990000000  29265700  1/2  QPSK  0  021  0x0399
922  34  1  HL  0990000000  29265700  1/2  QPSK  0  022  0x039A
926  34  1  HL  0990000000  29265700  1/2  QPSK  0  026  0x039E
927  34  1  HL  0990000000  29265700  1/2  QPSK  0  027  0x039F
928  34  1  HL  0990000000  29265700  1/2  QPSK  0  028  0x03A0
929  37  1  HL  1470000000  19510470  3/4  QPSK  0  030  0x03A1
930  38  1  VR  2130000000  19510470  3/4  QPSK  0  013  0x03A2
931  39  1  HL  0970000000  29265700  1/2  QPSK  0  020  0x03A3
932  18  1  HL  1540000000  19510470  3/4  QPSK  0  013  0x03A4
933  19  1  VR  1540000000  29265700  1/2  QPSK  0  020  0x03A5
934  20  1  VR  2140000000  19510470  3/4  QPSK  0  016  0x03A6
935  21  1  HL  2140000000  29265700  1/2  QPSK  0  023  0x03A7
943  36  1  HL  0990000000  19510470  3/4  QPSK  0  010  0x03AF
944  36  1  HL  0990000000  19510470  3/4  QPSK  0  011  0x03B0
945  36  1  HL  0990000000  19510470  3/4  QPSK  0  012  0x03B1
946  36  1  HL  0990000000  19510470  3/4  QPSK  0  013  0x03B2
947  36  1  HL  0990000000  19510470  3/4  QPSK  0  014  0x03B3
948  36  1  HL  0990000000  19510470  3/4  QPSK  0  015  0x03B4
954  57  1  VR  1310000000  19510470  3/4  QPSK  0  001  0x0015
955  57  1  VR  1310000000  19510470  3/4  QPSK  0  002  0x0015
956  57  1  VR  1310000000  19510470  3/4  QPSK  0  003  0x0015
957  57  1  VR  1310000000  19510470  3/4  QPSK  0  004  0x0015
958  57  1  VR  1310000000  19510470  3/4  QPSK  0  005  0x0016
962  57  1  VR  1310000000  19510470  3/4  QPSK  0  009  0x03C2
963  57  1  VR  1310000000  19510470  3/4  QPSK  0  010  0x03C3
964  57  1  VR  1310000000  19510470  3/4  QPSK  0  011  0x03C4
965  57  1  VR  1310000000  19510470  3/4  QPSK  0  012  0x03C5
966  57  1  VR  1310000000  19510470  3/4  QPSK  0  013  0x03C6
967  57  1  VR  1310000000  19510470  3/4  QPSK  0  014  0x03C7
968  38  1  VR  2130000000  19510470  3/4  QPSK  0  015  0x03C8
969  35  1  HL  1430000000  29265700  1/2  QPSK  0  020  0x03C9
970  35  1  HL  1430000000  29265700  1/2  QPSK  0  021  0x03CA
971  35  1  HL  1430000000  29265700  1/2  QPSK  0  022  0x03CB
972  35  1  HL  1430000000  29265700  1/2  QPSK  0  001  0x0016
976  35  1  HL  1430000000  29265700  1/2  QPSK  0  023  0x03D0
977  35  1  HL  1430000000  29265700  1/2  QPSK  0  024  0x03D1
978  35  1  HL  1430000000  29265700  1/2  QPSK  0  025  0x03D2
979  35  1  HL  1430000000  29265700  1/2  QPSK  0  001  0x0017
980  39  1  HL  0970000000  29265700  1/2  QPSK  0  026  0x03D4
981  35  1  HL  1430000000  29265700  1/2  QPSK  0  027  0x03D5
982  35  1  HL  1430000000  29265700  1/2  QPSK  0  028  0x03D6
985  57  1  VR  1310000000  19510470  3/4  QPSK  0  016  0x03D9
986  57  1  VR  1310000000  19510470  3/4  QPSK  0  017  0x03DA
987  57  1  VR  1310000000  19510470  3/4  QPSK  0  018  0x03DB
988  57  1  VR  1310000000  19510470  3/4  QPSK  0  019  0x03DC
989  33  1  VR  1175000000  20000000  1.92  PSK_8  0  004  0x012A
990  33  1  VR  1175000000  20000000  1.92  PSK_8  0  002  0x012B</v>
      </c>
      <c r="F494" s="31" t="str">
        <f>TR!E494</f>
        <v>Req</v>
      </c>
      <c r="G494" s="31" t="str">
        <f>IF(ISERROR(FIND("Adara",TR!F494)),"","Adara ")</f>
        <v xml:space="preserve">Adara </v>
      </c>
      <c r="H494" s="31" t="str">
        <f>IF(ISERROR(FIND("Copernicus",TR!F494)),"","Copernicus ")</f>
        <v xml:space="preserve">Copernicus </v>
      </c>
      <c r="I494" s="31" t="str">
        <f>IF(ISERROR(FIND("Deneb",TR!F494)),"","Deneb ")</f>
        <v xml:space="preserve">Deneb </v>
      </c>
      <c r="J494" s="37" t="str">
        <f t="shared" si="7"/>
        <v xml:space="preserve">Adara Copernicus Deneb </v>
      </c>
      <c r="K494" s="31" t="str">
        <f>IF(ISBLANK(TR!G494),"",TR!G494)</f>
        <v/>
      </c>
      <c r="L494" s="31" t="str">
        <f>IF(ISBLANK(TR!H494),"",TR!H494)</f>
        <v>FR-DSRSW-1397</v>
      </c>
      <c r="M494" s="30" t="str">
        <f>TR!J494</f>
        <v>Approved</v>
      </c>
      <c r="N494" s="31" t="str">
        <f>IF(OR(M494="Modified",M494="Cosmetic"),VLOOKUP(B494,PrevPFS!B$1:E$833,4,FALSE),"")</f>
        <v/>
      </c>
    </row>
    <row r="495" spans="1:14" ht="45" x14ac:dyDescent="0.25">
      <c r="A495" s="31" t="str">
        <f>IF(ISNONTEXT(TR!K495),"",TR!K495)</f>
        <v/>
      </c>
      <c r="B495" s="32" t="str">
        <f>TR!A495</f>
        <v>TR-DSRSW-1778</v>
      </c>
      <c r="C495" s="31" t="b">
        <f>ISERROR(FIND("-",TR!B495))</f>
        <v>1</v>
      </c>
      <c r="D495" s="31">
        <f>SetIndent(E495,(TR!C495-1)*2)</f>
        <v>4</v>
      </c>
      <c r="E495" s="35" t="str">
        <f>IF(ISERROR(FIND("-",TR!B495)),TR!B495&amp;" "&amp;TR!D495,TR!D495)</f>
        <v>21.3.5 Network Information (NIT)</v>
      </c>
      <c r="F495" s="31" t="str">
        <f>TR!E495</f>
        <v>Hdr</v>
      </c>
      <c r="G495" s="31" t="str">
        <f>IF(ISERROR(FIND("Adara",TR!F495)),"","Adara ")</f>
        <v xml:space="preserve">Adara </v>
      </c>
      <c r="H495" s="31" t="str">
        <f>IF(ISERROR(FIND("Copernicus",TR!F495)),"","Copernicus ")</f>
        <v xml:space="preserve">Copernicus </v>
      </c>
      <c r="I495" s="31" t="str">
        <f>IF(ISERROR(FIND("Deneb",TR!F495)),"","Deneb ")</f>
        <v xml:space="preserve">Deneb </v>
      </c>
      <c r="J495" s="37" t="str">
        <f t="shared" si="7"/>
        <v xml:space="preserve">Adara Copernicus Deneb </v>
      </c>
      <c r="K495" s="31" t="str">
        <f>IF(ISBLANK(TR!G495),"",TR!G495)</f>
        <v/>
      </c>
      <c r="L495" s="31" t="str">
        <f>IF(ISBLANK(TR!H495),"",TR!H495)</f>
        <v>FR-DSRSW-1397</v>
      </c>
      <c r="M495" s="30" t="str">
        <f>TR!J495</f>
        <v>Approved</v>
      </c>
      <c r="N495" s="31" t="str">
        <f>IF(OR(M495="Modified",M495="Cosmetic"),VLOOKUP(B495,PrevPFS!B$1:E$833,4,FALSE),"")</f>
        <v/>
      </c>
    </row>
    <row r="496" spans="1:14" ht="45" x14ac:dyDescent="0.25">
      <c r="A496" s="31" t="str">
        <f>IF(ISNONTEXT(TR!K496),"",TR!K496)</f>
        <v>TR-0-SRVCACQ-1279</v>
      </c>
      <c r="B496" s="32" t="str">
        <f>TR!A496</f>
        <v>TR-DSRSW-1779</v>
      </c>
      <c r="C496" s="31" t="b">
        <f>ISERROR(FIND("-",TR!B496))</f>
        <v>0</v>
      </c>
      <c r="D496" s="31">
        <f>SetIndent(E496,(TR!C496-1)*2)</f>
        <v>6</v>
      </c>
      <c r="E496" s="38" t="str">
        <f>IF(ISERROR(FIND("-",TR!B496)),TR!B496&amp;" "&amp;TR!D496,TR!D496)</f>
        <v>The product SHALL only accept Network Information (NIT) Messages where the enumerated type transmission_medium indicates a "reseved10" transmission medium.</v>
      </c>
      <c r="F496" s="31" t="str">
        <f>TR!E496</f>
        <v>Req</v>
      </c>
      <c r="G496" s="31" t="str">
        <f>IF(ISERROR(FIND("Adara",TR!F496)),"","Adara ")</f>
        <v xml:space="preserve">Adara </v>
      </c>
      <c r="H496" s="31" t="str">
        <f>IF(ISERROR(FIND("Copernicus",TR!F496)),"","Copernicus ")</f>
        <v xml:space="preserve">Copernicus </v>
      </c>
      <c r="I496" s="31" t="str">
        <f>IF(ISERROR(FIND("Deneb",TR!F496)),"","Deneb ")</f>
        <v xml:space="preserve">Deneb </v>
      </c>
      <c r="J496" s="37" t="str">
        <f t="shared" si="7"/>
        <v xml:space="preserve">Adara Copernicus Deneb </v>
      </c>
      <c r="K496" s="31" t="str">
        <f>IF(ISBLANK(TR!G496),"",TR!G496)</f>
        <v/>
      </c>
      <c r="L496" s="31" t="str">
        <f>IF(ISBLANK(TR!H496),"",TR!H496)</f>
        <v>FR-DSRSW-1397</v>
      </c>
      <c r="M496" s="30" t="str">
        <f>TR!J496</f>
        <v>Approved</v>
      </c>
      <c r="N496" s="31" t="str">
        <f>IF(OR(M496="Modified",M496="Cosmetic"),VLOOKUP(B496,PrevPFS!B$1:E$833,4,FALSE),"")</f>
        <v/>
      </c>
    </row>
    <row r="497" spans="1:14" ht="45" x14ac:dyDescent="0.25">
      <c r="A497" s="31" t="str">
        <f>IF(ISNONTEXT(TR!K497),"",TR!K497)</f>
        <v>TR-0-SRVCACQ-1288</v>
      </c>
      <c r="B497" s="32" t="str">
        <f>TR!A497</f>
        <v>TR-DSRSW-1780</v>
      </c>
      <c r="C497" s="31" t="b">
        <f>ISERROR(FIND("-",TR!B497))</f>
        <v>0</v>
      </c>
      <c r="D497" s="31">
        <f>SetIndent(E497,(TR!C497-1)*2)</f>
        <v>6</v>
      </c>
      <c r="E497" s="38" t="str">
        <f>IF(ISERROR(FIND("-",TR!B497)),TR!B497&amp;" "&amp;TR!D497,TR!D497)</f>
        <v>The product SHALL process the Satellite Information Table (SIT) associated with the current Virtual Channel Table's (VCT) lowest channel number.</v>
      </c>
      <c r="F497" s="31" t="str">
        <f>TR!E497</f>
        <v>Req</v>
      </c>
      <c r="G497" s="31" t="str">
        <f>IF(ISERROR(FIND("Adara",TR!F497)),"","Adara ")</f>
        <v xml:space="preserve">Adara </v>
      </c>
      <c r="H497" s="31" t="str">
        <f>IF(ISERROR(FIND("Copernicus",TR!F497)),"","Copernicus ")</f>
        <v xml:space="preserve">Copernicus </v>
      </c>
      <c r="I497" s="31" t="str">
        <f>IF(ISERROR(FIND("Deneb",TR!F497)),"","Deneb ")</f>
        <v xml:space="preserve">Deneb </v>
      </c>
      <c r="J497" s="37" t="str">
        <f t="shared" si="7"/>
        <v xml:space="preserve">Adara Copernicus Deneb </v>
      </c>
      <c r="K497" s="31" t="str">
        <f>IF(ISBLANK(TR!G497),"",TR!G497)</f>
        <v/>
      </c>
      <c r="L497" s="31" t="str">
        <f>IF(ISBLANK(TR!H497),"",TR!H497)</f>
        <v>FR-DSRSW-1397</v>
      </c>
      <c r="M497" s="30" t="str">
        <f>TR!J497</f>
        <v>Approved</v>
      </c>
      <c r="N497" s="31" t="str">
        <f>IF(OR(M497="Modified",M497="Cosmetic"),VLOOKUP(B497,PrevPFS!B$1:E$833,4,FALSE),"")</f>
        <v/>
      </c>
    </row>
    <row r="498" spans="1:14" ht="45" x14ac:dyDescent="0.25">
      <c r="A498" s="31" t="str">
        <f>IF(ISNONTEXT(TR!K498),"",TR!K498)</f>
        <v>TR-0-SRVCACQ-1287</v>
      </c>
      <c r="B498" s="32" t="str">
        <f>TR!A498</f>
        <v>TR-DSRSW-1781</v>
      </c>
      <c r="C498" s="31" t="b">
        <f>ISERROR(FIND("-",TR!B498))</f>
        <v>0</v>
      </c>
      <c r="D498" s="31">
        <f>SetIndent(E498,(TR!C498-1)*2)</f>
        <v>6</v>
      </c>
      <c r="E498" s="38" t="str">
        <f>IF(ISERROR(FIND("-",TR!B498)),TR!B498&amp;" "&amp;TR!D498,TR!D498)</f>
        <v xml:space="preserve">The product SHALL maintain the Satellite Information Table (SIT) tuning data in non-volatile memory. </v>
      </c>
      <c r="F498" s="31" t="str">
        <f>TR!E498</f>
        <v>Req</v>
      </c>
      <c r="G498" s="31" t="str">
        <f>IF(ISERROR(FIND("Adara",TR!F498)),"","Adara ")</f>
        <v xml:space="preserve">Adara </v>
      </c>
      <c r="H498" s="31" t="str">
        <f>IF(ISERROR(FIND("Copernicus",TR!F498)),"","Copernicus ")</f>
        <v xml:space="preserve">Copernicus </v>
      </c>
      <c r="I498" s="31" t="str">
        <f>IF(ISERROR(FIND("Deneb",TR!F498)),"","Deneb ")</f>
        <v xml:space="preserve">Deneb </v>
      </c>
      <c r="J498" s="37" t="str">
        <f t="shared" si="7"/>
        <v xml:space="preserve">Adara Copernicus Deneb </v>
      </c>
      <c r="K498" s="31" t="str">
        <f>IF(ISBLANK(TR!G498),"",TR!G498)</f>
        <v/>
      </c>
      <c r="L498" s="31" t="str">
        <f>IF(ISBLANK(TR!H498),"",TR!H498)</f>
        <v>FR-DSRSW-1397</v>
      </c>
      <c r="M498" s="30" t="str">
        <f>TR!J498</f>
        <v>Approved</v>
      </c>
      <c r="N498" s="31" t="str">
        <f>IF(OR(M498="Modified",M498="Cosmetic"),VLOOKUP(B498,PrevPFS!B$1:E$833,4,FALSE),"")</f>
        <v/>
      </c>
    </row>
    <row r="499" spans="1:14" ht="45" x14ac:dyDescent="0.25">
      <c r="A499" s="31" t="str">
        <f>IF(ISNONTEXT(TR!K499),"",TR!K499)</f>
        <v>TR-0-SRVCACQ-1286</v>
      </c>
      <c r="B499" s="32" t="str">
        <f>TR!A499</f>
        <v>TR-DSRSW-1782</v>
      </c>
      <c r="C499" s="31" t="b">
        <f>ISERROR(FIND("-",TR!B499))</f>
        <v>0</v>
      </c>
      <c r="D499" s="31">
        <f>SetIndent(E499,(TR!C499-1)*2)</f>
        <v>6</v>
      </c>
      <c r="E499" s="38" t="str">
        <f>IF(ISERROR(FIND("-",TR!B499)),TR!B499&amp;" "&amp;TR!D499,TR!D499)</f>
        <v xml:space="preserve">The product SHALL maintain the Transponder Data Table (TDT) tuning data in non-volatile memory. </v>
      </c>
      <c r="F499" s="31" t="str">
        <f>TR!E499</f>
        <v>Req</v>
      </c>
      <c r="G499" s="31" t="str">
        <f>IF(ISERROR(FIND("Adara",TR!F499)),"","Adara ")</f>
        <v xml:space="preserve">Adara </v>
      </c>
      <c r="H499" s="31" t="str">
        <f>IF(ISERROR(FIND("Copernicus",TR!F499)),"","Copernicus ")</f>
        <v xml:space="preserve">Copernicus </v>
      </c>
      <c r="I499" s="31" t="str">
        <f>IF(ISERROR(FIND("Deneb",TR!F499)),"","Deneb ")</f>
        <v xml:space="preserve">Deneb </v>
      </c>
      <c r="J499" s="37" t="str">
        <f t="shared" si="7"/>
        <v xml:space="preserve">Adara Copernicus Deneb </v>
      </c>
      <c r="K499" s="31" t="str">
        <f>IF(ISBLANK(TR!G499),"",TR!G499)</f>
        <v/>
      </c>
      <c r="L499" s="31" t="str">
        <f>IF(ISBLANK(TR!H499),"",TR!H499)</f>
        <v>FR-DSRSW-1397</v>
      </c>
      <c r="M499" s="30" t="str">
        <f>TR!J499</f>
        <v>Approved</v>
      </c>
      <c r="N499" s="31" t="str">
        <f>IF(OR(M499="Modified",M499="Cosmetic"),VLOOKUP(B499,PrevPFS!B$1:E$833,4,FALSE),"")</f>
        <v/>
      </c>
    </row>
    <row r="500" spans="1:14" ht="45" x14ac:dyDescent="0.25">
      <c r="A500" s="31" t="str">
        <f>IF(ISNONTEXT(TR!K500),"",TR!K500)</f>
        <v>TR-0-SRVCACQ-1204</v>
      </c>
      <c r="B500" s="32" t="str">
        <f>TR!A500</f>
        <v>TR-DSRSW-1783</v>
      </c>
      <c r="C500" s="31" t="b">
        <f>ISERROR(FIND("-",TR!B500))</f>
        <v>0</v>
      </c>
      <c r="D500" s="31">
        <f>SetIndent(E500,(TR!C500-1)*2)</f>
        <v>6</v>
      </c>
      <c r="E500" s="38" t="str">
        <f>IF(ISERROR(FIND("-",TR!B500)),TR!B500&amp;" "&amp;TR!D500,TR!D500)</f>
        <v xml:space="preserve">The product SHALL maintain the Modulation Mode Table (MMT) tuning data in non-volatile memory. </v>
      </c>
      <c r="F500" s="31" t="str">
        <f>TR!E500</f>
        <v>Req</v>
      </c>
      <c r="G500" s="31" t="str">
        <f>IF(ISERROR(FIND("Adara",TR!F500)),"","Adara ")</f>
        <v xml:space="preserve">Adara </v>
      </c>
      <c r="H500" s="31" t="str">
        <f>IF(ISERROR(FIND("Copernicus",TR!F500)),"","Copernicus ")</f>
        <v xml:space="preserve">Copernicus </v>
      </c>
      <c r="I500" s="31" t="str">
        <f>IF(ISERROR(FIND("Deneb",TR!F500)),"","Deneb ")</f>
        <v xml:space="preserve">Deneb </v>
      </c>
      <c r="J500" s="37" t="str">
        <f t="shared" si="7"/>
        <v xml:space="preserve">Adara Copernicus Deneb </v>
      </c>
      <c r="K500" s="31" t="str">
        <f>IF(ISBLANK(TR!G500),"",TR!G500)</f>
        <v/>
      </c>
      <c r="L500" s="31" t="str">
        <f>IF(ISBLANK(TR!H500),"",TR!H500)</f>
        <v>FR-DSRSW-1397</v>
      </c>
      <c r="M500" s="30" t="str">
        <f>TR!J500</f>
        <v>Approved</v>
      </c>
      <c r="N500" s="31" t="str">
        <f>IF(OR(M500="Modified",M500="Cosmetic"),VLOOKUP(B500,PrevPFS!B$1:E$833,4,FALSE),"")</f>
        <v/>
      </c>
    </row>
    <row r="501" spans="1:14" ht="45" x14ac:dyDescent="0.25">
      <c r="A501" s="31" t="str">
        <f>IF(ISNONTEXT(TR!K501),"",TR!K501)</f>
        <v>TR-0-SRVCACQ-1205</v>
      </c>
      <c r="B501" s="32" t="str">
        <f>TR!A501</f>
        <v>TR-DSRSW-1784</v>
      </c>
      <c r="C501" s="31" t="b">
        <f>ISERROR(FIND("-",TR!B501))</f>
        <v>0</v>
      </c>
      <c r="D501" s="31">
        <f>SetIndent(E501,(TR!C501-1)*2)</f>
        <v>6</v>
      </c>
      <c r="E501" s="38" t="str">
        <f>IF(ISERROR(FIND("-",TR!B501)),TR!B501&amp;" "&amp;TR!D501,TR!D501)</f>
        <v xml:space="preserve">The product SHALL maintain the Carrier Definition Table (CDT) tuning data in non-volatile memory. </v>
      </c>
      <c r="F501" s="31" t="str">
        <f>TR!E501</f>
        <v>Req</v>
      </c>
      <c r="G501" s="31" t="str">
        <f>IF(ISERROR(FIND("Adara",TR!F501)),"","Adara ")</f>
        <v xml:space="preserve">Adara </v>
      </c>
      <c r="H501" s="31" t="str">
        <f>IF(ISERROR(FIND("Copernicus",TR!F501)),"","Copernicus ")</f>
        <v xml:space="preserve">Copernicus </v>
      </c>
      <c r="I501" s="31" t="str">
        <f>IF(ISERROR(FIND("Deneb",TR!F501)),"","Deneb ")</f>
        <v xml:space="preserve">Deneb </v>
      </c>
      <c r="J501" s="37" t="str">
        <f t="shared" si="7"/>
        <v xml:space="preserve">Adara Copernicus Deneb </v>
      </c>
      <c r="K501" s="31" t="str">
        <f>IF(ISBLANK(TR!G501),"",TR!G501)</f>
        <v/>
      </c>
      <c r="L501" s="31" t="str">
        <f>IF(ISBLANK(TR!H501),"",TR!H501)</f>
        <v>FR-DSRSW-1397</v>
      </c>
      <c r="M501" s="30" t="str">
        <f>TR!J501</f>
        <v>Approved</v>
      </c>
      <c r="N501" s="31" t="str">
        <f>IF(OR(M501="Modified",M501="Cosmetic"),VLOOKUP(B501,PrevPFS!B$1:E$833,4,FALSE),"")</f>
        <v/>
      </c>
    </row>
    <row r="502" spans="1:14" ht="45" x14ac:dyDescent="0.25">
      <c r="A502" s="31" t="str">
        <f>IF(ISNONTEXT(TR!K502),"",TR!K502)</f>
        <v/>
      </c>
      <c r="B502" s="32" t="str">
        <f>TR!A502</f>
        <v>TR-DSRSW-1785</v>
      </c>
      <c r="C502" s="31" t="b">
        <f>ISERROR(FIND("-",TR!B502))</f>
        <v>1</v>
      </c>
      <c r="D502" s="31">
        <f>SetIndent(E502,(TR!C502-1)*2)</f>
        <v>4</v>
      </c>
      <c r="E502" s="35" t="str">
        <f>IF(ISERROR(FIND("-",TR!B502)),TR!B502&amp;" "&amp;TR!D502,TR!D502)</f>
        <v>21.3.6 Program Association (PAT)</v>
      </c>
      <c r="F502" s="31" t="str">
        <f>TR!E502</f>
        <v>Hdr</v>
      </c>
      <c r="G502" s="31" t="str">
        <f>IF(ISERROR(FIND("Adara",TR!F502)),"","Adara ")</f>
        <v xml:space="preserve">Adara </v>
      </c>
      <c r="H502" s="31" t="str">
        <f>IF(ISERROR(FIND("Copernicus",TR!F502)),"","Copernicus ")</f>
        <v xml:space="preserve">Copernicus </v>
      </c>
      <c r="I502" s="31" t="str">
        <f>IF(ISERROR(FIND("Deneb",TR!F502)),"","Deneb ")</f>
        <v xml:space="preserve">Deneb </v>
      </c>
      <c r="J502" s="37" t="str">
        <f t="shared" si="7"/>
        <v xml:space="preserve">Adara Copernicus Deneb </v>
      </c>
      <c r="K502" s="31" t="str">
        <f>IF(ISBLANK(TR!G502),"",TR!G502)</f>
        <v/>
      </c>
      <c r="L502" s="31" t="str">
        <f>IF(ISBLANK(TR!H502),"",TR!H502)</f>
        <v>FR-DSRSW-1397</v>
      </c>
      <c r="M502" s="30" t="str">
        <f>TR!J502</f>
        <v>Approved</v>
      </c>
      <c r="N502" s="31" t="str">
        <f>IF(OR(M502="Modified",M502="Cosmetic"),VLOOKUP(B502,PrevPFS!B$1:E$833,4,FALSE),"")</f>
        <v/>
      </c>
    </row>
    <row r="503" spans="1:14" ht="45" x14ac:dyDescent="0.25">
      <c r="A503" s="31" t="str">
        <f>IF(ISNONTEXT(TR!K503),"",TR!K503)</f>
        <v>TR-0-SRVCACQ-1228</v>
      </c>
      <c r="B503" s="32" t="str">
        <f>TR!A503</f>
        <v>TR-DSRSW-1786</v>
      </c>
      <c r="C503" s="31" t="b">
        <f>ISERROR(FIND("-",TR!B503))</f>
        <v>0</v>
      </c>
      <c r="D503" s="31">
        <f>SetIndent(E503,(TR!C503-1)*2)</f>
        <v>6</v>
      </c>
      <c r="E503" s="38" t="str">
        <f>IF(ISERROR(FIND("-",TR!B503)),TR!B503&amp;" "&amp;TR!D503,TR!D503)</f>
        <v xml:space="preserve">If an active A/V service is modified in the PAT, the product SHALL reacquire the service and notify the application client. </v>
      </c>
      <c r="F503" s="31" t="str">
        <f>TR!E503</f>
        <v>Req</v>
      </c>
      <c r="G503" s="31" t="str">
        <f>IF(ISERROR(FIND("Adara",TR!F503)),"","Adara ")</f>
        <v xml:space="preserve">Adara </v>
      </c>
      <c r="H503" s="31" t="str">
        <f>IF(ISERROR(FIND("Copernicus",TR!F503)),"","Copernicus ")</f>
        <v xml:space="preserve">Copernicus </v>
      </c>
      <c r="I503" s="31" t="str">
        <f>IF(ISERROR(FIND("Deneb",TR!F503)),"","Deneb ")</f>
        <v xml:space="preserve">Deneb </v>
      </c>
      <c r="J503" s="37" t="str">
        <f t="shared" si="7"/>
        <v xml:space="preserve">Adara Copernicus Deneb </v>
      </c>
      <c r="K503" s="31" t="str">
        <f>IF(ISBLANK(TR!G503),"",TR!G503)</f>
        <v/>
      </c>
      <c r="L503" s="31" t="str">
        <f>IF(ISBLANK(TR!H503),"",TR!H503)</f>
        <v>FR-DSRSW-1397</v>
      </c>
      <c r="M503" s="30" t="str">
        <f>TR!J503</f>
        <v>Approved</v>
      </c>
      <c r="N503" s="31" t="str">
        <f>IF(OR(M503="Modified",M503="Cosmetic"),VLOOKUP(B503,PrevPFS!B$1:E$833,4,FALSE),"")</f>
        <v/>
      </c>
    </row>
    <row r="504" spans="1:14" ht="45" x14ac:dyDescent="0.25">
      <c r="A504" s="31" t="str">
        <f>IF(ISNONTEXT(TR!K504),"",TR!K504)</f>
        <v/>
      </c>
      <c r="B504" s="32" t="str">
        <f>TR!A504</f>
        <v>TR-DSRSW-1787</v>
      </c>
      <c r="C504" s="31" t="b">
        <f>ISERROR(FIND("-",TR!B504))</f>
        <v>1</v>
      </c>
      <c r="D504" s="31">
        <f>SetIndent(E504,(TR!C504-1)*2)</f>
        <v>4</v>
      </c>
      <c r="E504" s="35" t="str">
        <f>IF(ISERROR(FIND("-",TR!B504)),TR!B504&amp;" "&amp;TR!D504,TR!D504)</f>
        <v>21.3.7 Program Map (PMT)</v>
      </c>
      <c r="F504" s="31" t="str">
        <f>TR!E504</f>
        <v>Hdr</v>
      </c>
      <c r="G504" s="31" t="str">
        <f>IF(ISERROR(FIND("Adara",TR!F504)),"","Adara ")</f>
        <v xml:space="preserve">Adara </v>
      </c>
      <c r="H504" s="31" t="str">
        <f>IF(ISERROR(FIND("Copernicus",TR!F504)),"","Copernicus ")</f>
        <v xml:space="preserve">Copernicus </v>
      </c>
      <c r="I504" s="31" t="str">
        <f>IF(ISERROR(FIND("Deneb",TR!F504)),"","Deneb ")</f>
        <v xml:space="preserve">Deneb </v>
      </c>
      <c r="J504" s="37" t="str">
        <f t="shared" si="7"/>
        <v xml:space="preserve">Adara Copernicus Deneb </v>
      </c>
      <c r="K504" s="31" t="str">
        <f>IF(ISBLANK(TR!G504),"",TR!G504)</f>
        <v/>
      </c>
      <c r="L504" s="31" t="str">
        <f>IF(ISBLANK(TR!H504),"",TR!H504)</f>
        <v>FR-DSRSW-1397</v>
      </c>
      <c r="M504" s="30" t="str">
        <f>TR!J504</f>
        <v>Approved</v>
      </c>
      <c r="N504" s="31" t="str">
        <f>IF(OR(M504="Modified",M504="Cosmetic"),VLOOKUP(B504,PrevPFS!B$1:E$833,4,FALSE),"")</f>
        <v/>
      </c>
    </row>
    <row r="505" spans="1:14" ht="45" x14ac:dyDescent="0.25">
      <c r="A505" s="31" t="str">
        <f>IF(ISNONTEXT(TR!K505),"",TR!K505)</f>
        <v>TR-0-SRVCACQ-1244</v>
      </c>
      <c r="B505" s="32" t="str">
        <f>TR!A505</f>
        <v>TR-DSRSW-1788</v>
      </c>
      <c r="C505" s="31" t="b">
        <f>ISERROR(FIND("-",TR!B505))</f>
        <v>0</v>
      </c>
      <c r="D505" s="31">
        <f>SetIndent(E505,(TR!C505-1)*2)</f>
        <v>6</v>
      </c>
      <c r="E505" s="38" t="str">
        <f>IF(ISERROR(FIND("-",TR!B505)),TR!B505&amp;" "&amp;TR!D505,TR!D505)</f>
        <v xml:space="preserve">If the PCR PID in the PMT changes for an A/V service, the product SHALL reacquire the A/V service. </v>
      </c>
      <c r="F505" s="31" t="str">
        <f>TR!E505</f>
        <v>Req</v>
      </c>
      <c r="G505" s="31" t="str">
        <f>IF(ISERROR(FIND("Adara",TR!F505)),"","Adara ")</f>
        <v xml:space="preserve">Adara </v>
      </c>
      <c r="H505" s="31" t="str">
        <f>IF(ISERROR(FIND("Copernicus",TR!F505)),"","Copernicus ")</f>
        <v xml:space="preserve">Copernicus </v>
      </c>
      <c r="I505" s="31" t="str">
        <f>IF(ISERROR(FIND("Deneb",TR!F505)),"","Deneb ")</f>
        <v xml:space="preserve">Deneb </v>
      </c>
      <c r="J505" s="37" t="str">
        <f t="shared" si="7"/>
        <v xml:space="preserve">Adara Copernicus Deneb </v>
      </c>
      <c r="K505" s="31" t="str">
        <f>IF(ISBLANK(TR!G505),"",TR!G505)</f>
        <v/>
      </c>
      <c r="L505" s="31" t="str">
        <f>IF(ISBLANK(TR!H505),"",TR!H505)</f>
        <v>FR-DSRSW-1397</v>
      </c>
      <c r="M505" s="30" t="str">
        <f>TR!J505</f>
        <v>Approved</v>
      </c>
      <c r="N505" s="31" t="str">
        <f>IF(OR(M505="Modified",M505="Cosmetic"),VLOOKUP(B505,PrevPFS!B$1:E$833,4,FALSE),"")</f>
        <v/>
      </c>
    </row>
    <row r="506" spans="1:14" ht="60" x14ac:dyDescent="0.25">
      <c r="A506" s="31" t="str">
        <f>IF(ISNONTEXT(TR!K506),"",TR!K506)</f>
        <v>TR-0-SRVCACQ-1244</v>
      </c>
      <c r="B506" s="32" t="str">
        <f>TR!A506</f>
        <v>TR-DSRSW-2563</v>
      </c>
      <c r="C506" s="31" t="b">
        <f>ISERROR(FIND("-",TR!B506))</f>
        <v>0</v>
      </c>
      <c r="D506" s="31">
        <f>SetIndent(E506,(TR!C506-1)*2)</f>
        <v>6</v>
      </c>
      <c r="E506" s="38" t="str">
        <f>IF(ISERROR(FIND("-",TR!B506)),TR!B506&amp;" "&amp;TR!D506,TR!D506)</f>
        <v>The product SHALL send valid PMT PID-to-elementary-stream association data to the application in response to tune request APIs.  (Note, in previous SW versions, unvisited channels in the VCT did not have cached PID values, thus, incorrect PMT PID values were sent).</v>
      </c>
      <c r="F506" s="31" t="str">
        <f>TR!E506</f>
        <v>Req</v>
      </c>
      <c r="G506" s="31" t="str">
        <f>IF(ISERROR(FIND("Adara",TR!F506)),"","Adara ")</f>
        <v/>
      </c>
      <c r="H506" s="31" t="str">
        <f>IF(ISERROR(FIND("Copernicus",TR!F506)),"","Copernicus ")</f>
        <v/>
      </c>
      <c r="I506" s="31" t="str">
        <f>IF(ISERROR(FIND("Deneb",TR!F506)),"","Deneb ")</f>
        <v xml:space="preserve">Deneb </v>
      </c>
      <c r="J506" s="37" t="str">
        <f t="shared" si="7"/>
        <v xml:space="preserve">Deneb </v>
      </c>
      <c r="K506" s="31" t="str">
        <f>IF(ISBLANK(TR!G506),"",TR!G506)</f>
        <v/>
      </c>
      <c r="L506" s="31" t="str">
        <f>IF(ISBLANK(TR!H506),"",TR!H506)</f>
        <v>FR-DSRSW-1397</v>
      </c>
      <c r="M506" s="30" t="str">
        <f>TR!J506</f>
        <v>Added</v>
      </c>
      <c r="N506" s="31" t="str">
        <f>IF(OR(M506="Modified",M506="Cosmetic"),VLOOKUP(B506,PrevPFS!B$1:E$833,4,FALSE),"")</f>
        <v/>
      </c>
    </row>
    <row r="507" spans="1:14" ht="45" x14ac:dyDescent="0.25">
      <c r="A507" s="31" t="str">
        <f>IF(ISNONTEXT(TR!K507),"",TR!K507)</f>
        <v/>
      </c>
      <c r="B507" s="32" t="str">
        <f>TR!A507</f>
        <v>TR-DSRSW-1754</v>
      </c>
      <c r="C507" s="31" t="b">
        <f>ISERROR(FIND("-",TR!B507))</f>
        <v>1</v>
      </c>
      <c r="D507" s="31">
        <f>SetIndent(E507,(TR!C507-1)*2)</f>
        <v>4</v>
      </c>
      <c r="E507" s="35" t="str">
        <f>IF(ISERROR(FIND("-",TR!B507)),TR!B507&amp;" "&amp;TR!D507,TR!D507)</f>
        <v>21.3.10 Channel Overrides</v>
      </c>
      <c r="F507" s="31" t="str">
        <f>TR!E507</f>
        <v>Hdr</v>
      </c>
      <c r="G507" s="31" t="str">
        <f>IF(ISERROR(FIND("Adara",TR!F507)),"","Adara ")</f>
        <v xml:space="preserve">Adara </v>
      </c>
      <c r="H507" s="31" t="str">
        <f>IF(ISERROR(FIND("Copernicus",TR!F507)),"","Copernicus ")</f>
        <v xml:space="preserve">Copernicus </v>
      </c>
      <c r="I507" s="31" t="str">
        <f>IF(ISERROR(FIND("Deneb",TR!F507)),"","Deneb ")</f>
        <v xml:space="preserve">Deneb </v>
      </c>
      <c r="J507" s="37" t="str">
        <f t="shared" si="7"/>
        <v xml:space="preserve">Adara Copernicus Deneb </v>
      </c>
      <c r="K507" s="31" t="str">
        <f>IF(ISBLANK(TR!G507),"",TR!G507)</f>
        <v/>
      </c>
      <c r="L507" s="31" t="str">
        <f>IF(ISBLANK(TR!H507),"",TR!H507)</f>
        <v>FR-DSRSW-1483</v>
      </c>
      <c r="M507" s="30" t="str">
        <f>TR!J507</f>
        <v>Approved</v>
      </c>
      <c r="N507" s="31" t="str">
        <f>IF(OR(M507="Modified",M507="Cosmetic"),VLOOKUP(B507,PrevPFS!B$1:E$833,4,FALSE),"")</f>
        <v/>
      </c>
    </row>
    <row r="508" spans="1:14" ht="60" x14ac:dyDescent="0.25">
      <c r="A508" s="31" t="str">
        <f>IF(ISNONTEXT(TR!K508),"",TR!K508)</f>
        <v>TR-0-SRVCACQ-1064</v>
      </c>
      <c r="B508" s="32" t="str">
        <f>TR!A508</f>
        <v>TR-DSRSW-1755</v>
      </c>
      <c r="C508" s="31" t="b">
        <f>ISERROR(FIND("-",TR!B508))</f>
        <v>0</v>
      </c>
      <c r="D508" s="31">
        <f>SetIndent(E508,(TR!C508-1)*2)</f>
        <v>6</v>
      </c>
      <c r="E508" s="38" t="str">
        <f>IF(ISERROR(FIND("-",TR!B508)),TR!B508&amp;" "&amp;TR!D508,TR!D508)</f>
        <v xml:space="preserve">If the platform is in control of tuning, the product SHALL retain the permanent definition of the virtual channel (base channel) that is being overidden for a particular inband service path in order to go back to the correct channel on that inband service path when the override action is concluded. </v>
      </c>
      <c r="F508" s="31" t="str">
        <f>TR!E508</f>
        <v>Req</v>
      </c>
      <c r="G508" s="31" t="str">
        <f>IF(ISERROR(FIND("Adara",TR!F508)),"","Adara ")</f>
        <v xml:space="preserve">Adara </v>
      </c>
      <c r="H508" s="31" t="str">
        <f>IF(ISERROR(FIND("Copernicus",TR!F508)),"","Copernicus ")</f>
        <v xml:space="preserve">Copernicus </v>
      </c>
      <c r="I508" s="31" t="str">
        <f>IF(ISERROR(FIND("Deneb",TR!F508)),"","Deneb ")</f>
        <v xml:space="preserve">Deneb </v>
      </c>
      <c r="J508" s="37" t="str">
        <f t="shared" si="7"/>
        <v xml:space="preserve">Adara Copernicus Deneb </v>
      </c>
      <c r="K508" s="31" t="str">
        <f>IF(ISBLANK(TR!G508),"",TR!G508)</f>
        <v/>
      </c>
      <c r="L508" s="31" t="str">
        <f>IF(ISBLANK(TR!H508),"",TR!H508)</f>
        <v>FR-DSRSW-1483</v>
      </c>
      <c r="M508" s="30" t="str">
        <f>TR!J508</f>
        <v>Approved</v>
      </c>
      <c r="N508" s="31" t="str">
        <f>IF(OR(M508="Modified",M508="Cosmetic"),VLOOKUP(B508,PrevPFS!B$1:E$833,4,FALSE),"")</f>
        <v/>
      </c>
    </row>
    <row r="509" spans="1:14" ht="45" x14ac:dyDescent="0.25">
      <c r="A509" s="31" t="str">
        <f>IF(ISNONTEXT(TR!K509),"",TR!K509)</f>
        <v>TR-0-SRVCACQ-1065</v>
      </c>
      <c r="B509" s="32" t="str">
        <f>TR!A509</f>
        <v>TR-DSRSW-1756</v>
      </c>
      <c r="C509" s="31" t="b">
        <f>ISERROR(FIND("-",TR!B509))</f>
        <v>0</v>
      </c>
      <c r="D509" s="31">
        <f>SetIndent(E509,(TR!C509-1)*2)</f>
        <v>6</v>
      </c>
      <c r="E509" s="38" t="str">
        <f>IF(ISERROR(FIND("-",TR!B509)),TR!B509&amp;" "&amp;TR!D509,TR!D509)</f>
        <v xml:space="preserve">The product SHALL support the dynamic changes to override definitions, so that an override may itself be overridden by a new channel definition for a particular inband service path. </v>
      </c>
      <c r="F509" s="31" t="str">
        <f>TR!E509</f>
        <v>Req</v>
      </c>
      <c r="G509" s="31" t="str">
        <f>IF(ISERROR(FIND("Adara",TR!F509)),"","Adara ")</f>
        <v xml:space="preserve">Adara </v>
      </c>
      <c r="H509" s="31" t="str">
        <f>IF(ISERROR(FIND("Copernicus",TR!F509)),"","Copernicus ")</f>
        <v xml:space="preserve">Copernicus </v>
      </c>
      <c r="I509" s="31" t="str">
        <f>IF(ISERROR(FIND("Deneb",TR!F509)),"","Deneb ")</f>
        <v xml:space="preserve">Deneb </v>
      </c>
      <c r="J509" s="37" t="str">
        <f t="shared" si="7"/>
        <v xml:space="preserve">Adara Copernicus Deneb </v>
      </c>
      <c r="K509" s="31" t="str">
        <f>IF(ISBLANK(TR!G509),"",TR!G509)</f>
        <v/>
      </c>
      <c r="L509" s="31" t="str">
        <f>IF(ISBLANK(TR!H509),"",TR!H509)</f>
        <v>FR-DSRSW-1483</v>
      </c>
      <c r="M509" s="30" t="str">
        <f>TR!J509</f>
        <v>Approved</v>
      </c>
      <c r="N509" s="31" t="str">
        <f>IF(OR(M509="Modified",M509="Cosmetic"),VLOOKUP(B509,PrevPFS!B$1:E$833,4,FALSE),"")</f>
        <v/>
      </c>
    </row>
    <row r="510" spans="1:14" ht="45" x14ac:dyDescent="0.25">
      <c r="A510" s="31" t="str">
        <f>IF(ISNONTEXT(TR!K510),"",TR!K510)</f>
        <v>TR-0-SRVCACQ-1066</v>
      </c>
      <c r="B510" s="32" t="str">
        <f>TR!A510</f>
        <v>TR-DSRSW-1757</v>
      </c>
      <c r="C510" s="31" t="b">
        <f>ISERROR(FIND("-",TR!B510))</f>
        <v>0</v>
      </c>
      <c r="D510" s="31">
        <f>SetIndent(E510,(TR!C510-1)*2)</f>
        <v>6</v>
      </c>
      <c r="E510" s="38" t="str">
        <f>IF(ISERROR(FIND("-",TR!B510)),TR!B510&amp;" "&amp;TR!D510,TR!D510)</f>
        <v xml:space="preserve">The product SHALL support pending channel overrides with queue overrides that will occur at a given future time for all inband service paths. </v>
      </c>
      <c r="F510" s="31" t="str">
        <f>TR!E510</f>
        <v>Req</v>
      </c>
      <c r="G510" s="31" t="str">
        <f>IF(ISERROR(FIND("Adara",TR!F510)),"","Adara ")</f>
        <v xml:space="preserve">Adara </v>
      </c>
      <c r="H510" s="31" t="str">
        <f>IF(ISERROR(FIND("Copernicus",TR!F510)),"","Copernicus ")</f>
        <v xml:space="preserve">Copernicus </v>
      </c>
      <c r="I510" s="31" t="str">
        <f>IF(ISERROR(FIND("Deneb",TR!F510)),"","Deneb ")</f>
        <v xml:space="preserve">Deneb </v>
      </c>
      <c r="J510" s="37" t="str">
        <f t="shared" si="7"/>
        <v xml:space="preserve">Adara Copernicus Deneb </v>
      </c>
      <c r="K510" s="31" t="str">
        <f>IF(ISBLANK(TR!G510),"",TR!G510)</f>
        <v/>
      </c>
      <c r="L510" s="31" t="str">
        <f>IF(ISBLANK(TR!H510),"",TR!H510)</f>
        <v>FR-DSRSW-1483</v>
      </c>
      <c r="M510" s="30" t="str">
        <f>TR!J510</f>
        <v>Approved</v>
      </c>
      <c r="N510" s="31" t="str">
        <f>IF(OR(M510="Modified",M510="Cosmetic"),VLOOKUP(B510,PrevPFS!B$1:E$833,4,FALSE),"")</f>
        <v/>
      </c>
    </row>
    <row r="511" spans="1:14" ht="45" x14ac:dyDescent="0.25">
      <c r="A511" s="31" t="str">
        <f>IF(ISNONTEXT(TR!K511),"",TR!K511)</f>
        <v>TR-0-SRVCACQ-1070</v>
      </c>
      <c r="B511" s="32" t="str">
        <f>TR!A511</f>
        <v>TR-DSRSW-1758</v>
      </c>
      <c r="C511" s="31" t="b">
        <f>ISERROR(FIND("-",TR!B511))</f>
        <v>0</v>
      </c>
      <c r="D511" s="31">
        <f>SetIndent(E511,(TR!C511-1)*2)</f>
        <v>6</v>
      </c>
      <c r="E511" s="38" t="str">
        <f>IF(ISERROR(FIND("-",TR!B511)),TR!B511&amp;" "&amp;TR!D511,TR!D511)</f>
        <v xml:space="preserve">The product SHALL maintain an activation time queue for each individual inband service path and use this queue for channel overrides that must be activated in the future.  </v>
      </c>
      <c r="F511" s="31" t="str">
        <f>TR!E511</f>
        <v>Req</v>
      </c>
      <c r="G511" s="31" t="str">
        <f>IF(ISERROR(FIND("Adara",TR!F511)),"","Adara ")</f>
        <v xml:space="preserve">Adara </v>
      </c>
      <c r="H511" s="31" t="str">
        <f>IF(ISERROR(FIND("Copernicus",TR!F511)),"","Copernicus ")</f>
        <v xml:space="preserve">Copernicus </v>
      </c>
      <c r="I511" s="31" t="str">
        <f>IF(ISERROR(FIND("Deneb",TR!F511)),"","Deneb ")</f>
        <v xml:space="preserve">Deneb </v>
      </c>
      <c r="J511" s="37" t="str">
        <f t="shared" si="7"/>
        <v xml:space="preserve">Adara Copernicus Deneb </v>
      </c>
      <c r="K511" s="31" t="str">
        <f>IF(ISBLANK(TR!G511),"",TR!G511)</f>
        <v/>
      </c>
      <c r="L511" s="31" t="str">
        <f>IF(ISBLANK(TR!H511),"",TR!H511)</f>
        <v>FR-DSRSW-1483</v>
      </c>
      <c r="M511" s="30" t="str">
        <f>TR!J511</f>
        <v>Approved</v>
      </c>
      <c r="N511" s="31" t="str">
        <f>IF(OR(M511="Modified",M511="Cosmetic"),VLOOKUP(B511,PrevPFS!B$1:E$833,4,FALSE),"")</f>
        <v/>
      </c>
    </row>
    <row r="512" spans="1:14" ht="45" x14ac:dyDescent="0.25">
      <c r="A512" s="31" t="str">
        <f>IF(ISNONTEXT(TR!K512),"",TR!K512)</f>
        <v/>
      </c>
      <c r="B512" s="32" t="str">
        <f>TR!A512</f>
        <v>TR-DSRSW-1759</v>
      </c>
      <c r="C512" s="31" t="b">
        <f>ISERROR(FIND("-",TR!B512))</f>
        <v>0</v>
      </c>
      <c r="D512" s="31">
        <f>SetIndent(E512,(TR!C512-1)*2)</f>
        <v>6</v>
      </c>
      <c r="E512" s="38" t="str">
        <f>IF(ISERROR(FIND("-",TR!B512)),TR!B512&amp;" "&amp;TR!D512,TR!D512)</f>
        <v xml:space="preserve">A channel override for a particular inband service path must have the same VCT_ID as the system's VCT_ID.  </v>
      </c>
      <c r="F512" s="31" t="str">
        <f>TR!E512</f>
        <v>Com</v>
      </c>
      <c r="G512" s="31" t="str">
        <f>IF(ISERROR(FIND("Adara",TR!F512)),"","Adara ")</f>
        <v xml:space="preserve">Adara </v>
      </c>
      <c r="H512" s="31" t="str">
        <f>IF(ISERROR(FIND("Copernicus",TR!F512)),"","Copernicus ")</f>
        <v xml:space="preserve">Copernicus </v>
      </c>
      <c r="I512" s="31" t="str">
        <f>IF(ISERROR(FIND("Deneb",TR!F512)),"","Deneb ")</f>
        <v xml:space="preserve">Deneb </v>
      </c>
      <c r="J512" s="37" t="str">
        <f t="shared" si="7"/>
        <v xml:space="preserve">Adara Copernicus Deneb </v>
      </c>
      <c r="K512" s="31" t="str">
        <f>IF(ISBLANK(TR!G512),"",TR!G512)</f>
        <v/>
      </c>
      <c r="L512" s="31" t="str">
        <f>IF(ISBLANK(TR!H512),"",TR!H512)</f>
        <v>FR-DSRSW-1483</v>
      </c>
      <c r="M512" s="30" t="str">
        <f>TR!J512</f>
        <v>Approved</v>
      </c>
      <c r="N512" s="31" t="str">
        <f>IF(OR(M512="Modified",M512="Cosmetic"),VLOOKUP(B512,PrevPFS!B$1:E$833,4,FALSE),"")</f>
        <v/>
      </c>
    </row>
    <row r="513" spans="1:14" ht="45" x14ac:dyDescent="0.25">
      <c r="A513" s="31" t="str">
        <f>IF(ISNONTEXT(TR!K513),"",TR!K513)</f>
        <v>TR-0-SRVCACQ-1103</v>
      </c>
      <c r="B513" s="32" t="str">
        <f>TR!A513</f>
        <v>TR-DSRSW-1760</v>
      </c>
      <c r="C513" s="31" t="b">
        <f>ISERROR(FIND("-",TR!B513))</f>
        <v>0</v>
      </c>
      <c r="D513" s="31">
        <f>SetIndent(E513,(TR!C513-1)*2)</f>
        <v>6</v>
      </c>
      <c r="E513" s="38" t="str">
        <f>IF(ISERROR(FIND("-",TR!B513)),TR!B513&amp;" "&amp;TR!D513,TR!D513)</f>
        <v xml:space="preserve">The product SHALL filter out channel override for a particular inband service path if the VCT_ID is different from the system's VCT_ID, and the VCT_ID of the channel override isn't zero (wildcard). </v>
      </c>
      <c r="F513" s="31" t="str">
        <f>TR!E513</f>
        <v>Req</v>
      </c>
      <c r="G513" s="31" t="str">
        <f>IF(ISERROR(FIND("Adara",TR!F513)),"","Adara ")</f>
        <v xml:space="preserve">Adara </v>
      </c>
      <c r="H513" s="31" t="str">
        <f>IF(ISERROR(FIND("Copernicus",TR!F513)),"","Copernicus ")</f>
        <v xml:space="preserve">Copernicus </v>
      </c>
      <c r="I513" s="31" t="str">
        <f>IF(ISERROR(FIND("Deneb",TR!F513)),"","Deneb ")</f>
        <v xml:space="preserve">Deneb </v>
      </c>
      <c r="J513" s="37" t="str">
        <f t="shared" si="7"/>
        <v xml:space="preserve">Adara Copernicus Deneb </v>
      </c>
      <c r="K513" s="31" t="str">
        <f>IF(ISBLANK(TR!G513),"",TR!G513)</f>
        <v/>
      </c>
      <c r="L513" s="31" t="str">
        <f>IF(ISBLANK(TR!H513),"",TR!H513)</f>
        <v>FR-DSRSW-1483</v>
      </c>
      <c r="M513" s="30" t="str">
        <f>TR!J513</f>
        <v>Approved</v>
      </c>
      <c r="N513" s="31" t="str">
        <f>IF(OR(M513="Modified",M513="Cosmetic"),VLOOKUP(B513,PrevPFS!B$1:E$833,4,FALSE),"")</f>
        <v/>
      </c>
    </row>
    <row r="514" spans="1:14" ht="45" x14ac:dyDescent="0.25">
      <c r="A514" s="31" t="str">
        <f>IF(ISNONTEXT(TR!K514),"",TR!K514)</f>
        <v>TR-0-SRVCACQ-1271</v>
      </c>
      <c r="B514" s="32" t="str">
        <f>TR!A514</f>
        <v>TR-DSRSW-1761</v>
      </c>
      <c r="C514" s="31" t="b">
        <f>ISERROR(FIND("-",TR!B514))</f>
        <v>0</v>
      </c>
      <c r="D514" s="31">
        <f>SetIndent(E514,(TR!C514-1)*2)</f>
        <v>6</v>
      </c>
      <c r="E514" s="38" t="str">
        <f>IF(ISERROR(FIND("-",TR!B514)),TR!B514&amp;" "&amp;TR!D514,TR!D514)</f>
        <v>The product SHALL accept a Channel Override Message only if the IRD is subject to the specified message preamble condition(s) for the start time in question. (Note, preamble conditions are typically one or two geographic circles).</v>
      </c>
      <c r="F514" s="31" t="str">
        <f>TR!E514</f>
        <v>Req</v>
      </c>
      <c r="G514" s="31" t="str">
        <f>IF(ISERROR(FIND("Adara",TR!F514)),"","Adara ")</f>
        <v xml:space="preserve">Adara </v>
      </c>
      <c r="H514" s="31" t="str">
        <f>IF(ISERROR(FIND("Copernicus",TR!F514)),"","Copernicus ")</f>
        <v xml:space="preserve">Copernicus </v>
      </c>
      <c r="I514" s="31" t="str">
        <f>IF(ISERROR(FIND("Deneb",TR!F514)),"","Deneb ")</f>
        <v xml:space="preserve">Deneb </v>
      </c>
      <c r="J514" s="37" t="str">
        <f t="shared" si="7"/>
        <v xml:space="preserve">Adara Copernicus Deneb </v>
      </c>
      <c r="K514" s="31" t="str">
        <f>IF(ISBLANK(TR!G514),"",TR!G514)</f>
        <v/>
      </c>
      <c r="L514" s="31" t="str">
        <f>IF(ISBLANK(TR!H514),"",TR!H514)</f>
        <v>FR-DSRSW-1483</v>
      </c>
      <c r="M514" s="30" t="str">
        <f>TR!J514</f>
        <v>Approved</v>
      </c>
      <c r="N514" s="31" t="str">
        <f>IF(OR(M514="Modified",M514="Cosmetic"),VLOOKUP(B514,PrevPFS!B$1:E$833,4,FALSE),"")</f>
        <v/>
      </c>
    </row>
    <row r="515" spans="1:14" ht="75" x14ac:dyDescent="0.25">
      <c r="A515" s="31" t="str">
        <f>IF(ISNONTEXT(TR!K515),"",TR!K515)</f>
        <v>TR-0-SRVCACQ-1285</v>
      </c>
      <c r="B515" s="32" t="str">
        <f>TR!A515</f>
        <v>TR-DSRSW-1762</v>
      </c>
      <c r="C515" s="31" t="b">
        <f>ISERROR(FIND("-",TR!B515))</f>
        <v>0</v>
      </c>
      <c r="D515" s="31">
        <f>SetIndent(E515,(TR!C515-1)*2)</f>
        <v>6</v>
      </c>
      <c r="E515" s="38" t="str">
        <f>IF(ISERROR(FIND("-",TR!B515)),TR!B515&amp;" "&amp;TR!D515,TR!D515)</f>
        <v>The product SHALL support the Channel Override Message with one or more of the following preamble conditions:
	Tier Match
	Circle Test
	Region</v>
      </c>
      <c r="F515" s="31" t="str">
        <f>TR!E515</f>
        <v>Req</v>
      </c>
      <c r="G515" s="31" t="str">
        <f>IF(ISERROR(FIND("Adara",TR!F515)),"","Adara ")</f>
        <v xml:space="preserve">Adara </v>
      </c>
      <c r="H515" s="31" t="str">
        <f>IF(ISERROR(FIND("Copernicus",TR!F515)),"","Copernicus ")</f>
        <v xml:space="preserve">Copernicus </v>
      </c>
      <c r="I515" s="31" t="str">
        <f>IF(ISERROR(FIND("Deneb",TR!F515)),"","Deneb ")</f>
        <v xml:space="preserve">Deneb </v>
      </c>
      <c r="J515" s="37" t="str">
        <f t="shared" ref="J515:J578" si="8">G515&amp;H515&amp;I515</f>
        <v xml:space="preserve">Adara Copernicus Deneb </v>
      </c>
      <c r="K515" s="31" t="str">
        <f>IF(ISBLANK(TR!G515),"",TR!G515)</f>
        <v/>
      </c>
      <c r="L515" s="31" t="str">
        <f>IF(ISBLANK(TR!H515),"",TR!H515)</f>
        <v>FR-DSRSW-1483</v>
      </c>
      <c r="M515" s="30" t="str">
        <f>TR!J515</f>
        <v>Approved</v>
      </c>
      <c r="N515" s="31" t="str">
        <f>IF(OR(M515="Modified",M515="Cosmetic"),VLOOKUP(B515,PrevPFS!B$1:E$833,4,FALSE),"")</f>
        <v/>
      </c>
    </row>
    <row r="516" spans="1:14" ht="45" x14ac:dyDescent="0.25">
      <c r="A516" s="31" t="str">
        <f>IF(ISNONTEXT(TR!K516),"",TR!K516)</f>
        <v>TR-0-SRVCACQ-1272</v>
      </c>
      <c r="B516" s="32" t="str">
        <f>TR!A516</f>
        <v>TR-DSRSW-1763</v>
      </c>
      <c r="C516" s="31" t="b">
        <f>ISERROR(FIND("-",TR!B516))</f>
        <v>0</v>
      </c>
      <c r="D516" s="31">
        <f>SetIndent(E516,(TR!C516-1)*2)</f>
        <v>6</v>
      </c>
      <c r="E516" s="38" t="str">
        <f>IF(ISERROR(FIND("-",TR!B516)),TR!B516&amp;" "&amp;TR!D516,TR!D516)</f>
        <v>The product SHALL only accept Channel Override Messages where the enumerated type transmission_medium indicates a "reseved10" transmission medium.</v>
      </c>
      <c r="F516" s="31" t="str">
        <f>TR!E516</f>
        <v>Req</v>
      </c>
      <c r="G516" s="31" t="str">
        <f>IF(ISERROR(FIND("Adara",TR!F516)),"","Adara ")</f>
        <v xml:space="preserve">Adara </v>
      </c>
      <c r="H516" s="31" t="str">
        <f>IF(ISERROR(FIND("Copernicus",TR!F516)),"","Copernicus ")</f>
        <v xml:space="preserve">Copernicus </v>
      </c>
      <c r="I516" s="31" t="str">
        <f>IF(ISERROR(FIND("Deneb",TR!F516)),"","Deneb ")</f>
        <v xml:space="preserve">Deneb </v>
      </c>
      <c r="J516" s="37" t="str">
        <f t="shared" si="8"/>
        <v xml:space="preserve">Adara Copernicus Deneb </v>
      </c>
      <c r="K516" s="31" t="str">
        <f>IF(ISBLANK(TR!G516),"",TR!G516)</f>
        <v/>
      </c>
      <c r="L516" s="31" t="str">
        <f>IF(ISBLANK(TR!H516),"",TR!H516)</f>
        <v>FR-DSRSW-1483</v>
      </c>
      <c r="M516" s="30" t="str">
        <f>TR!J516</f>
        <v>Approved</v>
      </c>
      <c r="N516" s="31" t="str">
        <f>IF(OR(M516="Modified",M516="Cosmetic"),VLOOKUP(B516,PrevPFS!B$1:E$833,4,FALSE),"")</f>
        <v/>
      </c>
    </row>
    <row r="517" spans="1:14" ht="45" x14ac:dyDescent="0.25">
      <c r="A517" s="31" t="str">
        <f>IF(ISNONTEXT(TR!K517),"",TR!K517)</f>
        <v>TR-0-SRVCACQ-1273</v>
      </c>
      <c r="B517" s="32" t="str">
        <f>TR!A517</f>
        <v>TR-DSRSW-1764</v>
      </c>
      <c r="C517" s="31" t="b">
        <f>ISERROR(FIND("-",TR!B517))</f>
        <v>0</v>
      </c>
      <c r="D517" s="31">
        <f>SetIndent(E517,(TR!C517-1)*2)</f>
        <v>6</v>
      </c>
      <c r="E517" s="38" t="str">
        <f>IF(ISERROR(FIND("-",TR!B517)),TR!B517&amp;" "&amp;TR!D517,TR!D517)</f>
        <v>The product SHALL, in the case of contending active channel overrides with different activation times, accept Channel Override Messages with the later activation time.</v>
      </c>
      <c r="F517" s="31" t="str">
        <f>TR!E517</f>
        <v>Req</v>
      </c>
      <c r="G517" s="31" t="str">
        <f>IF(ISERROR(FIND("Adara",TR!F517)),"","Adara ")</f>
        <v xml:space="preserve">Adara </v>
      </c>
      <c r="H517" s="31" t="str">
        <f>IF(ISERROR(FIND("Copernicus",TR!F517)),"","Copernicus ")</f>
        <v xml:space="preserve">Copernicus </v>
      </c>
      <c r="I517" s="31" t="str">
        <f>IF(ISERROR(FIND("Deneb",TR!F517)),"","Deneb ")</f>
        <v xml:space="preserve">Deneb </v>
      </c>
      <c r="J517" s="37" t="str">
        <f t="shared" si="8"/>
        <v xml:space="preserve">Adara Copernicus Deneb </v>
      </c>
      <c r="K517" s="31" t="str">
        <f>IF(ISBLANK(TR!G517),"",TR!G517)</f>
        <v/>
      </c>
      <c r="L517" s="31" t="str">
        <f>IF(ISBLANK(TR!H517),"",TR!H517)</f>
        <v>FR-DSRSW-1483</v>
      </c>
      <c r="M517" s="30" t="str">
        <f>TR!J517</f>
        <v>Approved</v>
      </c>
      <c r="N517" s="31" t="str">
        <f>IF(OR(M517="Modified",M517="Cosmetic"),VLOOKUP(B517,PrevPFS!B$1:E$833,4,FALSE),"")</f>
        <v/>
      </c>
    </row>
    <row r="518" spans="1:14" ht="45" x14ac:dyDescent="0.25">
      <c r="A518" s="31" t="str">
        <f>IF(ISNONTEXT(TR!K518),"",TR!K518)</f>
        <v>TR-0-SRVCACQ-1275</v>
      </c>
      <c r="B518" s="32" t="str">
        <f>TR!A518</f>
        <v>TR-DSRSW-1765</v>
      </c>
      <c r="C518" s="31" t="b">
        <f>ISERROR(FIND("-",TR!B518))</f>
        <v>0</v>
      </c>
      <c r="D518" s="31">
        <f>SetIndent(E518,(TR!C518-1)*2)</f>
        <v>6</v>
      </c>
      <c r="E518" s="38" t="str">
        <f>IF(ISERROR(FIND("-",TR!B518)),TR!B518&amp;" "&amp;TR!D518,TR!D518)</f>
        <v>The product SHALL, in the case of contending active channel overrides with the same activation time, accept the last received Channel Override Messages.</v>
      </c>
      <c r="F518" s="31" t="str">
        <f>TR!E518</f>
        <v>Req</v>
      </c>
      <c r="G518" s="31" t="str">
        <f>IF(ISERROR(FIND("Adara",TR!F518)),"","Adara ")</f>
        <v xml:space="preserve">Adara </v>
      </c>
      <c r="H518" s="31" t="str">
        <f>IF(ISERROR(FIND("Copernicus",TR!F518)),"","Copernicus ")</f>
        <v xml:space="preserve">Copernicus </v>
      </c>
      <c r="I518" s="31" t="str">
        <f>IF(ISERROR(FIND("Deneb",TR!F518)),"","Deneb ")</f>
        <v xml:space="preserve">Deneb </v>
      </c>
      <c r="J518" s="37" t="str">
        <f t="shared" si="8"/>
        <v xml:space="preserve">Adara Copernicus Deneb </v>
      </c>
      <c r="K518" s="31" t="str">
        <f>IF(ISBLANK(TR!G518),"",TR!G518)</f>
        <v/>
      </c>
      <c r="L518" s="31" t="str">
        <f>IF(ISBLANK(TR!H518),"",TR!H518)</f>
        <v>FR-DSRSW-1483</v>
      </c>
      <c r="M518" s="30" t="str">
        <f>TR!J518</f>
        <v>Approved</v>
      </c>
      <c r="N518" s="31" t="str">
        <f>IF(OR(M518="Modified",M518="Cosmetic"),VLOOKUP(B518,PrevPFS!B$1:E$833,4,FALSE),"")</f>
        <v/>
      </c>
    </row>
    <row r="519" spans="1:14" ht="45" x14ac:dyDescent="0.25">
      <c r="A519" s="31" t="str">
        <f>IF(ISNONTEXT(TR!K519),"",TR!K519)</f>
        <v>TR-0-SRVCACQ-1275</v>
      </c>
      <c r="B519" s="32" t="str">
        <f>TR!A519</f>
        <v>TR-DSRSW-2478</v>
      </c>
      <c r="C519" s="31" t="b">
        <f>ISERROR(FIND("-",TR!B519))</f>
        <v>0</v>
      </c>
      <c r="D519" s="31">
        <f>SetIndent(E519,(TR!C519-1)*2)</f>
        <v>6</v>
      </c>
      <c r="E519" s="38" t="str">
        <f>IF(ISERROR(FIND("-",TR!B519)),TR!B519&amp;" "&amp;TR!D519,TR!D519)</f>
        <v xml:space="preserve">The product SHALL cancel the channel override if the applicable Channel Override Message contains a override_duration of zero, tuning to the definition given in the channel map. </v>
      </c>
      <c r="F519" s="31" t="str">
        <f>TR!E519</f>
        <v>Req</v>
      </c>
      <c r="G519" s="31" t="str">
        <f>IF(ISERROR(FIND("Adara",TR!F519)),"","Adara ")</f>
        <v xml:space="preserve">Adara </v>
      </c>
      <c r="H519" s="31" t="str">
        <f>IF(ISERROR(FIND("Copernicus",TR!F519)),"","Copernicus ")</f>
        <v xml:space="preserve">Copernicus </v>
      </c>
      <c r="I519" s="31" t="str">
        <f>IF(ISERROR(FIND("Deneb",TR!F519)),"","Deneb ")</f>
        <v xml:space="preserve">Deneb </v>
      </c>
      <c r="J519" s="37" t="str">
        <f t="shared" si="8"/>
        <v xml:space="preserve">Adara Copernicus Deneb </v>
      </c>
      <c r="K519" s="31" t="str">
        <f>IF(ISBLANK(TR!G519),"",TR!G519)</f>
        <v/>
      </c>
      <c r="L519" s="31" t="str">
        <f>IF(ISBLANK(TR!H519),"",TR!H519)</f>
        <v>FR-DSRSW-1483</v>
      </c>
      <c r="M519" s="30" t="str">
        <f>TR!J519</f>
        <v>Approved</v>
      </c>
      <c r="N519" s="31" t="str">
        <f>IF(OR(M519="Modified",M519="Cosmetic"),VLOOKUP(B519,PrevPFS!B$1:E$833,4,FALSE),"")</f>
        <v/>
      </c>
    </row>
    <row r="520" spans="1:14" ht="45" x14ac:dyDescent="0.25">
      <c r="A520" s="31" t="str">
        <f>IF(ISNONTEXT(TR!K520),"",TR!K520)</f>
        <v/>
      </c>
      <c r="B520" s="32" t="str">
        <f>TR!A520</f>
        <v>TR-DSRSW-2474</v>
      </c>
      <c r="C520" s="31" t="b">
        <f>ISERROR(FIND("-",TR!B520))</f>
        <v>1</v>
      </c>
      <c r="D520" s="31">
        <f>SetIndent(E520,(TR!C520-1)*2)</f>
        <v>4</v>
      </c>
      <c r="E520" s="35" t="str">
        <f>IF(ISERROR(FIND("-",TR!B520)),TR!B520&amp;" "&amp;TR!D520,TR!D520)</f>
        <v>21.3.11 Standby Message Processing</v>
      </c>
      <c r="F520" s="31" t="str">
        <f>TR!E520</f>
        <v>Hdr</v>
      </c>
      <c r="G520" s="31" t="str">
        <f>IF(ISERROR(FIND("Adara",TR!F520)),"","Adara ")</f>
        <v xml:space="preserve">Adara </v>
      </c>
      <c r="H520" s="31" t="str">
        <f>IF(ISERROR(FIND("Copernicus",TR!F520)),"","Copernicus ")</f>
        <v xml:space="preserve">Copernicus </v>
      </c>
      <c r="I520" s="31" t="str">
        <f>IF(ISERROR(FIND("Deneb",TR!F520)),"","Deneb ")</f>
        <v xml:space="preserve">Deneb </v>
      </c>
      <c r="J520" s="37" t="str">
        <f t="shared" si="8"/>
        <v xml:space="preserve">Adara Copernicus Deneb </v>
      </c>
      <c r="K520" s="31" t="str">
        <f>IF(ISBLANK(TR!G520),"",TR!G520)</f>
        <v/>
      </c>
      <c r="L520" s="31" t="str">
        <f>IF(ISBLANK(TR!H520),"",TR!H520)</f>
        <v>FR-DSRSW-1483</v>
      </c>
      <c r="M520" s="30" t="str">
        <f>TR!J520</f>
        <v>Approved</v>
      </c>
      <c r="N520" s="31" t="str">
        <f>IF(OR(M520="Modified",M520="Cosmetic"),VLOOKUP(B520,PrevPFS!B$1:E$833,4,FALSE),"")</f>
        <v/>
      </c>
    </row>
    <row r="521" spans="1:14" ht="45" x14ac:dyDescent="0.25">
      <c r="A521" s="31" t="str">
        <f>IF(ISNONTEXT(TR!K521),"",TR!K521)</f>
        <v>TR-0-SRVCACQ-1205</v>
      </c>
      <c r="B521" s="32" t="str">
        <f>TR!A521</f>
        <v>TR-DSRSW-2476</v>
      </c>
      <c r="C521" s="31" t="b">
        <f>ISERROR(FIND("-",TR!B521))</f>
        <v>0</v>
      </c>
      <c r="D521" s="31">
        <f>SetIndent(E521,(TR!C521-1)*2)</f>
        <v>6</v>
      </c>
      <c r="E521" s="38" t="str">
        <f>IF(ISERROR(FIND("-",TR!B521)),TR!B521&amp;" "&amp;TR!D521,TR!D521)</f>
        <v>The product SHALL, while in standby mode, continue to support DCII Network Message processing.</v>
      </c>
      <c r="F521" s="31" t="str">
        <f>TR!E521</f>
        <v>Req</v>
      </c>
      <c r="G521" s="31" t="str">
        <f>IF(ISERROR(FIND("Adara",TR!F521)),"","Adara ")</f>
        <v xml:space="preserve">Adara </v>
      </c>
      <c r="H521" s="31" t="str">
        <f>IF(ISERROR(FIND("Copernicus",TR!F521)),"","Copernicus ")</f>
        <v xml:space="preserve">Copernicus </v>
      </c>
      <c r="I521" s="31" t="str">
        <f>IF(ISERROR(FIND("Deneb",TR!F521)),"","Deneb ")</f>
        <v xml:space="preserve">Deneb </v>
      </c>
      <c r="J521" s="37" t="str">
        <f t="shared" si="8"/>
        <v xml:space="preserve">Adara Copernicus Deneb </v>
      </c>
      <c r="K521" s="31" t="str">
        <f>IF(ISBLANK(TR!G521),"",TR!G521)</f>
        <v/>
      </c>
      <c r="L521" s="31" t="str">
        <f>IF(ISBLANK(TR!H521),"",TR!H521)</f>
        <v>FR-DSRSW-1397</v>
      </c>
      <c r="M521" s="30" t="str">
        <f>TR!J521</f>
        <v>Approved</v>
      </c>
      <c r="N521" s="31" t="str">
        <f>IF(OR(M521="Modified",M521="Cosmetic"),VLOOKUP(B521,PrevPFS!B$1:E$833,4,FALSE),"")</f>
        <v/>
      </c>
    </row>
    <row r="522" spans="1:14" ht="45" x14ac:dyDescent="0.25">
      <c r="A522" s="31" t="str">
        <f>IF(ISNONTEXT(TR!K522),"",TR!K522)</f>
        <v>TR-0-SRVCACQ-1205</v>
      </c>
      <c r="B522" s="32" t="str">
        <f>TR!A522</f>
        <v>TR-DSRSW-2477</v>
      </c>
      <c r="C522" s="31" t="b">
        <f>ISERROR(FIND("-",TR!B522))</f>
        <v>0</v>
      </c>
      <c r="D522" s="31">
        <f>SetIndent(E522,(TR!C522-1)*2)</f>
        <v>6</v>
      </c>
      <c r="E522" s="38" t="str">
        <f>IF(ISERROR(FIND("-",TR!B522)),TR!B522&amp;" "&amp;TR!D522,TR!D522)</f>
        <v>The product SHALL, while in standby mode, continue to support DCII Service Control Channel message processing.</v>
      </c>
      <c r="F522" s="31" t="str">
        <f>TR!E522</f>
        <v>Req</v>
      </c>
      <c r="G522" s="31" t="str">
        <f>IF(ISERROR(FIND("Adara",TR!F522)),"","Adara ")</f>
        <v xml:space="preserve">Adara </v>
      </c>
      <c r="H522" s="31" t="str">
        <f>IF(ISERROR(FIND("Copernicus",TR!F522)),"","Copernicus ")</f>
        <v xml:space="preserve">Copernicus </v>
      </c>
      <c r="I522" s="31" t="str">
        <f>IF(ISERROR(FIND("Deneb",TR!F522)),"","Deneb ")</f>
        <v xml:space="preserve">Deneb </v>
      </c>
      <c r="J522" s="37" t="str">
        <f t="shared" si="8"/>
        <v xml:space="preserve">Adara Copernicus Deneb </v>
      </c>
      <c r="K522" s="31" t="str">
        <f>IF(ISBLANK(TR!G522),"",TR!G522)</f>
        <v/>
      </c>
      <c r="L522" s="31" t="str">
        <f>IF(ISBLANK(TR!H522),"",TR!H522)</f>
        <v>FR-DSRSW-1397</v>
      </c>
      <c r="M522" s="30" t="str">
        <f>TR!J522</f>
        <v>Approved</v>
      </c>
      <c r="N522" s="31" t="str">
        <f>IF(OR(M522="Modified",M522="Cosmetic"),VLOOKUP(B522,PrevPFS!B$1:E$833,4,FALSE),"")</f>
        <v/>
      </c>
    </row>
    <row r="523" spans="1:14" ht="45" x14ac:dyDescent="0.25">
      <c r="A523" s="31" t="str">
        <f>IF(ISNONTEXT(TR!K523),"",TR!K523)</f>
        <v>FR-TUNTD-1084</v>
      </c>
      <c r="B523" s="32" t="str">
        <f>TR!A523</f>
        <v>TR-DSRSW-1802</v>
      </c>
      <c r="C523" s="31" t="b">
        <f>ISERROR(FIND("-",TR!B523))</f>
        <v>1</v>
      </c>
      <c r="D523" s="31">
        <f>SetIndent(E523,(TR!C523-1)*2)</f>
        <v>2</v>
      </c>
      <c r="E523" s="34" t="str">
        <f>IF(ISERROR(FIND("-",TR!B523)),TR!B523&amp;" "&amp;TR!D523,TR!D523)</f>
        <v>21.4 Channel Map Storage</v>
      </c>
      <c r="F523" s="31" t="str">
        <f>TR!E523</f>
        <v>Hdr</v>
      </c>
      <c r="G523" s="31" t="str">
        <f>IF(ISERROR(FIND("Adara",TR!F523)),"","Adara ")</f>
        <v xml:space="preserve">Adara </v>
      </c>
      <c r="H523" s="31" t="str">
        <f>IF(ISERROR(FIND("Copernicus",TR!F523)),"","Copernicus ")</f>
        <v xml:space="preserve">Copernicus </v>
      </c>
      <c r="I523" s="31" t="str">
        <f>IF(ISERROR(FIND("Deneb",TR!F523)),"","Deneb ")</f>
        <v xml:space="preserve">Deneb </v>
      </c>
      <c r="J523" s="37" t="str">
        <f t="shared" si="8"/>
        <v xml:space="preserve">Adara Copernicus Deneb </v>
      </c>
      <c r="K523" s="31" t="str">
        <f>IF(ISBLANK(TR!G523),"",TR!G523)</f>
        <v/>
      </c>
      <c r="L523" s="31" t="str">
        <f>IF(ISBLANK(TR!H523),"",TR!H523)</f>
        <v>FR-DSRSW-1398</v>
      </c>
      <c r="M523" s="30" t="str">
        <f>TR!J523</f>
        <v>Approved</v>
      </c>
      <c r="N523" s="31" t="str">
        <f>IF(OR(M523="Modified",M523="Cosmetic"),VLOOKUP(B523,PrevPFS!B$1:E$833,4,FALSE),"")</f>
        <v/>
      </c>
    </row>
    <row r="524" spans="1:14" ht="45" x14ac:dyDescent="0.25">
      <c r="A524" s="31" t="str">
        <f>IF(ISNONTEXT(TR!K524),"",TR!K524)</f>
        <v>TR-0-SRVCACQ-1294</v>
      </c>
      <c r="B524" s="32" t="str">
        <f>TR!A524</f>
        <v>TR-DSRSW-1803</v>
      </c>
      <c r="C524" s="31" t="b">
        <f>ISERROR(FIND("-",TR!B524))</f>
        <v>0</v>
      </c>
      <c r="D524" s="31">
        <f>SetIndent(E524,(TR!C524-1)*2)</f>
        <v>4</v>
      </c>
      <c r="E524" s="35" t="str">
        <f>IF(ISERROR(FIND("-",TR!B524)),TR!B524&amp;" "&amp;TR!D524,TR!D524)</f>
        <v>The product SHALL be capable of storing up to two nonvolatile channel maps (including associated network information), loaded at the factory, to local Flash memory.</v>
      </c>
      <c r="F524" s="31" t="str">
        <f>TR!E524</f>
        <v>Req</v>
      </c>
      <c r="G524" s="31" t="str">
        <f>IF(ISERROR(FIND("Adara",TR!F524)),"","Adara ")</f>
        <v xml:space="preserve">Adara </v>
      </c>
      <c r="H524" s="31" t="str">
        <f>IF(ISERROR(FIND("Copernicus",TR!F524)),"","Copernicus ")</f>
        <v xml:space="preserve">Copernicus </v>
      </c>
      <c r="I524" s="31" t="str">
        <f>IF(ISERROR(FIND("Deneb",TR!F524)),"","Deneb ")</f>
        <v xml:space="preserve">Deneb </v>
      </c>
      <c r="J524" s="37" t="str">
        <f t="shared" si="8"/>
        <v xml:space="preserve">Adara Copernicus Deneb </v>
      </c>
      <c r="K524" s="31" t="str">
        <f>IF(ISBLANK(TR!G524),"",TR!G524)</f>
        <v/>
      </c>
      <c r="L524" s="31" t="str">
        <f>IF(ISBLANK(TR!H524),"",TR!H524)</f>
        <v>FR-DSRSW-1398</v>
      </c>
      <c r="M524" s="30" t="str">
        <f>TR!J524</f>
        <v>Approved</v>
      </c>
      <c r="N524" s="31" t="str">
        <f>IF(OR(M524="Modified",M524="Cosmetic"),VLOOKUP(B524,PrevPFS!B$1:E$833,4,FALSE),"")</f>
        <v/>
      </c>
    </row>
    <row r="525" spans="1:14" ht="45" x14ac:dyDescent="0.25">
      <c r="A525" s="31" t="str">
        <f>IF(ISNONTEXT(TR!K525),"",TR!K525)</f>
        <v>TR-0-SRVCACQ-1295</v>
      </c>
      <c r="B525" s="32" t="str">
        <f>TR!A525</f>
        <v>TR-DSRSW-1804</v>
      </c>
      <c r="C525" s="31" t="b">
        <f>ISERROR(FIND("-",TR!B525))</f>
        <v>0</v>
      </c>
      <c r="D525" s="31">
        <f>SetIndent(E525,(TR!C525-1)*2)</f>
        <v>4</v>
      </c>
      <c r="E525" s="35" t="str">
        <f>IF(ISERROR(FIND("-",TR!B525)),TR!B525&amp;" "&amp;TR!D525,TR!D525)</f>
        <v>The product SHALL be capable of storing up to two nonvolatile channel maps (including associated network information), loaded via code download, to local Flash memory.</v>
      </c>
      <c r="F525" s="31" t="str">
        <f>TR!E525</f>
        <v>Req</v>
      </c>
      <c r="G525" s="31" t="str">
        <f>IF(ISERROR(FIND("Adara",TR!F525)),"","Adara ")</f>
        <v xml:space="preserve">Adara </v>
      </c>
      <c r="H525" s="31" t="str">
        <f>IF(ISERROR(FIND("Copernicus",TR!F525)),"","Copernicus ")</f>
        <v xml:space="preserve">Copernicus </v>
      </c>
      <c r="I525" s="31" t="str">
        <f>IF(ISERROR(FIND("Deneb",TR!F525)),"","Deneb ")</f>
        <v xml:space="preserve">Deneb </v>
      </c>
      <c r="J525" s="37" t="str">
        <f t="shared" si="8"/>
        <v xml:space="preserve">Adara Copernicus Deneb </v>
      </c>
      <c r="K525" s="31" t="str">
        <f>IF(ISBLANK(TR!G525),"",TR!G525)</f>
        <v/>
      </c>
      <c r="L525" s="31" t="str">
        <f>IF(ISBLANK(TR!H525),"",TR!H525)</f>
        <v>FR-DSRSW-1398</v>
      </c>
      <c r="M525" s="30" t="str">
        <f>TR!J525</f>
        <v>Approved</v>
      </c>
      <c r="N525" s="31" t="str">
        <f>IF(OR(M525="Modified",M525="Cosmetic"),VLOOKUP(B525,PrevPFS!B$1:E$833,4,FALSE),"")</f>
        <v/>
      </c>
    </row>
    <row r="526" spans="1:14" ht="45" x14ac:dyDescent="0.25">
      <c r="A526" s="31" t="str">
        <f>IF(ISNONTEXT(TR!K526),"",TR!K526)</f>
        <v>TR-0-SRVCACQ-1296</v>
      </c>
      <c r="B526" s="32" t="str">
        <f>TR!A526</f>
        <v>TR-DSRSW-1805</v>
      </c>
      <c r="C526" s="31" t="b">
        <f>ISERROR(FIND("-",TR!B526))</f>
        <v>0</v>
      </c>
      <c r="D526" s="31">
        <f>SetIndent(E526,(TR!C526-1)*2)</f>
        <v>4</v>
      </c>
      <c r="E526" s="35" t="str">
        <f>IF(ISERROR(FIND("-",TR!B526)),TR!B526&amp;" "&amp;TR!D526,TR!D526)</f>
        <v>The product SHALL discard previous nonvolatile channel maps when new nonvolatile channel maps are received via code download.</v>
      </c>
      <c r="F526" s="31" t="str">
        <f>TR!E526</f>
        <v>Req</v>
      </c>
      <c r="G526" s="31" t="str">
        <f>IF(ISERROR(FIND("Adara",TR!F526)),"","Adara ")</f>
        <v xml:space="preserve">Adara </v>
      </c>
      <c r="H526" s="31" t="str">
        <f>IF(ISERROR(FIND("Copernicus",TR!F526)),"","Copernicus ")</f>
        <v xml:space="preserve">Copernicus </v>
      </c>
      <c r="I526" s="31" t="str">
        <f>IF(ISERROR(FIND("Deneb",TR!F526)),"","Deneb ")</f>
        <v xml:space="preserve">Deneb </v>
      </c>
      <c r="J526" s="37" t="str">
        <f t="shared" si="8"/>
        <v xml:space="preserve">Adara Copernicus Deneb </v>
      </c>
      <c r="K526" s="31" t="str">
        <f>IF(ISBLANK(TR!G526),"",TR!G526)</f>
        <v/>
      </c>
      <c r="L526" s="31" t="str">
        <f>IF(ISBLANK(TR!H526),"",TR!H526)</f>
        <v>FR-DSRSW-1398</v>
      </c>
      <c r="M526" s="30" t="str">
        <f>TR!J526</f>
        <v>Approved</v>
      </c>
      <c r="N526" s="31" t="str">
        <f>IF(OR(M526="Modified",M526="Cosmetic"),VLOOKUP(B526,PrevPFS!B$1:E$833,4,FALSE),"")</f>
        <v/>
      </c>
    </row>
    <row r="527" spans="1:14" ht="45" x14ac:dyDescent="0.25">
      <c r="A527" s="31" t="str">
        <f>IF(ISNONTEXT(TR!K527),"",TR!K527)</f>
        <v>FR-TUNTD-1085</v>
      </c>
      <c r="B527" s="32" t="str">
        <f>TR!A527</f>
        <v>TR-DSRSW-1806</v>
      </c>
      <c r="C527" s="31" t="b">
        <f>ISERROR(FIND("-",TR!B527))</f>
        <v>1</v>
      </c>
      <c r="D527" s="31">
        <f>SetIndent(E527,(TR!C527-1)*2)</f>
        <v>2</v>
      </c>
      <c r="E527" s="34" t="str">
        <f>IF(ISERROR(FIND("-",TR!B527)),TR!B527&amp;" "&amp;TR!D527,TR!D527)</f>
        <v>21.5 Channel Map Activation</v>
      </c>
      <c r="F527" s="31" t="str">
        <f>TR!E527</f>
        <v>Hdr</v>
      </c>
      <c r="G527" s="31" t="str">
        <f>IF(ISERROR(FIND("Adara",TR!F527)),"","Adara ")</f>
        <v xml:space="preserve">Adara </v>
      </c>
      <c r="H527" s="31" t="str">
        <f>IF(ISERROR(FIND("Copernicus",TR!F527)),"","Copernicus ")</f>
        <v xml:space="preserve">Copernicus </v>
      </c>
      <c r="I527" s="31" t="str">
        <f>IF(ISERROR(FIND("Deneb",TR!F527)),"","Deneb ")</f>
        <v xml:space="preserve">Deneb </v>
      </c>
      <c r="J527" s="37" t="str">
        <f t="shared" si="8"/>
        <v xml:space="preserve">Adara Copernicus Deneb </v>
      </c>
      <c r="K527" s="31" t="str">
        <f>IF(ISBLANK(TR!G527),"",TR!G527)</f>
        <v/>
      </c>
      <c r="L527" s="31" t="str">
        <f>IF(ISBLANK(TR!H527),"",TR!H527)</f>
        <v>FR-DSRSW-1399</v>
      </c>
      <c r="M527" s="30" t="str">
        <f>TR!J527</f>
        <v>Approved</v>
      </c>
      <c r="N527" s="31" t="str">
        <f>IF(OR(M527="Modified",M527="Cosmetic"),VLOOKUP(B527,PrevPFS!B$1:E$833,4,FALSE),"")</f>
        <v/>
      </c>
    </row>
    <row r="528" spans="1:14" ht="45" x14ac:dyDescent="0.25">
      <c r="A528" s="31" t="str">
        <f>IF(ISNONTEXT(TR!K528),"",TR!K528)</f>
        <v>TR-0-SRVCACQ-1297</v>
      </c>
      <c r="B528" s="32" t="str">
        <f>TR!A528</f>
        <v>TR-DSRSW-1807</v>
      </c>
      <c r="C528" s="31" t="b">
        <f>ISERROR(FIND("-",TR!B528))</f>
        <v>0</v>
      </c>
      <c r="D528" s="31">
        <f>SetIndent(E528,(TR!C528-1)*2)</f>
        <v>4</v>
      </c>
      <c r="E528" s="35" t="str">
        <f>IF(ISERROR(FIND("-",TR!B528)),TR!B528&amp;" "&amp;TR!D528,TR!D528)</f>
        <v>The product SHALL provide an API to allow application software to activate a nonvolatile channel map and associated network information, based on VCT_ID.</v>
      </c>
      <c r="F528" s="31" t="str">
        <f>TR!E528</f>
        <v>Req</v>
      </c>
      <c r="G528" s="31" t="str">
        <f>IF(ISERROR(FIND("Adara",TR!F528)),"","Adara ")</f>
        <v xml:space="preserve">Adara </v>
      </c>
      <c r="H528" s="31" t="str">
        <f>IF(ISERROR(FIND("Copernicus",TR!F528)),"","Copernicus ")</f>
        <v xml:space="preserve">Copernicus </v>
      </c>
      <c r="I528" s="31" t="str">
        <f>IF(ISERROR(FIND("Deneb",TR!F528)),"","Deneb ")</f>
        <v xml:space="preserve">Deneb </v>
      </c>
      <c r="J528" s="37" t="str">
        <f t="shared" si="8"/>
        <v xml:space="preserve">Adara Copernicus Deneb </v>
      </c>
      <c r="K528" s="31" t="str">
        <f>IF(ISBLANK(TR!G528),"",TR!G528)</f>
        <v/>
      </c>
      <c r="L528" s="31" t="str">
        <f>IF(ISBLANK(TR!H528),"",TR!H528)</f>
        <v>FR-DSRSW-1399</v>
      </c>
      <c r="M528" s="30" t="str">
        <f>TR!J528</f>
        <v>Approved</v>
      </c>
      <c r="N528" s="31" t="str">
        <f>IF(OR(M528="Modified",M528="Cosmetic"),VLOOKUP(B528,PrevPFS!B$1:E$833,4,FALSE),"")</f>
        <v/>
      </c>
    </row>
    <row r="529" spans="1:14" ht="45" x14ac:dyDescent="0.25">
      <c r="A529" s="31" t="str">
        <f>IF(ISNONTEXT(TR!K529),"",TR!K529)</f>
        <v>TR-0-SRVCACQ-1299</v>
      </c>
      <c r="B529" s="32" t="str">
        <f>TR!A529</f>
        <v>TR-DSRSW-1808</v>
      </c>
      <c r="C529" s="31" t="b">
        <f>ISERROR(FIND("-",TR!B529))</f>
        <v>0</v>
      </c>
      <c r="D529" s="31">
        <f>SetIndent(E529,(TR!C529-1)*2)</f>
        <v>4</v>
      </c>
      <c r="E529" s="35" t="str">
        <f>IF(ISERROR(FIND("-",TR!B529)),TR!B529&amp;" "&amp;TR!D529,TR!D529)</f>
        <v>The product SHALL, if a channel map on the satellite network stream is the same VCT ID as an instantiated nonvolatile map, deactivate the nonvolatile channel map.</v>
      </c>
      <c r="F529" s="31" t="str">
        <f>TR!E529</f>
        <v>Req</v>
      </c>
      <c r="G529" s="31" t="str">
        <f>IF(ISERROR(FIND("Adara",TR!F529)),"","Adara ")</f>
        <v xml:space="preserve">Adara </v>
      </c>
      <c r="H529" s="31" t="str">
        <f>IF(ISERROR(FIND("Copernicus",TR!F529)),"","Copernicus ")</f>
        <v xml:space="preserve">Copernicus </v>
      </c>
      <c r="I529" s="31" t="str">
        <f>IF(ISERROR(FIND("Deneb",TR!F529)),"","Deneb ")</f>
        <v xml:space="preserve">Deneb </v>
      </c>
      <c r="J529" s="37" t="str">
        <f t="shared" si="8"/>
        <v xml:space="preserve">Adara Copernicus Deneb </v>
      </c>
      <c r="K529" s="31" t="str">
        <f>IF(ISBLANK(TR!G529),"",TR!G529)</f>
        <v/>
      </c>
      <c r="L529" s="31" t="str">
        <f>IF(ISBLANK(TR!H529),"",TR!H529)</f>
        <v>FR-DSRSW-1399</v>
      </c>
      <c r="M529" s="30" t="str">
        <f>TR!J529</f>
        <v>Approved</v>
      </c>
      <c r="N529" s="31" t="str">
        <f>IF(OR(M529="Modified",M529="Cosmetic"),VLOOKUP(B529,PrevPFS!B$1:E$833,4,FALSE),"")</f>
        <v/>
      </c>
    </row>
    <row r="530" spans="1:14" ht="45" x14ac:dyDescent="0.25">
      <c r="A530" s="31" t="str">
        <f>IF(ISNONTEXT(TR!K530),"",TR!K530)</f>
        <v>TR-0-SRVCACQ-1298</v>
      </c>
      <c r="B530" s="32" t="str">
        <f>TR!A530</f>
        <v>TR-DSRSW-1809</v>
      </c>
      <c r="C530" s="31" t="b">
        <f>ISERROR(FIND("-",TR!B530))</f>
        <v>0</v>
      </c>
      <c r="D530" s="31">
        <f>SetIndent(E530,(TR!C530-1)*2)</f>
        <v>4</v>
      </c>
      <c r="E530" s="35" t="str">
        <f>IF(ISERROR(FIND("-",TR!B530)),TR!B530&amp;" "&amp;TR!D530,TR!D530)</f>
        <v>The product SHALL, if a channel map on the satellite network stream is the same VCT ID as an instantiated nonvolatile map, activate channel map received on the network stream.</v>
      </c>
      <c r="F530" s="31" t="str">
        <f>TR!E530</f>
        <v>Req</v>
      </c>
      <c r="G530" s="31" t="str">
        <f>IF(ISERROR(FIND("Adara",TR!F530)),"","Adara ")</f>
        <v xml:space="preserve">Adara </v>
      </c>
      <c r="H530" s="31" t="str">
        <f>IF(ISERROR(FIND("Copernicus",TR!F530)),"","Copernicus ")</f>
        <v xml:space="preserve">Copernicus </v>
      </c>
      <c r="I530" s="31" t="str">
        <f>IF(ISERROR(FIND("Deneb",TR!F530)),"","Deneb ")</f>
        <v xml:space="preserve">Deneb </v>
      </c>
      <c r="J530" s="37" t="str">
        <f t="shared" si="8"/>
        <v xml:space="preserve">Adara Copernicus Deneb </v>
      </c>
      <c r="K530" s="31" t="str">
        <f>IF(ISBLANK(TR!G530),"",TR!G530)</f>
        <v/>
      </c>
      <c r="L530" s="31" t="str">
        <f>IF(ISBLANK(TR!H530),"",TR!H530)</f>
        <v>FR-DSRSW-1399</v>
      </c>
      <c r="M530" s="30" t="str">
        <f>TR!J530</f>
        <v>Approved</v>
      </c>
      <c r="N530" s="31" t="str">
        <f>IF(OR(M530="Modified",M530="Cosmetic"),VLOOKUP(B530,PrevPFS!B$1:E$833,4,FALSE),"")</f>
        <v/>
      </c>
    </row>
    <row r="531" spans="1:14" ht="45" x14ac:dyDescent="0.25">
      <c r="A531" s="31" t="str">
        <f>IF(ISNONTEXT(TR!K531),"",TR!K531)</f>
        <v>TR-0-SRVCACQ-1300</v>
      </c>
      <c r="B531" s="32" t="str">
        <f>TR!A531</f>
        <v>TR-DSRSW-1810</v>
      </c>
      <c r="C531" s="31" t="b">
        <f>ISERROR(FIND("-",TR!B531))</f>
        <v>0</v>
      </c>
      <c r="D531" s="31">
        <f>SetIndent(E531,(TR!C531-1)*2)</f>
        <v>4</v>
      </c>
      <c r="E531" s="35" t="str">
        <f>IF(ISERROR(FIND("-",TR!B531)),TR!B531&amp;" "&amp;TR!D531,TR!D531)</f>
        <v>The product SHALL, while using the nonvolatile channel map VCT_ID,  return to using the UIM VCT_ID when a valid UIM containing the single_map_VCT_ID is received.</v>
      </c>
      <c r="F531" s="31" t="str">
        <f>TR!E531</f>
        <v>Req</v>
      </c>
      <c r="G531" s="31" t="str">
        <f>IF(ISERROR(FIND("Adara",TR!F531)),"","Adara ")</f>
        <v xml:space="preserve">Adara </v>
      </c>
      <c r="H531" s="31" t="str">
        <f>IF(ISERROR(FIND("Copernicus",TR!F531)),"","Copernicus ")</f>
        <v xml:space="preserve">Copernicus </v>
      </c>
      <c r="I531" s="31" t="str">
        <f>IF(ISERROR(FIND("Deneb",TR!F531)),"","Deneb ")</f>
        <v xml:space="preserve">Deneb </v>
      </c>
      <c r="J531" s="37" t="str">
        <f t="shared" si="8"/>
        <v xml:space="preserve">Adara Copernicus Deneb </v>
      </c>
      <c r="K531" s="31" t="str">
        <f>IF(ISBLANK(TR!G531),"",TR!G531)</f>
        <v/>
      </c>
      <c r="L531" s="31" t="str">
        <f>IF(ISBLANK(TR!H531),"",TR!H531)</f>
        <v>FR-DSRSW-1399</v>
      </c>
      <c r="M531" s="30" t="str">
        <f>TR!J531</f>
        <v>Approved</v>
      </c>
      <c r="N531" s="31" t="str">
        <f>IF(OR(M531="Modified",M531="Cosmetic"),VLOOKUP(B531,PrevPFS!B$1:E$833,4,FALSE),"")</f>
        <v/>
      </c>
    </row>
    <row r="532" spans="1:14" ht="45" x14ac:dyDescent="0.25">
      <c r="A532" s="31" t="str">
        <f>IF(ISNONTEXT(TR!K532),"",TR!K532)</f>
        <v/>
      </c>
      <c r="B532" s="32" t="str">
        <f>TR!A532</f>
        <v>TR-DSRSW-1811</v>
      </c>
      <c r="C532" s="31" t="b">
        <f>ISERROR(FIND("-",TR!B532))</f>
        <v>1</v>
      </c>
      <c r="D532" s="31">
        <f>SetIndent(E532,(TR!C532-1)*2)</f>
        <v>2</v>
      </c>
      <c r="E532" s="34" t="str">
        <f>IF(ISERROR(FIND("-",TR!B532)),TR!B532&amp;" "&amp;TR!D532,TR!D532)</f>
        <v>21.6 Service Acquisition Performance</v>
      </c>
      <c r="F532" s="31" t="str">
        <f>TR!E532</f>
        <v>Hdr</v>
      </c>
      <c r="G532" s="31" t="str">
        <f>IF(ISERROR(FIND("Adara",TR!F532)),"","Adara ")</f>
        <v xml:space="preserve">Adara </v>
      </c>
      <c r="H532" s="31" t="str">
        <f>IF(ISERROR(FIND("Copernicus",TR!F532)),"","Copernicus ")</f>
        <v xml:space="preserve">Copernicus </v>
      </c>
      <c r="I532" s="31" t="str">
        <f>IF(ISERROR(FIND("Deneb",TR!F532)),"","Deneb ")</f>
        <v xml:space="preserve">Deneb </v>
      </c>
      <c r="J532" s="37" t="str">
        <f t="shared" si="8"/>
        <v xml:space="preserve">Adara Copernicus Deneb </v>
      </c>
      <c r="K532" s="31" t="str">
        <f>IF(ISBLANK(TR!G532),"",TR!G532)</f>
        <v/>
      </c>
      <c r="L532" s="31" t="str">
        <f>IF(ISBLANK(TR!H532),"",TR!H532)</f>
        <v>FR-DSRSW-1397</v>
      </c>
      <c r="M532" s="30" t="str">
        <f>TR!J532</f>
        <v>Approved</v>
      </c>
      <c r="N532" s="31" t="str">
        <f>IF(OR(M532="Modified",M532="Cosmetic"),VLOOKUP(B532,PrevPFS!B$1:E$833,4,FALSE),"")</f>
        <v/>
      </c>
    </row>
    <row r="533" spans="1:14" ht="45" x14ac:dyDescent="0.25">
      <c r="A533" s="31" t="str">
        <f>IF(ISNONTEXT(TR!K533),"",TR!K533)</f>
        <v>FR-TUNTD-1023</v>
      </c>
      <c r="B533" s="32" t="str">
        <f>TR!A533</f>
        <v>TR-DSRSW-1812</v>
      </c>
      <c r="C533" s="31" t="b">
        <f>ISERROR(FIND("-",TR!B533))</f>
        <v>1</v>
      </c>
      <c r="D533" s="31">
        <f>SetIndent(E533,(TR!C533-1)*2)</f>
        <v>4</v>
      </c>
      <c r="E533" s="35" t="str">
        <f>IF(ISERROR(FIND("-",TR!B533)),TR!B533&amp;" "&amp;TR!D533,TR!D533)</f>
        <v>21.6.1 Services on the Same Transponder</v>
      </c>
      <c r="F533" s="31" t="str">
        <f>TR!E533</f>
        <v>Hdr</v>
      </c>
      <c r="G533" s="31" t="str">
        <f>IF(ISERROR(FIND("Adara",TR!F533)),"","Adara ")</f>
        <v xml:space="preserve">Adara </v>
      </c>
      <c r="H533" s="31" t="str">
        <f>IF(ISERROR(FIND("Copernicus",TR!F533)),"","Copernicus ")</f>
        <v xml:space="preserve">Copernicus </v>
      </c>
      <c r="I533" s="31" t="str">
        <f>IF(ISERROR(FIND("Deneb",TR!F533)),"","Deneb ")</f>
        <v xml:space="preserve">Deneb </v>
      </c>
      <c r="J533" s="37" t="str">
        <f t="shared" si="8"/>
        <v xml:space="preserve">Adara Copernicus Deneb </v>
      </c>
      <c r="K533" s="31" t="str">
        <f>IF(ISBLANK(TR!G533),"",TR!G533)</f>
        <v/>
      </c>
      <c r="L533" s="31" t="str">
        <f>IF(ISBLANK(TR!H533),"",TR!H533)</f>
        <v>FR-DSRSW-1401</v>
      </c>
      <c r="M533" s="30" t="str">
        <f>TR!J533</f>
        <v>Approved</v>
      </c>
      <c r="N533" s="31" t="str">
        <f>IF(OR(M533="Modified",M533="Cosmetic"),VLOOKUP(B533,PrevPFS!B$1:E$833,4,FALSE),"")</f>
        <v/>
      </c>
    </row>
    <row r="534" spans="1:14" ht="60" x14ac:dyDescent="0.25">
      <c r="A534" s="31" t="str">
        <f>IF(ISNONTEXT(TR!K534),"",TR!K534)</f>
        <v>TR-0-TDCASACP-FPR-1065</v>
      </c>
      <c r="B534" s="32" t="str">
        <f>TR!A534</f>
        <v>TR-DSRSW-1813</v>
      </c>
      <c r="C534" s="31" t="b">
        <f>ISERROR(FIND("-",TR!B534))</f>
        <v>0</v>
      </c>
      <c r="D534" s="31">
        <f>SetIndent(E534,(TR!C534-1)*2)</f>
        <v>6</v>
      </c>
      <c r="E534" s="38" t="str">
        <f>IF(ISERROR(FIND("-",TR!B534)),TR!B534&amp;" "&amp;TR!D534,TR!D534)</f>
        <v>The product SHALL tune to a different digital service within the same multi-program transport stream (MPTS) with a 95% percentile time of 1.5 seconds from when a tune request is delivered to the platform software until when the service is available for viewing.</v>
      </c>
      <c r="F534" s="31" t="str">
        <f>TR!E534</f>
        <v>Req</v>
      </c>
      <c r="G534" s="31" t="str">
        <f>IF(ISERROR(FIND("Adara",TR!F534)),"","Adara ")</f>
        <v xml:space="preserve">Adara </v>
      </c>
      <c r="H534" s="31" t="str">
        <f>IF(ISERROR(FIND("Copernicus",TR!F534)),"","Copernicus ")</f>
        <v xml:space="preserve">Copernicus </v>
      </c>
      <c r="I534" s="31" t="str">
        <f>IF(ISERROR(FIND("Deneb",TR!F534)),"","Deneb ")</f>
        <v xml:space="preserve">Deneb </v>
      </c>
      <c r="J534" s="37" t="str">
        <f t="shared" si="8"/>
        <v xml:space="preserve">Adara Copernicus Deneb </v>
      </c>
      <c r="K534" s="31" t="str">
        <f>IF(ISBLANK(TR!G534),"",TR!G534)</f>
        <v/>
      </c>
      <c r="L534" s="31" t="str">
        <f>IF(ISBLANK(TR!H534),"",TR!H534)</f>
        <v>FR-DSRSW-1401</v>
      </c>
      <c r="M534" s="30" t="str">
        <f>TR!J534</f>
        <v>Approved</v>
      </c>
      <c r="N534" s="31" t="str">
        <f>IF(OR(M534="Modified",M534="Cosmetic"),VLOOKUP(B534,PrevPFS!B$1:E$833,4,FALSE),"")</f>
        <v/>
      </c>
    </row>
    <row r="535" spans="1:14" ht="75" x14ac:dyDescent="0.25">
      <c r="A535" s="31" t="str">
        <f>IF(ISNONTEXT(TR!K535),"",TR!K535)</f>
        <v/>
      </c>
      <c r="B535" s="32" t="str">
        <f>TR!A535</f>
        <v>TR-DSRSW-1814</v>
      </c>
      <c r="C535" s="31" t="b">
        <f>ISERROR(FIND("-",TR!B535))</f>
        <v>0</v>
      </c>
      <c r="D535" s="31">
        <f>SetIndent(E535,(TR!C535-1)*2)</f>
        <v>6</v>
      </c>
      <c r="E535" s="38" t="str">
        <f>IF(ISERROR(FIND("-",TR!B535)),TR!B535&amp;" "&amp;TR!D535,TR!D535)</f>
        <v>[Note this includes the time to demux the other digital service, to acquire SI data (from PMT), and to decode and present the audio and video.  It assumes a standard definition MPEG-2 service with a GOP size of 15, PAT/PMT insertion rate of 8/second, and a non-encrypted channel.  It also assumes that the services are not being trick-played (going live-off-disk), and that the same audio and video codecs exist in both services.]</v>
      </c>
      <c r="F535" s="31" t="str">
        <f>TR!E535</f>
        <v>Com</v>
      </c>
      <c r="G535" s="31" t="str">
        <f>IF(ISERROR(FIND("Adara",TR!F535)),"","Adara ")</f>
        <v xml:space="preserve">Adara </v>
      </c>
      <c r="H535" s="31" t="str">
        <f>IF(ISERROR(FIND("Copernicus",TR!F535)),"","Copernicus ")</f>
        <v xml:space="preserve">Copernicus </v>
      </c>
      <c r="I535" s="31" t="str">
        <f>IF(ISERROR(FIND("Deneb",TR!F535)),"","Deneb ")</f>
        <v xml:space="preserve">Deneb </v>
      </c>
      <c r="J535" s="37" t="str">
        <f t="shared" si="8"/>
        <v xml:space="preserve">Adara Copernicus Deneb </v>
      </c>
      <c r="K535" s="31" t="str">
        <f>IF(ISBLANK(TR!G535),"",TR!G535)</f>
        <v/>
      </c>
      <c r="L535" s="31" t="str">
        <f>IF(ISBLANK(TR!H535),"",TR!H535)</f>
        <v>FR-DSRSW-1401</v>
      </c>
      <c r="M535" s="30" t="str">
        <f>TR!J535</f>
        <v>Approved</v>
      </c>
      <c r="N535" s="31" t="str">
        <f>IF(OR(M535="Modified",M535="Cosmetic"),VLOOKUP(B535,PrevPFS!B$1:E$833,4,FALSE),"")</f>
        <v/>
      </c>
    </row>
    <row r="536" spans="1:14" ht="45" x14ac:dyDescent="0.25">
      <c r="A536" s="31" t="str">
        <f>IF(ISNONTEXT(TR!K536),"",TR!K536)</f>
        <v>FR-TUNTD-1036</v>
      </c>
      <c r="B536" s="32" t="str">
        <f>TR!A536</f>
        <v>TR-DSRSW-1815</v>
      </c>
      <c r="C536" s="31" t="b">
        <f>ISERROR(FIND("-",TR!B536))</f>
        <v>1</v>
      </c>
      <c r="D536" s="31">
        <f>SetIndent(E536,(TR!C536-1)*2)</f>
        <v>4</v>
      </c>
      <c r="E536" s="35" t="str">
        <f>IF(ISERROR(FIND("-",TR!B536)),TR!B536&amp;" "&amp;TR!D536,TR!D536)</f>
        <v>21.6.2 Services on Different Transponders</v>
      </c>
      <c r="F536" s="31" t="str">
        <f>TR!E536</f>
        <v>Hdr</v>
      </c>
      <c r="G536" s="31" t="str">
        <f>IF(ISERROR(FIND("Adara",TR!F536)),"","Adara ")</f>
        <v xml:space="preserve">Adara </v>
      </c>
      <c r="H536" s="31" t="str">
        <f>IF(ISERROR(FIND("Copernicus",TR!F536)),"","Copernicus ")</f>
        <v xml:space="preserve">Copernicus </v>
      </c>
      <c r="I536" s="31" t="str">
        <f>IF(ISERROR(FIND("Deneb",TR!F536)),"","Deneb ")</f>
        <v xml:space="preserve">Deneb </v>
      </c>
      <c r="J536" s="37" t="str">
        <f t="shared" si="8"/>
        <v xml:space="preserve">Adara Copernicus Deneb </v>
      </c>
      <c r="K536" s="31" t="str">
        <f>IF(ISBLANK(TR!G536),"",TR!G536)</f>
        <v/>
      </c>
      <c r="L536" s="31" t="str">
        <f>IF(ISBLANK(TR!H536),"",TR!H536)</f>
        <v>FR-DSRSW-1397</v>
      </c>
      <c r="M536" s="30" t="str">
        <f>TR!J536</f>
        <v>Approved</v>
      </c>
      <c r="N536" s="31" t="str">
        <f>IF(OR(M536="Modified",M536="Cosmetic"),VLOOKUP(B536,PrevPFS!B$1:E$833,4,FALSE),"")</f>
        <v/>
      </c>
    </row>
    <row r="537" spans="1:14" ht="60" x14ac:dyDescent="0.25">
      <c r="A537" s="31" t="str">
        <f>IF(ISNONTEXT(TR!K537),"",TR!K537)</f>
        <v>TR-0-TDCASACP-FPR-1066</v>
      </c>
      <c r="B537" s="32" t="str">
        <f>TR!A537</f>
        <v>TR-DSRSW-1816</v>
      </c>
      <c r="C537" s="31" t="b">
        <f>ISERROR(FIND("-",TR!B537))</f>
        <v>0</v>
      </c>
      <c r="D537" s="31">
        <f>SetIndent(E537,(TR!C537-1)*2)</f>
        <v>6</v>
      </c>
      <c r="E537" s="38" t="str">
        <f>IF(ISERROR(FIND("-",TR!B537)),TR!B537&amp;" "&amp;TR!D537,TR!D537)</f>
        <v>The product SHALL tune to a different digital service in a different multi-program transport stream (MPTS) with a 95% percentile time of 2.0 seconds from when a tune request is delivered to the platform software until when the service is available for viewing.</v>
      </c>
      <c r="F537" s="31" t="str">
        <f>TR!E537</f>
        <v>Req</v>
      </c>
      <c r="G537" s="31" t="str">
        <f>IF(ISERROR(FIND("Adara",TR!F537)),"","Adara ")</f>
        <v xml:space="preserve">Adara </v>
      </c>
      <c r="H537" s="31" t="str">
        <f>IF(ISERROR(FIND("Copernicus",TR!F537)),"","Copernicus ")</f>
        <v xml:space="preserve">Copernicus </v>
      </c>
      <c r="I537" s="31" t="str">
        <f>IF(ISERROR(FIND("Deneb",TR!F537)),"","Deneb ")</f>
        <v xml:space="preserve">Deneb </v>
      </c>
      <c r="J537" s="37" t="str">
        <f t="shared" si="8"/>
        <v xml:space="preserve">Adara Copernicus Deneb </v>
      </c>
      <c r="K537" s="31" t="str">
        <f>IF(ISBLANK(TR!G537),"",TR!G537)</f>
        <v/>
      </c>
      <c r="L537" s="31" t="str">
        <f>IF(ISBLANK(TR!H537),"",TR!H537)</f>
        <v>FR-DSRSW-1402</v>
      </c>
      <c r="M537" s="30" t="str">
        <f>TR!J537</f>
        <v>Approved</v>
      </c>
      <c r="N537" s="31" t="str">
        <f>IF(OR(M537="Modified",M537="Cosmetic"),VLOOKUP(B537,PrevPFS!B$1:E$833,4,FALSE),"")</f>
        <v/>
      </c>
    </row>
    <row r="538" spans="1:14" ht="90" x14ac:dyDescent="0.25">
      <c r="A538" s="31" t="str">
        <f>IF(ISNONTEXT(TR!K538),"",TR!K538)</f>
        <v/>
      </c>
      <c r="B538" s="32" t="str">
        <f>TR!A538</f>
        <v>TR-DSRSW-1817</v>
      </c>
      <c r="C538" s="31" t="b">
        <f>ISERROR(FIND("-",TR!B538))</f>
        <v>0</v>
      </c>
      <c r="D538" s="31">
        <f>SetIndent(E538,(TR!C538-1)*2)</f>
        <v>6</v>
      </c>
      <c r="E538" s="38" t="str">
        <f>IF(ISERROR(FIND("-",TR!B538)),TR!B538&amp;" "&amp;TR!D538,TR!D538)</f>
        <v>[Note this includes the tune to the frequency of the other MPTS, to demux and receive the other digital service, to acquire SI data (PAT and PMT), and to decode and present the audio and video.  It assumes a standard definition MPEG-2 service with a GOP size of 15, PAT/PMT insertion rate of 8/second, PCR interval is 50ms, and a non-encrypted channel.  It also assumes that the services are not being trick-played (going live-off-disk), and that the same audio and video codecs exist in both services.]</v>
      </c>
      <c r="F538" s="31" t="str">
        <f>TR!E538</f>
        <v>Com</v>
      </c>
      <c r="G538" s="31" t="str">
        <f>IF(ISERROR(FIND("Adara",TR!F538)),"","Adara ")</f>
        <v xml:space="preserve">Adara </v>
      </c>
      <c r="H538" s="31" t="str">
        <f>IF(ISERROR(FIND("Copernicus",TR!F538)),"","Copernicus ")</f>
        <v xml:space="preserve">Copernicus </v>
      </c>
      <c r="I538" s="31" t="str">
        <f>IF(ISERROR(FIND("Deneb",TR!F538)),"","Deneb ")</f>
        <v xml:space="preserve">Deneb </v>
      </c>
      <c r="J538" s="37" t="str">
        <f t="shared" si="8"/>
        <v xml:space="preserve">Adara Copernicus Deneb </v>
      </c>
      <c r="K538" s="31" t="str">
        <f>IF(ISBLANK(TR!G538),"",TR!G538)</f>
        <v/>
      </c>
      <c r="L538" s="31" t="str">
        <f>IF(ISBLANK(TR!H538),"",TR!H538)</f>
        <v>FR-DSRSW-1402</v>
      </c>
      <c r="M538" s="30" t="str">
        <f>TR!J538</f>
        <v>Approved</v>
      </c>
      <c r="N538" s="31" t="str">
        <f>IF(OR(M538="Modified",M538="Cosmetic"),VLOOKUP(B538,PrevPFS!B$1:E$833,4,FALSE),"")</f>
        <v/>
      </c>
    </row>
    <row r="539" spans="1:14" ht="45" x14ac:dyDescent="0.25">
      <c r="A539" s="31" t="str">
        <f>IF(ISNONTEXT(TR!K539),"",TR!K539)</f>
        <v/>
      </c>
      <c r="B539" s="32" t="str">
        <f>TR!A539</f>
        <v>TR-DSRSW-1818</v>
      </c>
      <c r="C539" s="31" t="b">
        <f>ISERROR(FIND("-",TR!B539))</f>
        <v>1</v>
      </c>
      <c r="D539" s="31">
        <f>SetIndent(E539,(TR!C539-1)*2)</f>
        <v>0</v>
      </c>
      <c r="E539" s="33" t="str">
        <f>IF(ISERROR(FIND("-",TR!B539)),TR!B539&amp;" "&amp;TR!D539,TR!D539)</f>
        <v>22 Video Decode</v>
      </c>
      <c r="F539" s="31" t="str">
        <f>TR!E539</f>
        <v>Hdr</v>
      </c>
      <c r="G539" s="31" t="str">
        <f>IF(ISERROR(FIND("Adara",TR!F539)),"","Adara ")</f>
        <v xml:space="preserve">Adara </v>
      </c>
      <c r="H539" s="31" t="str">
        <f>IF(ISERROR(FIND("Copernicus",TR!F539)),"","Copernicus ")</f>
        <v xml:space="preserve">Copernicus </v>
      </c>
      <c r="I539" s="31" t="str">
        <f>IF(ISERROR(FIND("Deneb",TR!F539)),"","Deneb ")</f>
        <v xml:space="preserve">Deneb </v>
      </c>
      <c r="J539" s="37" t="str">
        <f t="shared" si="8"/>
        <v xml:space="preserve">Adara Copernicus Deneb </v>
      </c>
      <c r="K539" s="31" t="str">
        <f>IF(ISBLANK(TR!G539),"",TR!G539)</f>
        <v/>
      </c>
      <c r="L539" s="31" t="str">
        <f>IF(ISBLANK(TR!H539),"",TR!H539)</f>
        <v>FR-DSRSW-1403</v>
      </c>
      <c r="M539" s="30" t="str">
        <f>TR!J539</f>
        <v>Approved</v>
      </c>
      <c r="N539" s="31" t="str">
        <f>IF(OR(M539="Modified",M539="Cosmetic"),VLOOKUP(B539,PrevPFS!B$1:E$833,4,FALSE),"")</f>
        <v/>
      </c>
    </row>
    <row r="540" spans="1:14" ht="45" x14ac:dyDescent="0.25">
      <c r="A540" s="31" t="str">
        <f>IF(ISNONTEXT(TR!K540),"",TR!K540)</f>
        <v/>
      </c>
      <c r="B540" s="32" t="str">
        <f>TR!A540</f>
        <v>TR-DSRSW-2201</v>
      </c>
      <c r="C540" s="31" t="b">
        <f>ISERROR(FIND("-",TR!B540))</f>
        <v>1</v>
      </c>
      <c r="D540" s="31">
        <f>SetIndent(E540,(TR!C540-1)*2)</f>
        <v>2</v>
      </c>
      <c r="E540" s="34" t="str">
        <f>IF(ISERROR(FIND("-",TR!B540)),TR!B540&amp;" "&amp;TR!D540,TR!D540)</f>
        <v>22.1 MPEG-2 Video Decode</v>
      </c>
      <c r="F540" s="31" t="str">
        <f>TR!E540</f>
        <v>Hdr</v>
      </c>
      <c r="G540" s="31" t="str">
        <f>IF(ISERROR(FIND("Adara",TR!F540)),"","Adara ")</f>
        <v xml:space="preserve">Adara </v>
      </c>
      <c r="H540" s="31" t="str">
        <f>IF(ISERROR(FIND("Copernicus",TR!F540)),"","Copernicus ")</f>
        <v xml:space="preserve">Copernicus </v>
      </c>
      <c r="I540" s="31" t="str">
        <f>IF(ISERROR(FIND("Deneb",TR!F540)),"","Deneb ")</f>
        <v xml:space="preserve">Deneb </v>
      </c>
      <c r="J540" s="37" t="str">
        <f t="shared" si="8"/>
        <v xml:space="preserve">Adara Copernicus Deneb </v>
      </c>
      <c r="K540" s="31" t="str">
        <f>IF(ISBLANK(TR!G540),"",TR!G540)</f>
        <v/>
      </c>
      <c r="L540" s="31" t="str">
        <f>IF(ISBLANK(TR!H540),"",TR!H540)</f>
        <v>FR-DSRSW-1405</v>
      </c>
      <c r="M540" s="30" t="str">
        <f>TR!J540</f>
        <v>Approved</v>
      </c>
      <c r="N540" s="31" t="str">
        <f>IF(OR(M540="Modified",M540="Cosmetic"),VLOOKUP(B540,PrevPFS!B$1:E$833,4,FALSE),"")</f>
        <v/>
      </c>
    </row>
    <row r="541" spans="1:14" ht="45" x14ac:dyDescent="0.25">
      <c r="A541" s="31" t="str">
        <f>IF(ISNONTEXT(TR!K541),"",TR!K541)</f>
        <v>FR-VIFVD-1028</v>
      </c>
      <c r="B541" s="32" t="str">
        <f>TR!A541</f>
        <v>TR-DSRSW-1824</v>
      </c>
      <c r="C541" s="31" t="b">
        <f>ISERROR(FIND("-",TR!B541))</f>
        <v>0</v>
      </c>
      <c r="D541" s="31">
        <f>SetIndent(E541,(TR!C541-1)*2)</f>
        <v>2</v>
      </c>
      <c r="E541" s="34" t="str">
        <f>IF(ISERROR(FIND("-",TR!B541)),TR!B541&amp;" "&amp;TR!D541,TR!D541)</f>
        <v>The product SHALL support MPEG-2 (MP@HL) video decode.</v>
      </c>
      <c r="F541" s="31" t="str">
        <f>TR!E541</f>
        <v>Req</v>
      </c>
      <c r="G541" s="31" t="str">
        <f>IF(ISERROR(FIND("Adara",TR!F541)),"","Adara ")</f>
        <v xml:space="preserve">Adara </v>
      </c>
      <c r="H541" s="31" t="str">
        <f>IF(ISERROR(FIND("Copernicus",TR!F541)),"","Copernicus ")</f>
        <v xml:space="preserve">Copernicus </v>
      </c>
      <c r="I541" s="31" t="str">
        <f>IF(ISERROR(FIND("Deneb",TR!F541)),"","Deneb ")</f>
        <v xml:space="preserve">Deneb </v>
      </c>
      <c r="J541" s="37" t="str">
        <f t="shared" si="8"/>
        <v xml:space="preserve">Adara Copernicus Deneb </v>
      </c>
      <c r="K541" s="31" t="str">
        <f>IF(ISBLANK(TR!G541),"",TR!G541)</f>
        <v/>
      </c>
      <c r="L541" s="31" t="str">
        <f>IF(ISBLANK(TR!H541),"",TR!H541)</f>
        <v>FR-DSRSW-1405</v>
      </c>
      <c r="M541" s="30" t="str">
        <f>TR!J541</f>
        <v>Approved</v>
      </c>
      <c r="N541" s="31" t="str">
        <f>IF(OR(M541="Modified",M541="Cosmetic"),VLOOKUP(B541,PrevPFS!B$1:E$833,4,FALSE),"")</f>
        <v/>
      </c>
    </row>
    <row r="542" spans="1:14" ht="45" x14ac:dyDescent="0.25">
      <c r="A542" s="31" t="str">
        <f>IF(ISNONTEXT(TR!K542),"",TR!K542)</f>
        <v/>
      </c>
      <c r="B542" s="32" t="str">
        <f>TR!A542</f>
        <v>TR-DSRSW-2200</v>
      </c>
      <c r="C542" s="31" t="b">
        <f>ISERROR(FIND("-",TR!B542))</f>
        <v>0</v>
      </c>
      <c r="D542" s="31">
        <f>SetIndent(E542,(TR!C542-1)*2)</f>
        <v>2</v>
      </c>
      <c r="E542" s="34" t="str">
        <f>IF(ISERROR(FIND("-",TR!B542)),TR!B542&amp;" "&amp;TR!D542,TR!D542)</f>
        <v>The product SHALL have a flexible video decoder that is capable of decoding compliant MPEG-2 digital video streams encoded using Main Profile and up to High Level (MP@HL) as per [ISO 13818-2].  (MP@HL = 1080i)</v>
      </c>
      <c r="F542" s="31" t="str">
        <f>TR!E542</f>
        <v>Req</v>
      </c>
      <c r="G542" s="31" t="str">
        <f>IF(ISERROR(FIND("Adara",TR!F542)),"","Adara ")</f>
        <v xml:space="preserve">Adara </v>
      </c>
      <c r="H542" s="31" t="str">
        <f>IF(ISERROR(FIND("Copernicus",TR!F542)),"","Copernicus ")</f>
        <v xml:space="preserve">Copernicus </v>
      </c>
      <c r="I542" s="31" t="str">
        <f>IF(ISERROR(FIND("Deneb",TR!F542)),"","Deneb ")</f>
        <v xml:space="preserve">Deneb </v>
      </c>
      <c r="J542" s="37" t="str">
        <f t="shared" si="8"/>
        <v xml:space="preserve">Adara Copernicus Deneb </v>
      </c>
      <c r="K542" s="31" t="str">
        <f>IF(ISBLANK(TR!G542),"",TR!G542)</f>
        <v/>
      </c>
      <c r="L542" s="31" t="str">
        <f>IF(ISBLANK(TR!H542),"",TR!H542)</f>
        <v>FR-DSRSW-1405</v>
      </c>
      <c r="M542" s="30" t="str">
        <f>TR!J542</f>
        <v>Approved</v>
      </c>
      <c r="N542" s="31" t="str">
        <f>IF(OR(M542="Modified",M542="Cosmetic"),VLOOKUP(B542,PrevPFS!B$1:E$833,4,FALSE),"")</f>
        <v/>
      </c>
    </row>
    <row r="543" spans="1:14" ht="45" x14ac:dyDescent="0.25">
      <c r="A543" s="31" t="str">
        <f>IF(ISNONTEXT(TR!K543),"",TR!K543)</f>
        <v/>
      </c>
      <c r="B543" s="32" t="str">
        <f>TR!A543</f>
        <v>TR-DSRSW-1828</v>
      </c>
      <c r="C543" s="31" t="b">
        <f>ISERROR(FIND("-",TR!B543))</f>
        <v>1</v>
      </c>
      <c r="D543" s="31">
        <f>SetIndent(E543,(TR!C543-1)*2)</f>
        <v>2</v>
      </c>
      <c r="E543" s="34" t="str">
        <f>IF(ISERROR(FIND("-",TR!B543)),TR!B543&amp;" "&amp;TR!D543,TR!D543)</f>
        <v>22.2 MPEG-4 AVC Video Decode</v>
      </c>
      <c r="F543" s="31" t="str">
        <f>TR!E543</f>
        <v>Hdr</v>
      </c>
      <c r="G543" s="31" t="str">
        <f>IF(ISERROR(FIND("Adara",TR!F543)),"","Adara ")</f>
        <v xml:space="preserve">Adara </v>
      </c>
      <c r="H543" s="31" t="str">
        <f>IF(ISERROR(FIND("Copernicus",TR!F543)),"","Copernicus ")</f>
        <v xml:space="preserve">Copernicus </v>
      </c>
      <c r="I543" s="31" t="str">
        <f>IF(ISERROR(FIND("Deneb",TR!F543)),"","Deneb ")</f>
        <v xml:space="preserve">Deneb </v>
      </c>
      <c r="J543" s="37" t="str">
        <f t="shared" si="8"/>
        <v xml:space="preserve">Adara Copernicus Deneb </v>
      </c>
      <c r="K543" s="31" t="str">
        <f>IF(ISBLANK(TR!G543),"",TR!G543)</f>
        <v/>
      </c>
      <c r="L543" s="31" t="str">
        <f>IF(ISBLANK(TR!H543),"",TR!H543)</f>
        <v>FR-DSRSW-1407</v>
      </c>
      <c r="M543" s="30" t="str">
        <f>TR!J543</f>
        <v>Approved</v>
      </c>
      <c r="N543" s="31" t="str">
        <f>IF(OR(M543="Modified",M543="Cosmetic"),VLOOKUP(B543,PrevPFS!B$1:E$833,4,FALSE),"")</f>
        <v/>
      </c>
    </row>
    <row r="544" spans="1:14" ht="45" x14ac:dyDescent="0.25">
      <c r="A544" s="31" t="str">
        <f>IF(ISNONTEXT(TR!K544),"",TR!K544)</f>
        <v>FR-VIFVD-1061</v>
      </c>
      <c r="B544" s="32" t="str">
        <f>TR!A544</f>
        <v>TR-DSRSW-1829</v>
      </c>
      <c r="C544" s="31" t="b">
        <f>ISERROR(FIND("-",TR!B544))</f>
        <v>0</v>
      </c>
      <c r="D544" s="31">
        <f>SetIndent(E544,(TR!C544-1)*2)</f>
        <v>4</v>
      </c>
      <c r="E544" s="35" t="str">
        <f>IF(ISERROR(FIND("-",TR!B544)),TR!B544&amp;" "&amp;TR!D544,TR!D544)</f>
        <v xml:space="preserve">The product SHALL support MPEG-4 Part 10 AVC (H.264) Level 4.2 video decode. </v>
      </c>
      <c r="F544" s="31" t="str">
        <f>TR!E544</f>
        <v>Req</v>
      </c>
      <c r="G544" s="31" t="str">
        <f>IF(ISERROR(FIND("Adara",TR!F544)),"","Adara ")</f>
        <v xml:space="preserve">Adara </v>
      </c>
      <c r="H544" s="31" t="str">
        <f>IF(ISERROR(FIND("Copernicus",TR!F544)),"","Copernicus ")</f>
        <v xml:space="preserve">Copernicus </v>
      </c>
      <c r="I544" s="31" t="str">
        <f>IF(ISERROR(FIND("Deneb",TR!F544)),"","Deneb ")</f>
        <v xml:space="preserve">Deneb </v>
      </c>
      <c r="J544" s="37" t="str">
        <f t="shared" si="8"/>
        <v xml:space="preserve">Adara Copernicus Deneb </v>
      </c>
      <c r="K544" s="31" t="str">
        <f>IF(ISBLANK(TR!G544),"",TR!G544)</f>
        <v/>
      </c>
      <c r="L544" s="31" t="str">
        <f>IF(ISBLANK(TR!H544),"",TR!H544)</f>
        <v>FR-DSRSW-1407</v>
      </c>
      <c r="M544" s="30" t="str">
        <f>TR!J544</f>
        <v>Approved</v>
      </c>
      <c r="N544" s="31" t="str">
        <f>IF(OR(M544="Modified",M544="Cosmetic"),VLOOKUP(B544,PrevPFS!B$1:E$833,4,FALSE),"")</f>
        <v/>
      </c>
    </row>
    <row r="545" spans="1:14" ht="45" x14ac:dyDescent="0.25">
      <c r="A545" s="31" t="str">
        <f>IF(ISNONTEXT(TR!K545),"",TR!K545)</f>
        <v/>
      </c>
      <c r="B545" s="32" t="str">
        <f>TR!A545</f>
        <v>TR-DSRSW-2202</v>
      </c>
      <c r="C545" s="31" t="b">
        <f>ISERROR(FIND("-",TR!B545))</f>
        <v>0</v>
      </c>
      <c r="D545" s="31">
        <f>SetIndent(E545,(TR!C545-1)*2)</f>
        <v>4</v>
      </c>
      <c r="E545" s="35" t="str">
        <f>IF(ISERROR(FIND("-",TR!B545)),TR!B545&amp;" "&amp;TR!D545,TR!D545)</f>
        <v>The product SHALL have a flexible video decoder that is capable of decoding compliant MPEG-4 AVC digital video streams encoded using High Profile and up to Level 4.2 (HP@L4.2) as per [ITU-T H.264] and [ISO 14496-10]. (Level 4.2 = 1080p60)</v>
      </c>
      <c r="F545" s="31" t="str">
        <f>TR!E545</f>
        <v>Req</v>
      </c>
      <c r="G545" s="31" t="str">
        <f>IF(ISERROR(FIND("Adara",TR!F545)),"","Adara ")</f>
        <v xml:space="preserve">Adara </v>
      </c>
      <c r="H545" s="31" t="str">
        <f>IF(ISERROR(FIND("Copernicus",TR!F545)),"","Copernicus ")</f>
        <v xml:space="preserve">Copernicus </v>
      </c>
      <c r="I545" s="31" t="str">
        <f>IF(ISERROR(FIND("Deneb",TR!F545)),"","Deneb ")</f>
        <v xml:space="preserve">Deneb </v>
      </c>
      <c r="J545" s="37" t="str">
        <f t="shared" si="8"/>
        <v xml:space="preserve">Adara Copernicus Deneb </v>
      </c>
      <c r="K545" s="31" t="str">
        <f>IF(ISBLANK(TR!G545),"",TR!G545)</f>
        <v/>
      </c>
      <c r="L545" s="31" t="str">
        <f>IF(ISBLANK(TR!H545),"",TR!H545)</f>
        <v>FR-DSRSW-1407</v>
      </c>
      <c r="M545" s="30" t="str">
        <f>TR!J545</f>
        <v>Approved</v>
      </c>
      <c r="N545" s="31" t="str">
        <f>IF(OR(M545="Modified",M545="Cosmetic"),VLOOKUP(B545,PrevPFS!B$1:E$833,4,FALSE),"")</f>
        <v/>
      </c>
    </row>
    <row r="546" spans="1:14" ht="45" x14ac:dyDescent="0.25">
      <c r="A546" s="31" t="str">
        <f>IF(ISNONTEXT(TR!K546),"",TR!K546)</f>
        <v/>
      </c>
      <c r="B546" s="32" t="str">
        <f>TR!A546</f>
        <v>TR-DSRSW-2203</v>
      </c>
      <c r="C546" s="31" t="b">
        <f>ISERROR(FIND("-",TR!B546))</f>
        <v>1</v>
      </c>
      <c r="D546" s="31">
        <f>SetIndent(E546,(TR!C546-1)*2)</f>
        <v>2</v>
      </c>
      <c r="E546" s="34" t="str">
        <f>IF(ISERROR(FIND("-",TR!B546)),TR!B546&amp;" "&amp;TR!D546,TR!D546)</f>
        <v>22.3 HEVC Video Decode</v>
      </c>
      <c r="F546" s="31" t="str">
        <f>TR!E546</f>
        <v>Hdr</v>
      </c>
      <c r="G546" s="31" t="str">
        <f>IF(ISERROR(FIND("Adara",TR!F546)),"","Adara ")</f>
        <v xml:space="preserve">Adara </v>
      </c>
      <c r="H546" s="31" t="str">
        <f>IF(ISERROR(FIND("Copernicus",TR!F546)),"","Copernicus ")</f>
        <v xml:space="preserve">Copernicus </v>
      </c>
      <c r="I546" s="31" t="str">
        <f>IF(ISERROR(FIND("Deneb",TR!F546)),"","Deneb ")</f>
        <v xml:space="preserve">Deneb </v>
      </c>
      <c r="J546" s="37" t="str">
        <f t="shared" si="8"/>
        <v xml:space="preserve">Adara Copernicus Deneb </v>
      </c>
      <c r="K546" s="31" t="str">
        <f>IF(ISBLANK(TR!G546),"",TR!G546)</f>
        <v>DSR6xx only</v>
      </c>
      <c r="L546" s="31" t="str">
        <f>IF(ISBLANK(TR!H546),"",TR!H546)</f>
        <v>FR-DSRSW-1462</v>
      </c>
      <c r="M546" s="30" t="str">
        <f>TR!J546</f>
        <v>Approved</v>
      </c>
      <c r="N546" s="31" t="str">
        <f>IF(OR(M546="Modified",M546="Cosmetic"),VLOOKUP(B546,PrevPFS!B$1:E$833,4,FALSE),"")</f>
        <v/>
      </c>
    </row>
    <row r="547" spans="1:14" ht="45" x14ac:dyDescent="0.25">
      <c r="A547" s="31" t="str">
        <f>IF(ISNONTEXT(TR!K547),"",TR!K547)</f>
        <v/>
      </c>
      <c r="B547" s="32" t="str">
        <f>TR!A547</f>
        <v>TR-DSRSW-2204</v>
      </c>
      <c r="C547" s="31" t="b">
        <f>ISERROR(FIND("-",TR!B547))</f>
        <v>0</v>
      </c>
      <c r="D547" s="31">
        <f>SetIndent(E547,(TR!C547-1)*2)</f>
        <v>2</v>
      </c>
      <c r="E547" s="34" t="str">
        <f>IF(ISERROR(FIND("-",TR!B547)),TR!B547&amp;" "&amp;TR!D547,TR!D547)</f>
        <v>The product SHALL support HEVC video decode.</v>
      </c>
      <c r="F547" s="31" t="str">
        <f>TR!E547</f>
        <v>Req</v>
      </c>
      <c r="G547" s="31" t="str">
        <f>IF(ISERROR(FIND("Adara",TR!F547)),"","Adara ")</f>
        <v xml:space="preserve">Adara </v>
      </c>
      <c r="H547" s="31" t="str">
        <f>IF(ISERROR(FIND("Copernicus",TR!F547)),"","Copernicus ")</f>
        <v xml:space="preserve">Copernicus </v>
      </c>
      <c r="I547" s="31" t="str">
        <f>IF(ISERROR(FIND("Deneb",TR!F547)),"","Deneb ")</f>
        <v xml:space="preserve">Deneb </v>
      </c>
      <c r="J547" s="37" t="str">
        <f t="shared" si="8"/>
        <v xml:space="preserve">Adara Copernicus Deneb </v>
      </c>
      <c r="K547" s="31" t="str">
        <f>IF(ISBLANK(TR!G547),"",TR!G547)</f>
        <v/>
      </c>
      <c r="L547" s="31" t="str">
        <f>IF(ISBLANK(TR!H547),"",TR!H547)</f>
        <v>FR-DSRSW-1462</v>
      </c>
      <c r="M547" s="30" t="str">
        <f>TR!J547</f>
        <v>Approved</v>
      </c>
      <c r="N547" s="31" t="str">
        <f>IF(OR(M547="Modified",M547="Cosmetic"),VLOOKUP(B547,PrevPFS!B$1:E$833,4,FALSE),"")</f>
        <v/>
      </c>
    </row>
    <row r="548" spans="1:14" ht="45" x14ac:dyDescent="0.25">
      <c r="A548" s="31" t="str">
        <f>IF(ISNONTEXT(TR!K548),"",TR!K548)</f>
        <v/>
      </c>
      <c r="B548" s="32" t="str">
        <f>TR!A548</f>
        <v>TR-DSRSW-2205</v>
      </c>
      <c r="C548" s="31" t="b">
        <f>ISERROR(FIND("-",TR!B548))</f>
        <v>0</v>
      </c>
      <c r="D548" s="31">
        <f>SetIndent(E548,(TR!C548-1)*2)</f>
        <v>2</v>
      </c>
      <c r="E548" s="34" t="str">
        <f>IF(ISERROR(FIND("-",TR!B548)),TR!B548&amp;" "&amp;TR!D548,TR!D548)</f>
        <v>The product SHALL have a flexible video decoder that is capable of decoding compliant HEVC digital video streams encoded using Main Profile and up to Level 4.1 (MP@L4.1) as per [ITU-T H.265] and [ISO 23008-2]. (Level 4.1 = 1080p60)</v>
      </c>
      <c r="F548" s="31" t="str">
        <f>TR!E548</f>
        <v>Req</v>
      </c>
      <c r="G548" s="31" t="str">
        <f>IF(ISERROR(FIND("Adara",TR!F548)),"","Adara ")</f>
        <v xml:space="preserve">Adara </v>
      </c>
      <c r="H548" s="31" t="str">
        <f>IF(ISERROR(FIND("Copernicus",TR!F548)),"","Copernicus ")</f>
        <v xml:space="preserve">Copernicus </v>
      </c>
      <c r="I548" s="31" t="str">
        <f>IF(ISERROR(FIND("Deneb",TR!F548)),"","Deneb ")</f>
        <v xml:space="preserve">Deneb </v>
      </c>
      <c r="J548" s="37" t="str">
        <f t="shared" si="8"/>
        <v xml:space="preserve">Adara Copernicus Deneb </v>
      </c>
      <c r="K548" s="31" t="str">
        <f>IF(ISBLANK(TR!G548),"",TR!G548)</f>
        <v/>
      </c>
      <c r="L548" s="31" t="str">
        <f>IF(ISBLANK(TR!H548),"",TR!H548)</f>
        <v>FR-DSRSW-1462</v>
      </c>
      <c r="M548" s="30" t="str">
        <f>TR!J548</f>
        <v>Approved</v>
      </c>
      <c r="N548" s="31" t="str">
        <f>IF(OR(M548="Modified",M548="Cosmetic"),VLOOKUP(B548,PrevPFS!B$1:E$833,4,FALSE),"")</f>
        <v/>
      </c>
    </row>
    <row r="549" spans="1:14" ht="45" x14ac:dyDescent="0.25">
      <c r="A549" s="31" t="str">
        <f>IF(ISNONTEXT(TR!K549),"",TR!K549)</f>
        <v/>
      </c>
      <c r="B549" s="32" t="str">
        <f>TR!A549</f>
        <v>TR-DSRSW-1843</v>
      </c>
      <c r="C549" s="31" t="b">
        <f>ISERROR(FIND("-",TR!B549))</f>
        <v>1</v>
      </c>
      <c r="D549" s="31">
        <f>SetIndent(E549,(TR!C549-1)*2)</f>
        <v>0</v>
      </c>
      <c r="E549" s="33" t="str">
        <f>IF(ISERROR(FIND("-",TR!B549)),TR!B549&amp;" "&amp;TR!D549,TR!D549)</f>
        <v>23 Picture Decode</v>
      </c>
      <c r="F549" s="31" t="str">
        <f>TR!E549</f>
        <v>Hdr</v>
      </c>
      <c r="G549" s="31" t="str">
        <f>IF(ISERROR(FIND("Adara",TR!F549)),"","Adara ")</f>
        <v xml:space="preserve">Adara </v>
      </c>
      <c r="H549" s="31" t="str">
        <f>IF(ISERROR(FIND("Copernicus",TR!F549)),"","Copernicus ")</f>
        <v xml:space="preserve">Copernicus </v>
      </c>
      <c r="I549" s="31" t="str">
        <f>IF(ISERROR(FIND("Deneb",TR!F549)),"","Deneb ")</f>
        <v xml:space="preserve">Deneb </v>
      </c>
      <c r="J549" s="37" t="str">
        <f t="shared" si="8"/>
        <v xml:space="preserve">Adara Copernicus Deneb </v>
      </c>
      <c r="K549" s="31" t="str">
        <f>IF(ISBLANK(TR!G549),"",TR!G549)</f>
        <v/>
      </c>
      <c r="L549" s="31" t="str">
        <f>IF(ISBLANK(TR!H549),"",TR!H549)</f>
        <v>FR-DSRSW-1412</v>
      </c>
      <c r="M549" s="30" t="str">
        <f>TR!J549</f>
        <v>Approved</v>
      </c>
      <c r="N549" s="31" t="str">
        <f>IF(OR(M549="Modified",M549="Cosmetic"),VLOOKUP(B549,PrevPFS!B$1:E$833,4,FALSE),"")</f>
        <v/>
      </c>
    </row>
    <row r="550" spans="1:14" ht="45" x14ac:dyDescent="0.25">
      <c r="A550" s="31" t="str">
        <f>IF(ISNONTEXT(TR!K550),"",TR!K550)</f>
        <v>TR-0-DRPHOTO-FPR-1001</v>
      </c>
      <c r="B550" s="32" t="str">
        <f>TR!A550</f>
        <v>TR-DSRSW-1845</v>
      </c>
      <c r="C550" s="31" t="b">
        <f>ISERROR(FIND("-",TR!B550))</f>
        <v>0</v>
      </c>
      <c r="D550" s="31">
        <f>SetIndent(E550,(TR!C550-1)*2)</f>
        <v>2</v>
      </c>
      <c r="E550" s="34" t="str">
        <f>IF(ISERROR(FIND("-",TR!B550)),TR!B550&amp;" "&amp;TR!D550,TR!D550)</f>
        <v xml:space="preserve">The product SHALL be capable of decoding and rendering JPEG (Joint Photographic Experts Group) image formats as in [JPEG - 1]. </v>
      </c>
      <c r="F550" s="31" t="str">
        <f>TR!E550</f>
        <v>Req</v>
      </c>
      <c r="G550" s="31" t="str">
        <f>IF(ISERROR(FIND("Adara",TR!F550)),"","Adara ")</f>
        <v xml:space="preserve">Adara </v>
      </c>
      <c r="H550" s="31" t="str">
        <f>IF(ISERROR(FIND("Copernicus",TR!F550)),"","Copernicus ")</f>
        <v xml:space="preserve">Copernicus </v>
      </c>
      <c r="I550" s="31" t="str">
        <f>IF(ISERROR(FIND("Deneb",TR!F550)),"","Deneb ")</f>
        <v xml:space="preserve">Deneb </v>
      </c>
      <c r="J550" s="37" t="str">
        <f t="shared" si="8"/>
        <v xml:space="preserve">Adara Copernicus Deneb </v>
      </c>
      <c r="K550" s="31" t="str">
        <f>IF(ISBLANK(TR!G550),"",TR!G550)</f>
        <v/>
      </c>
      <c r="L550" s="31" t="str">
        <f>IF(ISBLANK(TR!H550),"",TR!H550)</f>
        <v>FR-DSRSW-1412</v>
      </c>
      <c r="M550" s="30" t="str">
        <f>TR!J550</f>
        <v>Approved</v>
      </c>
      <c r="N550" s="31" t="str">
        <f>IF(OR(M550="Modified",M550="Cosmetic"),VLOOKUP(B550,PrevPFS!B$1:E$833,4,FALSE),"")</f>
        <v/>
      </c>
    </row>
    <row r="551" spans="1:14" ht="45" x14ac:dyDescent="0.25">
      <c r="A551" s="31" t="str">
        <f>IF(ISNONTEXT(TR!K551),"",TR!K551)</f>
        <v>TR-0-DRPHOTO-FPR-1069</v>
      </c>
      <c r="B551" s="32" t="str">
        <f>TR!A551</f>
        <v>TR-DSRSW-1846</v>
      </c>
      <c r="C551" s="31" t="b">
        <f>ISERROR(FIND("-",TR!B551))</f>
        <v>0</v>
      </c>
      <c r="D551" s="31">
        <f>SetIndent(E551,(TR!C551-1)*2)</f>
        <v>2</v>
      </c>
      <c r="E551" s="34" t="str">
        <f>IF(ISERROR(FIND("-",TR!B551)),TR!B551&amp;" "&amp;TR!D551,TR!D551)</f>
        <v>The product SHALL be capable of decoding and rendering 24-bit (8 red, 8 blue, 8 green) JPEG images.</v>
      </c>
      <c r="F551" s="31" t="str">
        <f>TR!E551</f>
        <v>Req</v>
      </c>
      <c r="G551" s="31" t="str">
        <f>IF(ISERROR(FIND("Adara",TR!F551)),"","Adara ")</f>
        <v xml:space="preserve">Adara </v>
      </c>
      <c r="H551" s="31" t="str">
        <f>IF(ISERROR(FIND("Copernicus",TR!F551)),"","Copernicus ")</f>
        <v xml:space="preserve">Copernicus </v>
      </c>
      <c r="I551" s="31" t="str">
        <f>IF(ISERROR(FIND("Deneb",TR!F551)),"","Deneb ")</f>
        <v xml:space="preserve">Deneb </v>
      </c>
      <c r="J551" s="37" t="str">
        <f t="shared" si="8"/>
        <v xml:space="preserve">Adara Copernicus Deneb </v>
      </c>
      <c r="K551" s="31" t="str">
        <f>IF(ISBLANK(TR!G551),"",TR!G551)</f>
        <v/>
      </c>
      <c r="L551" s="31" t="str">
        <f>IF(ISBLANK(TR!H551),"",TR!H551)</f>
        <v>FR-DSRSW-1412</v>
      </c>
      <c r="M551" s="30" t="str">
        <f>TR!J551</f>
        <v>Approved</v>
      </c>
      <c r="N551" s="31" t="str">
        <f>IF(OR(M551="Modified",M551="Cosmetic"),VLOOKUP(B551,PrevPFS!B$1:E$833,4,FALSE),"")</f>
        <v/>
      </c>
    </row>
    <row r="552" spans="1:14" ht="45" x14ac:dyDescent="0.25">
      <c r="A552" s="31" t="str">
        <f>IF(ISNONTEXT(TR!K552),"",TR!K552)</f>
        <v>TR-0-DRPHOTO-FPR-1071</v>
      </c>
      <c r="B552" s="32" t="str">
        <f>TR!A552</f>
        <v>TR-DSRSW-1847</v>
      </c>
      <c r="C552" s="31" t="b">
        <f>ISERROR(FIND("-",TR!B552))</f>
        <v>0</v>
      </c>
      <c r="D552" s="31">
        <f>SetIndent(E552,(TR!C552-1)*2)</f>
        <v>2</v>
      </c>
      <c r="E552" s="34" t="str">
        <f>IF(ISERROR(FIND("-",TR!B552)),TR!B552&amp;" "&amp;TR!D552,TR!D552)</f>
        <v>The product SHALL be capable of positioning and scaling JPEG images on to the video graphics plane.</v>
      </c>
      <c r="F552" s="31" t="str">
        <f>TR!E552</f>
        <v>Req</v>
      </c>
      <c r="G552" s="31" t="str">
        <f>IF(ISERROR(FIND("Adara",TR!F552)),"","Adara ")</f>
        <v xml:space="preserve">Adara </v>
      </c>
      <c r="H552" s="31" t="str">
        <f>IF(ISERROR(FIND("Copernicus",TR!F552)),"","Copernicus ")</f>
        <v xml:space="preserve">Copernicus </v>
      </c>
      <c r="I552" s="31" t="str">
        <f>IF(ISERROR(FIND("Deneb",TR!F552)),"","Deneb ")</f>
        <v xml:space="preserve">Deneb </v>
      </c>
      <c r="J552" s="37" t="str">
        <f t="shared" si="8"/>
        <v xml:space="preserve">Adara Copernicus Deneb </v>
      </c>
      <c r="K552" s="31" t="str">
        <f>IF(ISBLANK(TR!G552),"",TR!G552)</f>
        <v/>
      </c>
      <c r="L552" s="31" t="str">
        <f>IF(ISBLANK(TR!H552),"",TR!H552)</f>
        <v>FR-DSRSW-1412</v>
      </c>
      <c r="M552" s="30" t="str">
        <f>TR!J552</f>
        <v>Approved</v>
      </c>
      <c r="N552" s="31" t="str">
        <f>IF(OR(M552="Modified",M552="Cosmetic"),VLOOKUP(B552,PrevPFS!B$1:E$833,4,FALSE),"")</f>
        <v/>
      </c>
    </row>
    <row r="553" spans="1:14" ht="45" x14ac:dyDescent="0.25">
      <c r="A553" s="31" t="str">
        <f>IF(ISNONTEXT(TR!K553),"",TR!K553)</f>
        <v>TR-0-DRPHOTO-FPR-1070</v>
      </c>
      <c r="B553" s="32" t="str">
        <f>TR!A553</f>
        <v>TR-DSRSW-1848</v>
      </c>
      <c r="C553" s="31" t="b">
        <f>ISERROR(FIND("-",TR!B553))</f>
        <v>0</v>
      </c>
      <c r="D553" s="31">
        <f>SetIndent(E553,(TR!C553-1)*2)</f>
        <v>2</v>
      </c>
      <c r="E553" s="34" t="str">
        <f>IF(ISERROR(FIND("-",TR!B553)),TR!B553&amp;" "&amp;TR!D553,TR!D553)</f>
        <v>The product SHALL be capable of blending (transparency) of JPEG images on to the video graphics plane.</v>
      </c>
      <c r="F553" s="31" t="str">
        <f>TR!E553</f>
        <v>Req</v>
      </c>
      <c r="G553" s="31" t="str">
        <f>IF(ISERROR(FIND("Adara",TR!F553)),"","Adara ")</f>
        <v xml:space="preserve">Adara </v>
      </c>
      <c r="H553" s="31" t="str">
        <f>IF(ISERROR(FIND("Copernicus",TR!F553)),"","Copernicus ")</f>
        <v xml:space="preserve">Copernicus </v>
      </c>
      <c r="I553" s="31" t="str">
        <f>IF(ISERROR(FIND("Deneb",TR!F553)),"","Deneb ")</f>
        <v xml:space="preserve">Deneb </v>
      </c>
      <c r="J553" s="37" t="str">
        <f t="shared" si="8"/>
        <v xml:space="preserve">Adara Copernicus Deneb </v>
      </c>
      <c r="K553" s="31" t="str">
        <f>IF(ISBLANK(TR!G553),"",TR!G553)</f>
        <v/>
      </c>
      <c r="L553" s="31" t="str">
        <f>IF(ISBLANK(TR!H553),"",TR!H553)</f>
        <v>FR-DSRSW-1412</v>
      </c>
      <c r="M553" s="30" t="str">
        <f>TR!J553</f>
        <v>Approved</v>
      </c>
      <c r="N553" s="31" t="str">
        <f>IF(OR(M553="Modified",M553="Cosmetic"),VLOOKUP(B553,PrevPFS!B$1:E$833,4,FALSE),"")</f>
        <v/>
      </c>
    </row>
    <row r="554" spans="1:14" ht="45" x14ac:dyDescent="0.25">
      <c r="A554" s="31" t="str">
        <f>IF(ISNONTEXT(TR!K554),"",TR!K554)</f>
        <v/>
      </c>
      <c r="B554" s="32" t="str">
        <f>TR!A554</f>
        <v>TR-DSRSW-1849</v>
      </c>
      <c r="C554" s="31" t="b">
        <f>ISERROR(FIND("-",TR!B554))</f>
        <v>1</v>
      </c>
      <c r="D554" s="31">
        <f>SetIndent(E554,(TR!C554-1)*2)</f>
        <v>0</v>
      </c>
      <c r="E554" s="33" t="str">
        <f>IF(ISERROR(FIND("-",TR!B554)),TR!B554&amp;" "&amp;TR!D554,TR!D554)</f>
        <v>24 User Settings</v>
      </c>
      <c r="F554" s="31" t="str">
        <f>TR!E554</f>
        <v>Hdr</v>
      </c>
      <c r="G554" s="31" t="str">
        <f>IF(ISERROR(FIND("Adara",TR!F554)),"","Adara ")</f>
        <v xml:space="preserve">Adara </v>
      </c>
      <c r="H554" s="31" t="str">
        <f>IF(ISERROR(FIND("Copernicus",TR!F554)),"","Copernicus ")</f>
        <v xml:space="preserve">Copernicus </v>
      </c>
      <c r="I554" s="31" t="str">
        <f>IF(ISERROR(FIND("Deneb",TR!F554)),"","Deneb ")</f>
        <v xml:space="preserve">Deneb </v>
      </c>
      <c r="J554" s="37" t="str">
        <f t="shared" si="8"/>
        <v xml:space="preserve">Adara Copernicus Deneb </v>
      </c>
      <c r="K554" s="31" t="str">
        <f>IF(ISBLANK(TR!G554),"",TR!G554)</f>
        <v/>
      </c>
      <c r="L554" s="31" t="str">
        <f>IF(ISBLANK(TR!H554),"",TR!H554)</f>
        <v>FR-DSRSW-1413</v>
      </c>
      <c r="M554" s="30" t="str">
        <f>TR!J554</f>
        <v>Approved</v>
      </c>
      <c r="N554" s="31" t="str">
        <f>IF(OR(M554="Modified",M554="Cosmetic"),VLOOKUP(B554,PrevPFS!B$1:E$833,4,FALSE),"")</f>
        <v/>
      </c>
    </row>
    <row r="555" spans="1:14" ht="45" x14ac:dyDescent="0.25">
      <c r="A555" s="31" t="str">
        <f>IF(ISNONTEXT(TR!K555),"",TR!K555)</f>
        <v>TR-0-DSRUSRSET-3432</v>
      </c>
      <c r="B555" s="32" t="str">
        <f>TR!A555</f>
        <v>TR-DSRSW-1851</v>
      </c>
      <c r="C555" s="31" t="b">
        <f>ISERROR(FIND("-",TR!B555))</f>
        <v>0</v>
      </c>
      <c r="D555" s="31">
        <f>SetIndent(E555,(TR!C555-1)*2)</f>
        <v>2</v>
      </c>
      <c r="E555" s="34" t="str">
        <f>IF(ISERROR(FIND("-",TR!B555)),TR!B555&amp;" "&amp;TR!D555,TR!D555)</f>
        <v>The product SHALL support the Shaw Direct user settings screens.</v>
      </c>
      <c r="F555" s="31" t="str">
        <f>TR!E555</f>
        <v>Req</v>
      </c>
      <c r="G555" s="31" t="str">
        <f>IF(ISERROR(FIND("Adara",TR!F555)),"","Adara ")</f>
        <v xml:space="preserve">Adara </v>
      </c>
      <c r="H555" s="31" t="str">
        <f>IF(ISERROR(FIND("Copernicus",TR!F555)),"","Copernicus ")</f>
        <v xml:space="preserve">Copernicus </v>
      </c>
      <c r="I555" s="31" t="str">
        <f>IF(ISERROR(FIND("Deneb",TR!F555)),"","Deneb ")</f>
        <v xml:space="preserve">Deneb </v>
      </c>
      <c r="J555" s="37" t="str">
        <f t="shared" si="8"/>
        <v xml:space="preserve">Adara Copernicus Deneb </v>
      </c>
      <c r="K555" s="31" t="str">
        <f>IF(ISBLANK(TR!G555),"",TR!G555)</f>
        <v/>
      </c>
      <c r="L555" s="31" t="str">
        <f>IF(ISBLANK(TR!H555),"",TR!H555)</f>
        <v>FR-DSRSW-1414</v>
      </c>
      <c r="M555" s="30" t="str">
        <f>TR!J555</f>
        <v>Approved</v>
      </c>
      <c r="N555" s="31" t="str">
        <f>IF(OR(M555="Modified",M555="Cosmetic"),VLOOKUP(B555,PrevPFS!B$1:E$833,4,FALSE),"")</f>
        <v/>
      </c>
    </row>
    <row r="556" spans="1:14" ht="45" x14ac:dyDescent="0.25">
      <c r="A556" s="31" t="str">
        <f>IF(ISNONTEXT(TR!K556),"",TR!K556)</f>
        <v/>
      </c>
      <c r="B556" s="32" t="str">
        <f>TR!A556</f>
        <v>TR-DSRSW-1852</v>
      </c>
      <c r="C556" s="31" t="b">
        <f>ISERROR(FIND("-",TR!B556))</f>
        <v>1</v>
      </c>
      <c r="D556" s="31">
        <f>SetIndent(E556,(TR!C556-1)*2)</f>
        <v>0</v>
      </c>
      <c r="E556" s="33" t="str">
        <f>IF(ISERROR(FIND("-",TR!B556)),TR!B556&amp;" "&amp;TR!D556,TR!D556)</f>
        <v>25 Closed Captions</v>
      </c>
      <c r="F556" s="31" t="str">
        <f>TR!E556</f>
        <v>Hdr</v>
      </c>
      <c r="G556" s="31" t="str">
        <f>IF(ISERROR(FIND("Adara",TR!F556)),"","Adara ")</f>
        <v xml:space="preserve">Adara </v>
      </c>
      <c r="H556" s="31" t="str">
        <f>IF(ISERROR(FIND("Copernicus",TR!F556)),"","Copernicus ")</f>
        <v xml:space="preserve">Copernicus </v>
      </c>
      <c r="I556" s="31" t="str">
        <f>IF(ISERROR(FIND("Deneb",TR!F556)),"","Deneb ")</f>
        <v xml:space="preserve">Deneb </v>
      </c>
      <c r="J556" s="37" t="str">
        <f t="shared" si="8"/>
        <v xml:space="preserve">Adara Copernicus Deneb </v>
      </c>
      <c r="K556" s="31" t="str">
        <f>IF(ISBLANK(TR!G556),"",TR!G556)</f>
        <v/>
      </c>
      <c r="L556" s="31" t="str">
        <f>IF(ISBLANK(TR!H556),"",TR!H556)</f>
        <v>FR-DSRSW-1415</v>
      </c>
      <c r="M556" s="30" t="str">
        <f>TR!J556</f>
        <v>Approved</v>
      </c>
      <c r="N556" s="31" t="str">
        <f>IF(OR(M556="Modified",M556="Cosmetic"),VLOOKUP(B556,PrevPFS!B$1:E$833,4,FALSE),"")</f>
        <v/>
      </c>
    </row>
    <row r="557" spans="1:14" ht="45" x14ac:dyDescent="0.25">
      <c r="A557" s="31" t="str">
        <f>IF(ISNONTEXT(TR!K557),"",TR!K557)</f>
        <v>FR-CC-1018</v>
      </c>
      <c r="B557" s="32" t="str">
        <f>TR!A557</f>
        <v>TR-DSRSW-1853</v>
      </c>
      <c r="C557" s="31" t="b">
        <f>ISERROR(FIND("-",TR!B557))</f>
        <v>1</v>
      </c>
      <c r="D557" s="31">
        <f>SetIndent(E557,(TR!C557-1)*2)</f>
        <v>2</v>
      </c>
      <c r="E557" s="34" t="str">
        <f>IF(ISERROR(FIND("-",TR!B557)),TR!B557&amp;" "&amp;TR!D557,TR!D557)</f>
        <v>25.1 Closed Captions for Live Content
The product SHALL comply with all FCC Closed Caption requirements as specified in 47cfr15 for CEA-608 and FCC 00-259 for CEA-708 caption information embedded in a digital TV service.</v>
      </c>
      <c r="F557" s="31" t="str">
        <f>TR!E557</f>
        <v>Req</v>
      </c>
      <c r="G557" s="31" t="str">
        <f>IF(ISERROR(FIND("Adara",TR!F557)),"","Adara ")</f>
        <v xml:space="preserve">Adara </v>
      </c>
      <c r="H557" s="31" t="str">
        <f>IF(ISERROR(FIND("Copernicus",TR!F557)),"","Copernicus ")</f>
        <v xml:space="preserve">Copernicus </v>
      </c>
      <c r="I557" s="31" t="str">
        <f>IF(ISERROR(FIND("Deneb",TR!F557)),"","Deneb ")</f>
        <v xml:space="preserve">Deneb </v>
      </c>
      <c r="J557" s="37" t="str">
        <f t="shared" si="8"/>
        <v xml:space="preserve">Adara Copernicus Deneb </v>
      </c>
      <c r="K557" s="31" t="str">
        <f>IF(ISBLANK(TR!G557),"",TR!G557)</f>
        <v/>
      </c>
      <c r="L557" s="31" t="str">
        <f>IF(ISBLANK(TR!H557),"",TR!H557)</f>
        <v>FR-DSRSW-1416</v>
      </c>
      <c r="M557" s="30" t="str">
        <f>TR!J557</f>
        <v>Approved</v>
      </c>
      <c r="N557" s="31" t="str">
        <f>IF(OR(M557="Modified",M557="Cosmetic"),VLOOKUP(B557,PrevPFS!B$1:E$833,4,FALSE),"")</f>
        <v/>
      </c>
    </row>
    <row r="558" spans="1:14" ht="45" x14ac:dyDescent="0.25">
      <c r="A558" s="31" t="str">
        <f>IF(ISNONTEXT(TR!K558),"",TR!K558)</f>
        <v/>
      </c>
      <c r="B558" s="32" t="str">
        <f>TR!A558</f>
        <v>TR-DSRSW-2593</v>
      </c>
      <c r="C558" s="31" t="b">
        <f>ISERROR(FIND("-",TR!B558))</f>
        <v>1</v>
      </c>
      <c r="D558" s="31">
        <f>SetIndent(E558,(TR!C558-1)*2)</f>
        <v>4</v>
      </c>
      <c r="E558" s="35" t="str">
        <f>IF(ISERROR(FIND("-",TR!B558)),TR!B558&amp;" "&amp;TR!D558,TR!D558)</f>
        <v>25.1.1 SCTE-20 CEA-608 CC</v>
      </c>
      <c r="F558" s="31" t="str">
        <f>TR!E558</f>
        <v>Hdr</v>
      </c>
      <c r="G558" s="31" t="str">
        <f>IF(ISERROR(FIND("Adara",TR!F558)),"","Adara ")</f>
        <v xml:space="preserve">Adara </v>
      </c>
      <c r="H558" s="31" t="str">
        <f>IF(ISERROR(FIND("Copernicus",TR!F558)),"","Copernicus ")</f>
        <v xml:space="preserve">Copernicus </v>
      </c>
      <c r="I558" s="31" t="str">
        <f>IF(ISERROR(FIND("Deneb",TR!F558)),"","Deneb ")</f>
        <v xml:space="preserve">Deneb </v>
      </c>
      <c r="J558" s="37" t="str">
        <f t="shared" si="8"/>
        <v xml:space="preserve">Adara Copernicus Deneb </v>
      </c>
      <c r="K558" s="31" t="str">
        <f>IF(ISBLANK(TR!G558),"",TR!G558)</f>
        <v/>
      </c>
      <c r="L558" s="31" t="str">
        <f>IF(ISBLANK(TR!H558),"",TR!H558)</f>
        <v/>
      </c>
      <c r="M558" s="30" t="str">
        <f>TR!J558</f>
        <v>Added</v>
      </c>
      <c r="N558" s="31" t="str">
        <f>IF(OR(M558="Modified",M558="Cosmetic"),VLOOKUP(B558,PrevPFS!B$1:E$833,4,FALSE),"")</f>
        <v/>
      </c>
    </row>
    <row r="559" spans="1:14" ht="60" x14ac:dyDescent="0.25">
      <c r="A559" s="31" t="str">
        <f>IF(ISNONTEXT(TR!K559),"",TR!K559)</f>
        <v>TR-0-CC-REG-1302</v>
      </c>
      <c r="B559" s="32" t="str">
        <f>TR!A559</f>
        <v>TR-DSRSW-1930</v>
      </c>
      <c r="C559" s="31" t="b">
        <f>ISERROR(FIND("-",TR!B559))</f>
        <v>0</v>
      </c>
      <c r="D559" s="31">
        <f>SetIndent(E559,(TR!C559-1)*2)</f>
        <v>6</v>
      </c>
      <c r="E559" s="38" t="str">
        <f>IF(ISERROR(FIND("-",TR!B559)),TR!B559&amp;" "&amp;TR!D559,TR!D559)</f>
        <v>The product SHALL render SCTE-20 CEA-608 closed captions on the HDMI output, IF 
  SCTE-20 CEA-608 closed caption data is present, AND
  EIA-708 closed caption data (DTVCC or EIA-608) is NOT present, AND
  closed captioning is enabled.</v>
      </c>
      <c r="F559" s="31" t="str">
        <f>TR!E559</f>
        <v>Req</v>
      </c>
      <c r="G559" s="31" t="str">
        <f>IF(ISERROR(FIND("Adara",TR!F559)),"","Adara ")</f>
        <v xml:space="preserve">Adara </v>
      </c>
      <c r="H559" s="31" t="str">
        <f>IF(ISERROR(FIND("Copernicus",TR!F559)),"","Copernicus ")</f>
        <v xml:space="preserve">Copernicus </v>
      </c>
      <c r="I559" s="31" t="str">
        <f>IF(ISERROR(FIND("Deneb",TR!F559)),"","Deneb ")</f>
        <v xml:space="preserve">Deneb </v>
      </c>
      <c r="J559" s="37" t="str">
        <f t="shared" si="8"/>
        <v xml:space="preserve">Adara Copernicus Deneb </v>
      </c>
      <c r="K559" s="31" t="str">
        <f>IF(ISBLANK(TR!G559),"",TR!G559)</f>
        <v xml:space="preserve">Render
608 SCTE-20 HDMI
</v>
      </c>
      <c r="L559" s="31" t="str">
        <f>IF(ISBLANK(TR!H559),"",TR!H559)</f>
        <v>FR-DSRSW-1416</v>
      </c>
      <c r="M559" s="30" t="str">
        <f>TR!J559</f>
        <v>Modified</v>
      </c>
      <c r="N559" s="31" t="str">
        <f>IF(OR(M559="Modified",M559="Cosmetic"),VLOOKUP(B559,PrevPFS!B$1:E$833,4,FALSE),"")</f>
        <v>The product SHALL, when closed captioning is enabled, render CEA-608 closed captions received in SCTE-20 syntax on its HDMI output if only CEA-608 caption data is present (CEA-708 data is not present) and carried in SCTE-20 syntax.</v>
      </c>
    </row>
    <row r="560" spans="1:14" ht="60" x14ac:dyDescent="0.25">
      <c r="A560" s="31" t="str">
        <f>IF(ISNONTEXT(TR!K560),"",TR!K560)</f>
        <v>TR-0-CC-REG-1300</v>
      </c>
      <c r="B560" s="32" t="str">
        <f>TR!A560</f>
        <v>TR-DSRSW-1928</v>
      </c>
      <c r="C560" s="31" t="b">
        <f>ISERROR(FIND("-",TR!B560))</f>
        <v>0</v>
      </c>
      <c r="D560" s="31">
        <f>SetIndent(E560,(TR!C560-1)*2)</f>
        <v>6</v>
      </c>
      <c r="E560" s="38" t="str">
        <f>IF(ISERROR(FIND("-",TR!B560)),TR!B560&amp;" "&amp;TR!D560,TR!D560)</f>
        <v>The product SHALL render SCTE-20 CEA-608 closed captions on the NTSC output, IF 
  SCTE-20 CEA-608 closed caption data is present, AND
  EIA-708 closed caption data (DTVCC or EIA-608) is NOT present, AND
  closed captioning is enabled.</v>
      </c>
      <c r="F560" s="31" t="str">
        <f>TR!E560</f>
        <v>Req</v>
      </c>
      <c r="G560" s="31" t="str">
        <f>IF(ISERROR(FIND("Adara",TR!F560)),"","Adara ")</f>
        <v xml:space="preserve">Adara </v>
      </c>
      <c r="H560" s="31" t="str">
        <f>IF(ISERROR(FIND("Copernicus",TR!F560)),"","Copernicus ")</f>
        <v xml:space="preserve">Copernicus </v>
      </c>
      <c r="I560" s="31" t="str">
        <f>IF(ISERROR(FIND("Deneb",TR!F560)),"","Deneb ")</f>
        <v xml:space="preserve">Deneb </v>
      </c>
      <c r="J560" s="37" t="str">
        <f t="shared" si="8"/>
        <v xml:space="preserve">Adara Copernicus Deneb </v>
      </c>
      <c r="K560" s="31" t="str">
        <f>IF(ISBLANK(TR!G560),"",TR!G560)</f>
        <v xml:space="preserve">Render
608 SCTE-20 NTSC
</v>
      </c>
      <c r="L560" s="31" t="str">
        <f>IF(ISBLANK(TR!H560),"",TR!H560)</f>
        <v>FR-DSRSW-1416</v>
      </c>
      <c r="M560" s="30" t="str">
        <f>TR!J560</f>
        <v>Modified</v>
      </c>
      <c r="N560" s="31" t="str">
        <f>IF(OR(M560="Modified",M560="Cosmetic"),VLOOKUP(B560,PrevPFS!B$1:E$833,4,FALSE),"")</f>
        <v>The product SHALL, when closed captioning is enabled, render CEA-608 closed captions received in SCTE-20 syntax on its NTSC output if only CEA-608 caption data is present (CEA-708 data is not present) and carried in SCTE-20 syntax.</v>
      </c>
    </row>
    <row r="561" spans="1:14" ht="60" x14ac:dyDescent="0.25">
      <c r="A561" s="31" t="str">
        <f>IF(ISNONTEXT(TR!K561),"",TR!K561)</f>
        <v>TR-0-CC-REG-1004</v>
      </c>
      <c r="B561" s="32" t="str">
        <f>TR!A561</f>
        <v>TR-DSRSW-1857</v>
      </c>
      <c r="C561" s="31" t="b">
        <f>ISERROR(FIND("-",TR!B561))</f>
        <v>0</v>
      </c>
      <c r="D561" s="31">
        <f>SetIndent(E561,(TR!C561-1)*2)</f>
        <v>6</v>
      </c>
      <c r="E561" s="38" t="str">
        <f>IF(ISERROR(FIND("-",TR!B561)),TR!B561&amp;" "&amp;TR!D561,TR!D561)</f>
        <v>The product SHALL reconstruct VBI Field 1 and Field 2 CEA-608 closed captions on the NTSC output, IF 
  SCTE-20 CEA-608 closed caption data is present, AND
  EIA-708 closed caption data (DTVCC or EIA-608) is NOT present.</v>
      </c>
      <c r="F561" s="31" t="str">
        <f>TR!E561</f>
        <v>Req</v>
      </c>
      <c r="G561" s="31" t="str">
        <f>IF(ISERROR(FIND("Adara",TR!F561)),"","Adara ")</f>
        <v xml:space="preserve">Adara </v>
      </c>
      <c r="H561" s="31" t="str">
        <f>IF(ISERROR(FIND("Copernicus",TR!F561)),"","Copernicus ")</f>
        <v xml:space="preserve">Copernicus </v>
      </c>
      <c r="I561" s="31" t="str">
        <f>IF(ISERROR(FIND("Deneb",TR!F561)),"","Deneb ")</f>
        <v xml:space="preserve">Deneb </v>
      </c>
      <c r="J561" s="37" t="str">
        <f t="shared" si="8"/>
        <v xml:space="preserve">Adara Copernicus Deneb </v>
      </c>
      <c r="K561" s="31" t="str">
        <f>IF(ISBLANK(TR!G561),"",TR!G561)</f>
        <v>VBI NTSC SCTE-20</v>
      </c>
      <c r="L561" s="31" t="str">
        <f>IF(ISBLANK(TR!H561),"",TR!H561)</f>
        <v>FR-DSRSW-1416</v>
      </c>
      <c r="M561" s="30" t="str">
        <f>TR!J561</f>
        <v>Modified</v>
      </c>
      <c r="N561" s="31" t="str">
        <f>IF(OR(M561="Modified",M561="Cosmetic"),VLOOKUP(B561,PrevPFS!B$1:E$833,4,FALSE),"")</f>
        <v xml:space="preserve">The product SHALL reconstruct Line 21, Field 1 and Field 2, of the VBI on its NTSC Outputs if it is tuned to a Digital service where CEA-608 caption data is present in the MPEG-2 Picture User Data of the same MPEG video frame and carried in SCTE-20 syntax. </v>
      </c>
    </row>
    <row r="562" spans="1:14" ht="45" x14ac:dyDescent="0.25">
      <c r="A562" s="31" t="str">
        <f>IF(ISNONTEXT(TR!K562),"",TR!K562)</f>
        <v/>
      </c>
      <c r="B562" s="32" t="str">
        <f>TR!A562</f>
        <v>TR-DSRSW-2594</v>
      </c>
      <c r="C562" s="31" t="b">
        <f>ISERROR(FIND("-",TR!B562))</f>
        <v>1</v>
      </c>
      <c r="D562" s="31">
        <f>SetIndent(E562,(TR!C562-1)*2)</f>
        <v>4</v>
      </c>
      <c r="E562" s="35" t="str">
        <f>IF(ISERROR(FIND("-",TR!B562)),TR!B562&amp;" "&amp;TR!D562,TR!D562)</f>
        <v>25.1.2 EIA-708 (DTVCC &amp; embedded EIA-608)</v>
      </c>
      <c r="F562" s="31" t="str">
        <f>TR!E562</f>
        <v>Hdr</v>
      </c>
      <c r="G562" s="31" t="str">
        <f>IF(ISERROR(FIND("Adara",TR!F562)),"","Adara ")</f>
        <v xml:space="preserve">Adara </v>
      </c>
      <c r="H562" s="31" t="str">
        <f>IF(ISERROR(FIND("Copernicus",TR!F562)),"","Copernicus ")</f>
        <v xml:space="preserve">Copernicus </v>
      </c>
      <c r="I562" s="31" t="str">
        <f>IF(ISERROR(FIND("Deneb",TR!F562)),"","Deneb ")</f>
        <v xml:space="preserve">Deneb </v>
      </c>
      <c r="J562" s="37" t="str">
        <f t="shared" si="8"/>
        <v xml:space="preserve">Adara Copernicus Deneb </v>
      </c>
      <c r="K562" s="31" t="str">
        <f>IF(ISBLANK(TR!G562),"",TR!G562)</f>
        <v/>
      </c>
      <c r="L562" s="31" t="str">
        <f>IF(ISBLANK(TR!H562),"",TR!H562)</f>
        <v/>
      </c>
      <c r="M562" s="30" t="str">
        <f>TR!J562</f>
        <v>Added</v>
      </c>
      <c r="N562" s="31" t="str">
        <f>IF(OR(M562="Modified",M562="Cosmetic"),VLOOKUP(B562,PrevPFS!B$1:E$833,4,FALSE),"")</f>
        <v/>
      </c>
    </row>
    <row r="563" spans="1:14" ht="75" x14ac:dyDescent="0.25">
      <c r="A563" s="31" t="str">
        <f>IF(ISNONTEXT(TR!K563),"",TR!K563)</f>
        <v>TR-0-CC-REG-1294</v>
      </c>
      <c r="B563" s="32" t="str">
        <f>TR!A563</f>
        <v>TR-DSRSW-1924</v>
      </c>
      <c r="C563" s="31" t="b">
        <f>ISERROR(FIND("-",TR!B563))</f>
        <v>0</v>
      </c>
      <c r="D563" s="31">
        <f>SetIndent(E563,(TR!C563-1)*2)</f>
        <v>6</v>
      </c>
      <c r="E563" s="38" t="str">
        <f>IF(ISERROR(FIND("-",TR!B563)),TR!B563&amp;" "&amp;TR!D563,TR!D563)</f>
        <v>The product SHALL render DTVCC transported CEA-608 closed captions on the HDMI output, IF 
  CEA-608 closed caption data IS present in the EIA-708 DTVCC transport, AND
  DTVCC closed caption data is NOT present in the EIA-708 DTVCC transport, AND
  closed captioning is enabled.</v>
      </c>
      <c r="F563" s="31" t="str">
        <f>TR!E563</f>
        <v>Req</v>
      </c>
      <c r="G563" s="31" t="str">
        <f>IF(ISERROR(FIND("Adara",TR!F563)),"","Adara ")</f>
        <v xml:space="preserve">Adara </v>
      </c>
      <c r="H563" s="31" t="str">
        <f>IF(ISERROR(FIND("Copernicus",TR!F563)),"","Copernicus ")</f>
        <v xml:space="preserve">Copernicus </v>
      </c>
      <c r="I563" s="31" t="str">
        <f>IF(ISERROR(FIND("Deneb",TR!F563)),"","Deneb ")</f>
        <v xml:space="preserve">Deneb </v>
      </c>
      <c r="J563" s="37" t="str">
        <f t="shared" si="8"/>
        <v xml:space="preserve">Adara Copernicus Deneb </v>
      </c>
      <c r="K563" s="31" t="str">
        <f>IF(ISBLANK(TR!G563),"",TR!G563)</f>
        <v xml:space="preserve">Render
608 SCTE-21 HDMI
</v>
      </c>
      <c r="L563" s="31" t="str">
        <f>IF(ISBLANK(TR!H563),"",TR!H563)</f>
        <v>FR-DSRSW-1416</v>
      </c>
      <c r="M563" s="30" t="str">
        <f>TR!J563</f>
        <v>Modified</v>
      </c>
      <c r="N563" s="31" t="str">
        <f>IF(OR(M563="Modified",M563="Cosmetic"),VLOOKUP(B563,PrevPFS!B$1:E$833,4,FALSE),"")</f>
        <v>The product SHALL, when closed captioning is enabled, render CEA-608 closed captions on its HDMI output if only CEA-608 caption data is present (CEA-708 data is not present) and carried in SCTE-21 syntax only (not in the SCTE-20 syntax).</v>
      </c>
    </row>
    <row r="564" spans="1:14" ht="75" x14ac:dyDescent="0.25">
      <c r="A564" s="31" t="str">
        <f>IF(ISNONTEXT(TR!K564),"",TR!K564)</f>
        <v>TR-0-CC-REG-1292</v>
      </c>
      <c r="B564" s="32" t="str">
        <f>TR!A564</f>
        <v>TR-DSRSW-1922</v>
      </c>
      <c r="C564" s="31" t="b">
        <f>ISERROR(FIND("-",TR!B564))</f>
        <v>0</v>
      </c>
      <c r="D564" s="31">
        <f>SetIndent(E564,(TR!C564-1)*2)</f>
        <v>6</v>
      </c>
      <c r="E564" s="38" t="str">
        <f>IF(ISERROR(FIND("-",TR!B564)),TR!B564&amp;" "&amp;TR!D564,TR!D564)</f>
        <v>The product SHALL render DTVCC transported CEA-608 closed captions on the NTSC output, IF 
  CEA-608 closed caption data IS present in the EIA-708 DTVCC transport, AND
  DTVCC closed caption data is NOT present in the EIA-708 DTVCC transport, AND
  closed captioning is enabled.</v>
      </c>
      <c r="F564" s="31" t="str">
        <f>TR!E564</f>
        <v>Req</v>
      </c>
      <c r="G564" s="31" t="str">
        <f>IF(ISERROR(FIND("Adara",TR!F564)),"","Adara ")</f>
        <v xml:space="preserve">Adara </v>
      </c>
      <c r="H564" s="31" t="str">
        <f>IF(ISERROR(FIND("Copernicus",TR!F564)),"","Copernicus ")</f>
        <v xml:space="preserve">Copernicus </v>
      </c>
      <c r="I564" s="31" t="str">
        <f>IF(ISERROR(FIND("Deneb",TR!F564)),"","Deneb ")</f>
        <v xml:space="preserve">Deneb </v>
      </c>
      <c r="J564" s="37" t="str">
        <f t="shared" si="8"/>
        <v xml:space="preserve">Adara Copernicus Deneb </v>
      </c>
      <c r="K564" s="31" t="str">
        <f>IF(ISBLANK(TR!G564),"",TR!G564)</f>
        <v xml:space="preserve">Render
608 SCTE-21 NTSC
</v>
      </c>
      <c r="L564" s="31" t="str">
        <f>IF(ISBLANK(TR!H564),"",TR!H564)</f>
        <v>FR-DSRSW-1416</v>
      </c>
      <c r="M564" s="30" t="str">
        <f>TR!J564</f>
        <v>Modified</v>
      </c>
      <c r="N564" s="31" t="str">
        <f>IF(OR(M564="Modified",M564="Cosmetic"),VLOOKUP(B564,PrevPFS!B$1:E$833,4,FALSE),"")</f>
        <v>The product SHALL, when closed captioning is enabled, render CEA-608 closed captions on its NTSC output if only CEA-608 caption data is present (CEA-708 data is not present) and carried in SCTE-21 syntax only (not in the SCTE-20 syntax).</v>
      </c>
    </row>
    <row r="565" spans="1:14" ht="180" x14ac:dyDescent="0.25">
      <c r="A565" s="31" t="str">
        <f>IF(ISNONTEXT(TR!K565),"",TR!K565)</f>
        <v>TR-0-CC-REG-1002</v>
      </c>
      <c r="B565" s="32" t="str">
        <f>TR!A565</f>
        <v>TR-DSRSW-1855</v>
      </c>
      <c r="C565" s="31" t="b">
        <f>ISERROR(FIND("-",TR!B565))</f>
        <v>0</v>
      </c>
      <c r="D565" s="31">
        <f>SetIndent(E565,(TR!C565-1)*2)</f>
        <v>6</v>
      </c>
      <c r="E565" s="38" t="str">
        <f>IF(ISERROR(FIND("-",TR!B565)),TR!B565&amp;" "&amp;TR!D565,TR!D565)</f>
        <v>The product SHALL reconstruct VBI Field 1 and Field 2 CEA-608 closed captions on the NTSC output, IF 
  CEA-608 closed caption data IS present in the EIA-708 DTVCC transport, AND
  DTVCC closed caption data is NOT present in the EIA-708 DTVCC transport.</v>
      </c>
      <c r="F565" s="31" t="str">
        <f>TR!E565</f>
        <v>Req</v>
      </c>
      <c r="G565" s="31" t="str">
        <f>IF(ISERROR(FIND("Adara",TR!F565)),"","Adara ")</f>
        <v xml:space="preserve">Adara </v>
      </c>
      <c r="H565" s="31" t="str">
        <f>IF(ISERROR(FIND("Copernicus",TR!F565)),"","Copernicus ")</f>
        <v xml:space="preserve">Copernicus </v>
      </c>
      <c r="I565" s="31" t="str">
        <f>IF(ISERROR(FIND("Deneb",TR!F565)),"","Deneb ")</f>
        <v xml:space="preserve">Deneb </v>
      </c>
      <c r="J565" s="37" t="str">
        <f t="shared" si="8"/>
        <v xml:space="preserve">Adara Copernicus Deneb </v>
      </c>
      <c r="K565" s="31" t="str">
        <f>IF(ISBLANK(TR!G565),"",TR!G565)</f>
        <v>VBI NTSC SCTE-21. This can have a low test priority because 608 and 708 should both always be present on an HD stream.  SD streams dont have SCTE-20 data.</v>
      </c>
      <c r="L565" s="31" t="str">
        <f>IF(ISBLANK(TR!H565),"",TR!H565)</f>
        <v>FR-DSRSW-1416</v>
      </c>
      <c r="M565" s="30" t="str">
        <f>TR!J565</f>
        <v>Modified</v>
      </c>
      <c r="N565" s="31" t="str">
        <f>IF(OR(M565="Modified",M565="Cosmetic"),VLOOKUP(B565,PrevPFS!B$1:E$833,4,FALSE),"")</f>
        <v xml:space="preserve">The product SHALL reconstruct Line 21, Field 1 and Field 2, of the VBI on its NTSC Outputs if it is tuned to a Digital service where CEA-608 caption data is present in the MPEG-2 Picture User Data of the same MPEG video frame and carried in SCTE-21 syntax. </v>
      </c>
    </row>
    <row r="566" spans="1:14" ht="60" x14ac:dyDescent="0.25">
      <c r="A566" s="31" t="str">
        <f>IF(ISNONTEXT(TR!K566),"",TR!K566)</f>
        <v>TR-0-CC-REG-1082</v>
      </c>
      <c r="B566" s="32" t="str">
        <f>TR!A566</f>
        <v>TR-DSRSW-1859</v>
      </c>
      <c r="C566" s="31" t="b">
        <f>ISERROR(FIND("-",TR!B566))</f>
        <v>0</v>
      </c>
      <c r="D566" s="31">
        <f>SetIndent(E566,(TR!C566-1)*2)</f>
        <v>6</v>
      </c>
      <c r="E566" s="38" t="str">
        <f>IF(ISERROR(FIND("-",TR!B566)),TR!B566&amp;" "&amp;TR!D566,TR!D566)</f>
        <v>The product SHALL reconstruct VBI Field 1 and Field 2 CEA-608 closed captions on the NTSC output, IF 
  CEA-608 closed caption data IS present in the EIA-708 DTVCC transport, AND
  DTVCC closed caption data IS present in the EIA-708 DTVCC transport.</v>
      </c>
      <c r="F566" s="31" t="str">
        <f>TR!E566</f>
        <v>Req</v>
      </c>
      <c r="G566" s="31" t="str">
        <f>IF(ISERROR(FIND("Adara",TR!F566)),"","Adara ")</f>
        <v xml:space="preserve">Adara </v>
      </c>
      <c r="H566" s="31" t="str">
        <f>IF(ISERROR(FIND("Copernicus",TR!F566)),"","Copernicus ")</f>
        <v xml:space="preserve">Copernicus </v>
      </c>
      <c r="I566" s="31" t="str">
        <f>IF(ISERROR(FIND("Deneb",TR!F566)),"","Deneb ")</f>
        <v xml:space="preserve">Deneb </v>
      </c>
      <c r="J566" s="37" t="str">
        <f t="shared" si="8"/>
        <v xml:space="preserve">Adara Copernicus Deneb </v>
      </c>
      <c r="K566" s="31" t="str">
        <f>IF(ISBLANK(TR!G566),"",TR!G566)</f>
        <v>VBI NTSC SCTE-21&amp;708</v>
      </c>
      <c r="L566" s="31" t="str">
        <f>IF(ISBLANK(TR!H566),"",TR!H566)</f>
        <v>FR-DSRSW-1416</v>
      </c>
      <c r="M566" s="30" t="str">
        <f>TR!J566</f>
        <v>Modified</v>
      </c>
      <c r="N566" s="31" t="str">
        <f>IF(OR(M566="Modified",M566="Cosmetic"),VLOOKUP(B566,PrevPFS!B$1:E$833,4,FALSE),"")</f>
        <v>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v>
      </c>
    </row>
    <row r="567" spans="1:14" ht="60" x14ac:dyDescent="0.25">
      <c r="A567" s="31" t="str">
        <f>IF(ISNONTEXT(TR!K567),"",TR!K567)</f>
        <v>TR-0-CC-REG-1310</v>
      </c>
      <c r="B567" s="32" t="str">
        <f>TR!A567</f>
        <v>TR-DSRSW-1936</v>
      </c>
      <c r="C567" s="31" t="b">
        <f>ISERROR(FIND("-",TR!B567))</f>
        <v>0</v>
      </c>
      <c r="D567" s="31">
        <f>SetIndent(E567,(TR!C567-1)*2)</f>
        <v>6</v>
      </c>
      <c r="E567" s="38" t="str">
        <f>IF(ISERROR(FIND("-",TR!B567)),TR!B567&amp;" "&amp;TR!D567,TR!D567)</f>
        <v xml:space="preserve">The product SHALL render DTVCC captions on the HDMI output, IF 
  DTVCC closed caption data IS present in the EIA-708 DTVCC transport, AND
  CEA-608 closed caption data is NOT present in the EIA-708 DTVCC transport, AND
  closed captioning is enabled. </v>
      </c>
      <c r="F567" s="31" t="str">
        <f>TR!E567</f>
        <v>Req</v>
      </c>
      <c r="G567" s="31" t="str">
        <f>IF(ISERROR(FIND("Adara",TR!F567)),"","Adara ")</f>
        <v xml:space="preserve">Adara </v>
      </c>
      <c r="H567" s="31" t="str">
        <f>IF(ISERROR(FIND("Copernicus",TR!F567)),"","Copernicus ")</f>
        <v xml:space="preserve">Copernicus </v>
      </c>
      <c r="I567" s="31" t="str">
        <f>IF(ISERROR(FIND("Deneb",TR!F567)),"","Deneb ")</f>
        <v xml:space="preserve">Deneb </v>
      </c>
      <c r="J567" s="37" t="str">
        <f t="shared" si="8"/>
        <v xml:space="preserve">Adara Copernicus Deneb </v>
      </c>
      <c r="K567" s="31" t="str">
        <f>IF(ISBLANK(TR!G567),"",TR!G567)</f>
        <v>Render
708 HDMI
w/o 608 present</v>
      </c>
      <c r="L567" s="31" t="str">
        <f>IF(ISBLANK(TR!H567),"",TR!H567)</f>
        <v>FR-DSRSW-1416</v>
      </c>
      <c r="M567" s="30" t="str">
        <f>TR!J567</f>
        <v>Modified</v>
      </c>
      <c r="N567" s="31" t="str">
        <f>IF(OR(M567="Modified",M567="Cosmetic"),VLOOKUP(B567,PrevPFS!B$1:E$833,4,FALSE),"")</f>
        <v>The product SHALL, when closed caption rendering is enabled, render CEA-708 captions on its HDMI output if CEA-708 caption data is present.</v>
      </c>
    </row>
    <row r="568" spans="1:14" ht="60" x14ac:dyDescent="0.25">
      <c r="A568" s="31" t="str">
        <f>IF(ISNONTEXT(TR!K568),"",TR!K568)</f>
        <v>TR-0-CC-REG-1308</v>
      </c>
      <c r="B568" s="32" t="str">
        <f>TR!A568</f>
        <v>TR-DSRSW-2590</v>
      </c>
      <c r="C568" s="31" t="b">
        <f>ISERROR(FIND("-",TR!B568))</f>
        <v>0</v>
      </c>
      <c r="D568" s="31">
        <f>SetIndent(E568,(TR!C568-1)*2)</f>
        <v>6</v>
      </c>
      <c r="E568" s="38" t="str">
        <f>IF(ISERROR(FIND("-",TR!B568)),TR!B568&amp;" "&amp;TR!D568,TR!D568)</f>
        <v>The product SHALL render DTVCC captions on the NTSC output, IF 
  DTVCC closed caption data IS present in the EIA-708 DTVCC transport, AND
  CEA-608 closed caption data IS present in the EIA-708 DTVCC transport, AND
  closed captioning is enabled.</v>
      </c>
      <c r="F568" s="31" t="str">
        <f>TR!E568</f>
        <v>Req</v>
      </c>
      <c r="G568" s="31" t="str">
        <f>IF(ISERROR(FIND("Adara",TR!F568)),"","Adara ")</f>
        <v xml:space="preserve">Adara </v>
      </c>
      <c r="H568" s="31" t="str">
        <f>IF(ISERROR(FIND("Copernicus",TR!F568)),"","Copernicus ")</f>
        <v xml:space="preserve">Copernicus </v>
      </c>
      <c r="I568" s="31" t="str">
        <f>IF(ISERROR(FIND("Deneb",TR!F568)),"","Deneb ")</f>
        <v xml:space="preserve">Deneb </v>
      </c>
      <c r="J568" s="37" t="str">
        <f t="shared" si="8"/>
        <v xml:space="preserve">Adara Copernicus Deneb </v>
      </c>
      <c r="K568" s="31" t="str">
        <f>IF(ISBLANK(TR!G568),"",TR!G568)</f>
        <v>Render
708 NTSC
w 608 present</v>
      </c>
      <c r="L568" s="31" t="str">
        <f>IF(ISBLANK(TR!H568),"",TR!H568)</f>
        <v>FR-DSRSW-1416</v>
      </c>
      <c r="M568" s="30" t="str">
        <f>TR!J568</f>
        <v>Added</v>
      </c>
      <c r="N568" s="31" t="str">
        <f>IF(OR(M568="Modified",M568="Cosmetic"),VLOOKUP(B568,PrevPFS!B$1:E$833,4,FALSE),"")</f>
        <v/>
      </c>
    </row>
    <row r="569" spans="1:14" ht="60" x14ac:dyDescent="0.25">
      <c r="A569" s="31" t="str">
        <f>IF(ISNONTEXT(TR!K569),"",TR!K569)</f>
        <v>TR-0-CC-REG-1308</v>
      </c>
      <c r="B569" s="32" t="str">
        <f>TR!A569</f>
        <v>TR-DSRSW-1934</v>
      </c>
      <c r="C569" s="31" t="b">
        <f>ISERROR(FIND("-",TR!B569))</f>
        <v>0</v>
      </c>
      <c r="D569" s="31">
        <f>SetIndent(E569,(TR!C569-1)*2)</f>
        <v>6</v>
      </c>
      <c r="E569" s="38" t="str">
        <f>IF(ISERROR(FIND("-",TR!B569)),TR!B569&amp;" "&amp;TR!D569,TR!D569)</f>
        <v>The product SHALL render DTVCC captions on the NTSC output, IF 
  DTVCC closed caption data IS present in the EIA-708 DTVCC transport, AND
  CEA-608 closed caption data is NOT present in the EIA-708 DTVCC transport, AND
  closed captioning is enabled.</v>
      </c>
      <c r="F569" s="31" t="str">
        <f>TR!E569</f>
        <v>Req</v>
      </c>
      <c r="G569" s="31" t="str">
        <f>IF(ISERROR(FIND("Adara",TR!F569)),"","Adara ")</f>
        <v xml:space="preserve">Adara </v>
      </c>
      <c r="H569" s="31" t="str">
        <f>IF(ISERROR(FIND("Copernicus",TR!F569)),"","Copernicus ")</f>
        <v xml:space="preserve">Copernicus </v>
      </c>
      <c r="I569" s="31" t="str">
        <f>IF(ISERROR(FIND("Deneb",TR!F569)),"","Deneb ")</f>
        <v xml:space="preserve">Deneb </v>
      </c>
      <c r="J569" s="37" t="str">
        <f t="shared" si="8"/>
        <v xml:space="preserve">Adara Copernicus Deneb </v>
      </c>
      <c r="K569" s="31" t="str">
        <f>IF(ISBLANK(TR!G569),"",TR!G569)</f>
        <v>Render
708 NTSC
w/o 608 present</v>
      </c>
      <c r="L569" s="31" t="str">
        <f>IF(ISBLANK(TR!H569),"",TR!H569)</f>
        <v>FR-DSRSW-1416</v>
      </c>
      <c r="M569" s="30" t="str">
        <f>TR!J569</f>
        <v>Modified</v>
      </c>
      <c r="N569" s="31" t="str">
        <f>IF(OR(M569="Modified",M569="Cosmetic"),VLOOKUP(B569,PrevPFS!B$1:E$833,4,FALSE),"")</f>
        <v>The product SHALL, when closed caption rendering is enabled, render CEA-708 captions on its NTSC output if CEA-708 caption data is present.</v>
      </c>
    </row>
    <row r="570" spans="1:14" ht="60" x14ac:dyDescent="0.25">
      <c r="A570" s="31" t="str">
        <f>IF(ISNONTEXT(TR!K570),"",TR!K570)</f>
        <v>TR-0-CC-REG-1310</v>
      </c>
      <c r="B570" s="32" t="str">
        <f>TR!A570</f>
        <v>TR-DSRSW-2589</v>
      </c>
      <c r="C570" s="31" t="b">
        <f>ISERROR(FIND("-",TR!B570))</f>
        <v>0</v>
      </c>
      <c r="D570" s="31">
        <f>SetIndent(E570,(TR!C570-1)*2)</f>
        <v>6</v>
      </c>
      <c r="E570" s="38" t="str">
        <f>IF(ISERROR(FIND("-",TR!B570)),TR!B570&amp;" "&amp;TR!D570,TR!D570)</f>
        <v>The product SHALL render DTVCC captions on the HDMI output, IF 
  DTVCC closed caption data IS present in the EIA-708 DTVCC transport, AND
  CEA-608 closed caption data IS present in the EIA-708 DTVCC transport, AND
  closed captioning is enabled.</v>
      </c>
      <c r="F570" s="31" t="str">
        <f>TR!E570</f>
        <v>Req</v>
      </c>
      <c r="G570" s="31" t="str">
        <f>IF(ISERROR(FIND("Adara",TR!F570)),"","Adara ")</f>
        <v xml:space="preserve">Adara </v>
      </c>
      <c r="H570" s="31" t="str">
        <f>IF(ISERROR(FIND("Copernicus",TR!F570)),"","Copernicus ")</f>
        <v xml:space="preserve">Copernicus </v>
      </c>
      <c r="I570" s="31" t="str">
        <f>IF(ISERROR(FIND("Deneb",TR!F570)),"","Deneb ")</f>
        <v xml:space="preserve">Deneb </v>
      </c>
      <c r="J570" s="37" t="str">
        <f t="shared" si="8"/>
        <v xml:space="preserve">Adara Copernicus Deneb </v>
      </c>
      <c r="K570" s="31" t="str">
        <f>IF(ISBLANK(TR!G570),"",TR!G570)</f>
        <v>Render
708 HDMI
w 608 present</v>
      </c>
      <c r="L570" s="31" t="str">
        <f>IF(ISBLANK(TR!H570),"",TR!H570)</f>
        <v>FR-DSRSW-1416</v>
      </c>
      <c r="M570" s="30" t="str">
        <f>TR!J570</f>
        <v>Added</v>
      </c>
      <c r="N570" s="31" t="str">
        <f>IF(OR(M570="Modified",M570="Cosmetic"),VLOOKUP(B570,PrevPFS!B$1:E$833,4,FALSE),"")</f>
        <v/>
      </c>
    </row>
    <row r="571" spans="1:14" ht="90" x14ac:dyDescent="0.25">
      <c r="A571" s="31" t="str">
        <f>IF(ISNONTEXT(TR!K571),"",TR!K571)</f>
        <v>TR-0-CC-REG-1306</v>
      </c>
      <c r="B571" s="32" t="str">
        <f>TR!A571</f>
        <v>TR-DSRSW-1933</v>
      </c>
      <c r="C571" s="31" t="b">
        <f>ISERROR(FIND("-",TR!B571))</f>
        <v>0</v>
      </c>
      <c r="D571" s="31">
        <f>SetIndent(E571,(TR!C571-1)*2)</f>
        <v>6</v>
      </c>
      <c r="E571" s="38" t="str">
        <f>IF(ISERROR(FIND("-",TR!B571)),TR!B571&amp;" "&amp;TR!D571,TR!D571)</f>
        <v>The product SHALL, when closed captioning is enabled, render CEA-608 closed captions received in SCTE-20 syntax on its HDMI output if only CEA-608 caption data is present (CEA-708 data is not present) and carried in SCTE-20 syntax and SCTE-21 syntax.</v>
      </c>
      <c r="F571" s="31" t="str">
        <f>TR!E571</f>
        <v>Req</v>
      </c>
      <c r="G571" s="31" t="str">
        <f>IF(ISERROR(FIND("Adara",TR!F571)),"","Adara ")</f>
        <v xml:space="preserve">Adara </v>
      </c>
      <c r="H571" s="31" t="str">
        <f>IF(ISERROR(FIND("Copernicus",TR!F571)),"","Copernicus ")</f>
        <v xml:space="preserve">Copernicus </v>
      </c>
      <c r="I571" s="31" t="str">
        <f>IF(ISERROR(FIND("Deneb",TR!F571)),"","Deneb ")</f>
        <v xml:space="preserve">Deneb </v>
      </c>
      <c r="J571" s="37" t="str">
        <f t="shared" si="8"/>
        <v xml:space="preserve">Adara Copernicus Deneb </v>
      </c>
      <c r="K571" s="31" t="str">
        <f>IF(ISBLANK(TR!G571),"",TR!G571)</f>
        <v>Delete this case because Shaw doesn't send SCTE-20 and 708 on the same channels.</v>
      </c>
      <c r="L571" s="31" t="str">
        <f>IF(ISBLANK(TR!H571),"",TR!H571)</f>
        <v>FR-DSRSW-1416</v>
      </c>
      <c r="M571" s="30" t="str">
        <f>TR!J571</f>
        <v>Deleted</v>
      </c>
      <c r="N571" s="31" t="str">
        <f>IF(OR(M571="Modified",M571="Cosmetic"),VLOOKUP(B571,PrevPFS!B$1:E$833,4,FALSE),"")</f>
        <v/>
      </c>
    </row>
    <row r="572" spans="1:14" ht="90" x14ac:dyDescent="0.25">
      <c r="A572" s="31" t="str">
        <f>IF(ISNONTEXT(TR!K572),"",TR!K572)</f>
        <v>TR-0-CC-REG-1304</v>
      </c>
      <c r="B572" s="32" t="str">
        <f>TR!A572</f>
        <v>TR-DSRSW-1931</v>
      </c>
      <c r="C572" s="31" t="b">
        <f>ISERROR(FIND("-",TR!B572))</f>
        <v>0</v>
      </c>
      <c r="D572" s="31">
        <f>SetIndent(E572,(TR!C572-1)*2)</f>
        <v>6</v>
      </c>
      <c r="E572" s="38" t="str">
        <f>IF(ISERROR(FIND("-",TR!B572)),TR!B572&amp;" "&amp;TR!D572,TR!D572)</f>
        <v>The product SHALL, when closed captioning is enabled, render CEA-608 closed captions received in SCTE-20 syntax on its NTSC output if only CEA-608 caption data is present (CEA-708 data is not present) and carried in SCTE-20 syntax and SCTE-21 syntax.</v>
      </c>
      <c r="F572" s="31" t="str">
        <f>TR!E572</f>
        <v>Req</v>
      </c>
      <c r="G572" s="31" t="str">
        <f>IF(ISERROR(FIND("Adara",TR!F572)),"","Adara ")</f>
        <v xml:space="preserve">Adara </v>
      </c>
      <c r="H572" s="31" t="str">
        <f>IF(ISERROR(FIND("Copernicus",TR!F572)),"","Copernicus ")</f>
        <v xml:space="preserve">Copernicus </v>
      </c>
      <c r="I572" s="31" t="str">
        <f>IF(ISERROR(FIND("Deneb",TR!F572)),"","Deneb ")</f>
        <v xml:space="preserve">Deneb </v>
      </c>
      <c r="J572" s="37" t="str">
        <f t="shared" si="8"/>
        <v xml:space="preserve">Adara Copernicus Deneb </v>
      </c>
      <c r="K572" s="31" t="str">
        <f>IF(ISBLANK(TR!G572),"",TR!G572)</f>
        <v>Delete this case because Shaw doesn't send SCTE-20 and 708 on the same channels.</v>
      </c>
      <c r="L572" s="31" t="str">
        <f>IF(ISBLANK(TR!H572),"",TR!H572)</f>
        <v>FR-DSRSW-1416</v>
      </c>
      <c r="M572" s="30" t="str">
        <f>TR!J572</f>
        <v>Deleted</v>
      </c>
      <c r="N572" s="31" t="str">
        <f>IF(OR(M572="Modified",M572="Cosmetic"),VLOOKUP(B572,PrevPFS!B$1:E$833,4,FALSE),"")</f>
        <v/>
      </c>
    </row>
    <row r="573" spans="1:14" ht="90" x14ac:dyDescent="0.25">
      <c r="A573" s="31" t="str">
        <f>IF(ISNONTEXT(TR!K573),"",TR!K573)</f>
        <v>TR-0-CC-REG-1034</v>
      </c>
      <c r="B573" s="32" t="str">
        <f>TR!A573</f>
        <v>TR-DSRSW-1858</v>
      </c>
      <c r="C573" s="31" t="b">
        <f>ISERROR(FIND("-",TR!B573))</f>
        <v>0</v>
      </c>
      <c r="D573" s="31">
        <f>SetIndent(E573,(TR!C573-1)*2)</f>
        <v>6</v>
      </c>
      <c r="E573" s="38" t="str">
        <f>IF(ISERROR(FIND("-",TR!B573)),TR!B573&amp;" "&amp;TR!D573,TR!D573)</f>
        <v>The product SHALL reconstruct Line 21, Field 1 and Field 2, of the VBI on its NTSC Outputs using the CEA-608 caption data that was received in SCTE-20 syntax if it is tuned to a Digital service where CEA-608 caption data is present in the MPEG-2 Picture User Data of the same MPEG video frame and carried in both the SCTE-20 syntax and SCTE-21 syntax.</v>
      </c>
      <c r="F573" s="31" t="str">
        <f>TR!E573</f>
        <v>Req</v>
      </c>
      <c r="G573" s="31" t="str">
        <f>IF(ISERROR(FIND("Adara",TR!F573)),"","Adara ")</f>
        <v xml:space="preserve">Adara </v>
      </c>
      <c r="H573" s="31" t="str">
        <f>IF(ISERROR(FIND("Copernicus",TR!F573)),"","Copernicus ")</f>
        <v xml:space="preserve">Copernicus </v>
      </c>
      <c r="I573" s="31" t="str">
        <f>IF(ISERROR(FIND("Deneb",TR!F573)),"","Deneb ")</f>
        <v xml:space="preserve">Deneb </v>
      </c>
      <c r="J573" s="37" t="str">
        <f t="shared" si="8"/>
        <v xml:space="preserve">Adara Copernicus Deneb </v>
      </c>
      <c r="K573" s="31" t="str">
        <f>IF(ISBLANK(TR!G573),"",TR!G573)</f>
        <v>Delete this case because Shaw doesn't send SCTE-20 and 708 on the same channels.</v>
      </c>
      <c r="L573" s="31" t="str">
        <f>IF(ISBLANK(TR!H573),"",TR!H573)</f>
        <v>FR-DSRSW-1416</v>
      </c>
      <c r="M573" s="30" t="str">
        <f>TR!J573</f>
        <v>Deleted</v>
      </c>
      <c r="N573" s="31" t="str">
        <f>IF(OR(M573="Modified",M573="Cosmetic"),VLOOKUP(B573,PrevPFS!B$1:E$833,4,FALSE),"")</f>
        <v/>
      </c>
    </row>
    <row r="574" spans="1:14" ht="60" x14ac:dyDescent="0.25">
      <c r="A574" s="31" t="str">
        <f>IF(ISNONTEXT(TR!K574),"",TR!K574)</f>
        <v>TR-0-CC-REG-1003</v>
      </c>
      <c r="B574" s="32" t="str">
        <f>TR!A574</f>
        <v>TR-DSRSW-1856</v>
      </c>
      <c r="C574" s="31" t="b">
        <f>ISERROR(FIND("-",TR!B574))</f>
        <v>0</v>
      </c>
      <c r="D574" s="31">
        <f>SetIndent(E574,(TR!C574-1)*2)</f>
        <v>6</v>
      </c>
      <c r="E574" s="38" t="str">
        <f>IF(ISERROR(FIND("-",TR!B574)),TR!B574&amp;" "&amp;TR!D574,TR!D574)</f>
        <v xml:space="preserve">The product SHALL reconstruct Line 21, Field 1 and Field 2, of the VBI on its NTSC Outputs if it is tuned to a Digital service where CEA-608 caption data is present in the MPEG-2 Picture User Data of the same MPEG video frame and carried in SCTE-21 syntax with cc_type equal to '01'. </v>
      </c>
      <c r="F574" s="31" t="str">
        <f>TR!E574</f>
        <v>Req</v>
      </c>
      <c r="G574" s="31" t="str">
        <f>IF(ISERROR(FIND("Adara",TR!F574)),"","Adara ")</f>
        <v xml:space="preserve">Adara </v>
      </c>
      <c r="H574" s="31" t="str">
        <f>IF(ISERROR(FIND("Copernicus",TR!F574)),"","Copernicus ")</f>
        <v xml:space="preserve">Copernicus </v>
      </c>
      <c r="I574" s="31" t="str">
        <f>IF(ISERROR(FIND("Deneb",TR!F574)),"","Deneb ")</f>
        <v xml:space="preserve">Deneb </v>
      </c>
      <c r="J574" s="37" t="str">
        <f t="shared" si="8"/>
        <v xml:space="preserve">Adara Copernicus Deneb </v>
      </c>
      <c r="K574" s="31" t="str">
        <f>IF(ISBLANK(TR!G574),"",TR!G574)</f>
        <v>cc_type removed</v>
      </c>
      <c r="L574" s="31" t="str">
        <f>IF(ISBLANK(TR!H574),"",TR!H574)</f>
        <v>FR-DSRSW-1416</v>
      </c>
      <c r="M574" s="30" t="str">
        <f>TR!J574</f>
        <v>Deleted</v>
      </c>
      <c r="N574" s="31" t="str">
        <f>IF(OR(M574="Modified",M574="Cosmetic"),VLOOKUP(B574,PrevPFS!B$1:E$833,4,FALSE),"")</f>
        <v/>
      </c>
    </row>
    <row r="575" spans="1:14" ht="60" x14ac:dyDescent="0.25">
      <c r="A575" s="31" t="str">
        <f>IF(ISNONTEXT(TR!K575),"",TR!K575)</f>
        <v>TR-0-CC-REG-1084</v>
      </c>
      <c r="B575" s="32" t="str">
        <f>TR!A575</f>
        <v>TR-DSRSW-1860</v>
      </c>
      <c r="C575" s="31" t="b">
        <f>ISERROR(FIND("-",TR!B575))</f>
        <v>0</v>
      </c>
      <c r="D575" s="31">
        <f>SetIndent(E575,(TR!C575-1)*2)</f>
        <v>6</v>
      </c>
      <c r="E575" s="38" t="str">
        <f>IF(ISERROR(FIND("-",TR!B575)),TR!B575&amp;" "&amp;TR!D575,TR!D575)</f>
        <v>The product SHALL reconstruct Line 21, Field 1 and Field 2, of the VBI on its NTSC Outputs if it is tuned to a Digital service where both CEA-608 caption data AND CEA-708 caption data are present in the MPEG-2 Picture User Data of the same MPEG video frame and carried in the SCTE-21 syntax with cc_type equal to '01' for the CEA-608 captions.</v>
      </c>
      <c r="F575" s="31" t="str">
        <f>TR!E575</f>
        <v>Req</v>
      </c>
      <c r="G575" s="31" t="str">
        <f>IF(ISERROR(FIND("Adara",TR!F575)),"","Adara ")</f>
        <v xml:space="preserve">Adara </v>
      </c>
      <c r="H575" s="31" t="str">
        <f>IF(ISERROR(FIND("Copernicus",TR!F575)),"","Copernicus ")</f>
        <v xml:space="preserve">Copernicus </v>
      </c>
      <c r="I575" s="31" t="str">
        <f>IF(ISERROR(FIND("Deneb",TR!F575)),"","Deneb ")</f>
        <v xml:space="preserve">Deneb </v>
      </c>
      <c r="J575" s="37" t="str">
        <f t="shared" si="8"/>
        <v xml:space="preserve">Adara Copernicus Deneb </v>
      </c>
      <c r="K575" s="31" t="str">
        <f>IF(ISBLANK(TR!G575),"",TR!G575)</f>
        <v>cc_type removed</v>
      </c>
      <c r="L575" s="31" t="str">
        <f>IF(ISBLANK(TR!H575),"",TR!H575)</f>
        <v>FR-DSRSW-1416</v>
      </c>
      <c r="M575" s="30" t="str">
        <f>TR!J575</f>
        <v>Deleted</v>
      </c>
      <c r="N575" s="31" t="str">
        <f>IF(OR(M575="Modified",M575="Cosmetic"),VLOOKUP(B575,PrevPFS!B$1:E$833,4,FALSE),"")</f>
        <v/>
      </c>
    </row>
    <row r="576" spans="1:14" ht="45" x14ac:dyDescent="0.25">
      <c r="A576" s="31" t="str">
        <f>IF(ISNONTEXT(TR!K576),"",TR!K576)</f>
        <v/>
      </c>
      <c r="B576" s="32" t="str">
        <f>TR!A576</f>
        <v>TR-DSRSW-2595</v>
      </c>
      <c r="C576" s="31" t="b">
        <f>ISERROR(FIND("-",TR!B576))</f>
        <v>1</v>
      </c>
      <c r="D576" s="31">
        <f>SetIndent(E576,(TR!C576-1)*2)</f>
        <v>4</v>
      </c>
      <c r="E576" s="35" t="str">
        <f>IF(ISERROR(FIND("-",TR!B576)),TR!B576&amp;" "&amp;TR!D576,TR!D576)</f>
        <v>25.1.3 Three Second Initialization</v>
      </c>
      <c r="F576" s="31" t="str">
        <f>TR!E576</f>
        <v>Hdr</v>
      </c>
      <c r="G576" s="31" t="str">
        <f>IF(ISERROR(FIND("Adara",TR!F576)),"","Adara ")</f>
        <v xml:space="preserve">Adara </v>
      </c>
      <c r="H576" s="31" t="str">
        <f>IF(ISERROR(FIND("Copernicus",TR!F576)),"","Copernicus ")</f>
        <v xml:space="preserve">Copernicus </v>
      </c>
      <c r="I576" s="31" t="str">
        <f>IF(ISERROR(FIND("Deneb",TR!F576)),"","Deneb ")</f>
        <v xml:space="preserve">Deneb </v>
      </c>
      <c r="J576" s="37" t="str">
        <f t="shared" si="8"/>
        <v xml:space="preserve">Adara Copernicus Deneb </v>
      </c>
      <c r="K576" s="31" t="str">
        <f>IF(ISBLANK(TR!G576),"",TR!G576)</f>
        <v/>
      </c>
      <c r="L576" s="31" t="str">
        <f>IF(ISBLANK(TR!H576),"",TR!H576)</f>
        <v/>
      </c>
      <c r="M576" s="30" t="str">
        <f>TR!J576</f>
        <v>Added</v>
      </c>
      <c r="N576" s="31" t="str">
        <f>IF(OR(M576="Modified",M576="Cosmetic"),VLOOKUP(B576,PrevPFS!B$1:E$833,4,FALSE),"")</f>
        <v/>
      </c>
    </row>
    <row r="577" spans="1:14" ht="45" x14ac:dyDescent="0.25">
      <c r="A577" s="31" t="str">
        <f>IF(ISNONTEXT(TR!K577),"",TR!K577)</f>
        <v>TR-0-CC-REG-1117</v>
      </c>
      <c r="B577" s="32" t="str">
        <f>TR!A577</f>
        <v>TR-DSRSW-1870</v>
      </c>
      <c r="C577" s="31" t="b">
        <f>ISERROR(FIND("-",TR!B577))</f>
        <v>0</v>
      </c>
      <c r="D577" s="31">
        <f>SetIndent(E577,(TR!C577-1)*2)</f>
        <v>6</v>
      </c>
      <c r="E577" s="38" t="str">
        <f>IF(ISERROR(FIND("-",TR!B577)),TR!B577&amp;" "&amp;TR!D577,TR!D577)</f>
        <v>The product SHALL begin rendering CEA-608 captions within (3) seconds if a digital service is tuned where SCTE-20 CEA-608 caption data is present in the MPEG-2 Picture User Data of the same MPEG video frame.</v>
      </c>
      <c r="F577" s="31" t="str">
        <f>TR!E577</f>
        <v>Req</v>
      </c>
      <c r="G577" s="31" t="str">
        <f>IF(ISERROR(FIND("Adara",TR!F577)),"","Adara ")</f>
        <v xml:space="preserve">Adara </v>
      </c>
      <c r="H577" s="31" t="str">
        <f>IF(ISERROR(FIND("Copernicus",TR!F577)),"","Copernicus ")</f>
        <v xml:space="preserve">Copernicus </v>
      </c>
      <c r="I577" s="31" t="str">
        <f>IF(ISERROR(FIND("Deneb",TR!F577)),"","Deneb ")</f>
        <v xml:space="preserve">Deneb </v>
      </c>
      <c r="J577" s="37" t="str">
        <f t="shared" si="8"/>
        <v xml:space="preserve">Adara Copernicus Deneb </v>
      </c>
      <c r="K577" s="31" t="str">
        <f>IF(ISBLANK(TR!G577),"",TR!G577)</f>
        <v>Render
608 tune</v>
      </c>
      <c r="L577" s="31" t="str">
        <f>IF(ISBLANK(TR!H577),"",TR!H577)</f>
        <v>FR-DSRSW-1416</v>
      </c>
      <c r="M577" s="30" t="str">
        <f>TR!J577</f>
        <v>Modified</v>
      </c>
      <c r="N577" s="31" t="str">
        <f>IF(OR(M577="Modified",M577="Cosmetic"),VLOOKUP(B577,PrevPFS!B$1:E$833,4,FALSE),"")</f>
        <v>The product SHALL begin rendering CEA-608 captions within (3) seconds if a Digital service is tuned where CEA-608 caption data is present in the MPEG-2 Picture User Data of the same MPEG video frame.</v>
      </c>
    </row>
    <row r="578" spans="1:14" ht="45" x14ac:dyDescent="0.25">
      <c r="A578" s="31" t="str">
        <f>IF(ISNONTEXT(TR!K578),"",TR!K578)</f>
        <v>TR-0-CC-REG-1117</v>
      </c>
      <c r="B578" s="32" t="str">
        <f>TR!A578</f>
        <v>TR-DSRSW-2591</v>
      </c>
      <c r="C578" s="31" t="b">
        <f>ISERROR(FIND("-",TR!B578))</f>
        <v>0</v>
      </c>
      <c r="D578" s="31">
        <f>SetIndent(E578,(TR!C578-1)*2)</f>
        <v>6</v>
      </c>
      <c r="E578" s="38" t="str">
        <f>IF(ISERROR(FIND("-",TR!B578)),TR!B578&amp;" "&amp;TR!D578,TR!D578)</f>
        <v xml:space="preserve">The product SHALL begin rendering CEA-608 captions within (3) seconds if a digital service is tuned where CEA-608 closed caption data is present in the EIA-708 DTVCC transport in the MPEG-2 Picture User Data of the same MPEG video frame.  </v>
      </c>
      <c r="F578" s="31" t="str">
        <f>TR!E578</f>
        <v>Req</v>
      </c>
      <c r="G578" s="31" t="str">
        <f>IF(ISERROR(FIND("Adara",TR!F578)),"","Adara ")</f>
        <v xml:space="preserve">Adara </v>
      </c>
      <c r="H578" s="31" t="str">
        <f>IF(ISERROR(FIND("Copernicus",TR!F578)),"","Copernicus ")</f>
        <v xml:space="preserve">Copernicus </v>
      </c>
      <c r="I578" s="31" t="str">
        <f>IF(ISERROR(FIND("Deneb",TR!F578)),"","Deneb ")</f>
        <v xml:space="preserve">Deneb </v>
      </c>
      <c r="J578" s="37" t="str">
        <f t="shared" si="8"/>
        <v xml:space="preserve">Adara Copernicus Deneb </v>
      </c>
      <c r="K578" s="31" t="str">
        <f>IF(ISBLANK(TR!G578),"",TR!G578)</f>
        <v>Render
608 tune</v>
      </c>
      <c r="L578" s="31" t="str">
        <f>IF(ISBLANK(TR!H578),"",TR!H578)</f>
        <v>FR-DSRSW-1416</v>
      </c>
      <c r="M578" s="30" t="str">
        <f>TR!J578</f>
        <v>Added</v>
      </c>
      <c r="N578" s="31" t="str">
        <f>IF(OR(M578="Modified",M578="Cosmetic"),VLOOKUP(B578,PrevPFS!B$1:E$833,4,FALSE),"")</f>
        <v/>
      </c>
    </row>
    <row r="579" spans="1:14" ht="60" x14ac:dyDescent="0.25">
      <c r="A579" s="31" t="str">
        <f>IF(ISNONTEXT(TR!K579),"",TR!K579)</f>
        <v>TR-0-CC-REG-1116</v>
      </c>
      <c r="B579" s="32" t="str">
        <f>TR!A579</f>
        <v>TR-DSRSW-1869</v>
      </c>
      <c r="C579" s="31" t="b">
        <f>ISERROR(FIND("-",TR!B579))</f>
        <v>0</v>
      </c>
      <c r="D579" s="31">
        <f>SetIndent(E579,(TR!C579-1)*2)</f>
        <v>6</v>
      </c>
      <c r="E579" s="38" t="str">
        <f>IF(ISERROR(FIND("-",TR!B579)),TR!B579&amp;" "&amp;TR!D579,TR!D579)</f>
        <v>The product SHALL begin reconstructing Line 21, Field 1 and Field 2, of the VBI within (3) seconds if a digital service is tuned where SCTE-20 CEA-608 closed caption data is present in the MPEG-2 Picture User Data of the same MPEG video frame.</v>
      </c>
      <c r="F579" s="31" t="str">
        <f>TR!E579</f>
        <v>Req</v>
      </c>
      <c r="G579" s="31" t="str">
        <f>IF(ISERROR(FIND("Adara",TR!F579)),"","Adara ")</f>
        <v xml:space="preserve">Adara </v>
      </c>
      <c r="H579" s="31" t="str">
        <f>IF(ISERROR(FIND("Copernicus",TR!F579)),"","Copernicus ")</f>
        <v xml:space="preserve">Copernicus </v>
      </c>
      <c r="I579" s="31" t="str">
        <f>IF(ISERROR(FIND("Deneb",TR!F579)),"","Deneb ")</f>
        <v xml:space="preserve">Deneb </v>
      </c>
      <c r="J579" s="37" t="str">
        <f t="shared" ref="J579:J617" si="9">G579&amp;H579&amp;I579</f>
        <v xml:space="preserve">Adara Copernicus Deneb </v>
      </c>
      <c r="K579" s="31" t="str">
        <f>IF(ISBLANK(TR!G579),"",TR!G579)</f>
        <v xml:space="preserve">VBI 
608 tune
</v>
      </c>
      <c r="L579" s="31" t="str">
        <f>IF(ISBLANK(TR!H579),"",TR!H579)</f>
        <v>FR-DSRSW-1416</v>
      </c>
      <c r="M579" s="30" t="str">
        <f>TR!J579</f>
        <v>Modified</v>
      </c>
      <c r="N579" s="31" t="str">
        <f>IF(OR(M579="Modified",M579="Cosmetic"),VLOOKUP(B579,PrevPFS!B$1:E$833,4,FALSE),"")</f>
        <v>The product SHALL begin reconstructing Line 21, Field 1 and Field 2, of the VBI within (3) seconds if a Digital service is tuned where CEA-608 caption data is present in the MPEG-2 Picture User Data of the same MPEG video frame.</v>
      </c>
    </row>
    <row r="580" spans="1:14" ht="45" x14ac:dyDescent="0.25">
      <c r="A580" s="31" t="str">
        <f>IF(ISNONTEXT(TR!K580),"",TR!K580)</f>
        <v>TR-0-CC-REG-1116</v>
      </c>
      <c r="B580" s="32" t="str">
        <f>TR!A580</f>
        <v>TR-DSRSW-2592</v>
      </c>
      <c r="C580" s="31" t="b">
        <f>ISERROR(FIND("-",TR!B580))</f>
        <v>0</v>
      </c>
      <c r="D580" s="31">
        <f>SetIndent(E580,(TR!C580-1)*2)</f>
        <v>6</v>
      </c>
      <c r="E580" s="38" t="str">
        <f>IF(ISERROR(FIND("-",TR!B580)),TR!B580&amp;" "&amp;TR!D580,TR!D580)</f>
        <v>The product SHALL begin reconstructing Line 21, Field 1 and Field 2, of the VBI within (3) seconds if a digital service is tuned where CEA-608 closed caption data is present in the EIA-708 DTVCC transport in the MPEG-2 Picture User Data of the same MPEG video frame</v>
      </c>
      <c r="F580" s="31" t="str">
        <f>TR!E580</f>
        <v>Req</v>
      </c>
      <c r="G580" s="31" t="str">
        <f>IF(ISERROR(FIND("Adara",TR!F580)),"","Adara ")</f>
        <v xml:space="preserve">Adara </v>
      </c>
      <c r="H580" s="31" t="str">
        <f>IF(ISERROR(FIND("Copernicus",TR!F580)),"","Copernicus ")</f>
        <v xml:space="preserve">Copernicus </v>
      </c>
      <c r="I580" s="31" t="str">
        <f>IF(ISERROR(FIND("Deneb",TR!F580)),"","Deneb ")</f>
        <v xml:space="preserve">Deneb </v>
      </c>
      <c r="J580" s="37" t="str">
        <f t="shared" si="9"/>
        <v xml:space="preserve">Adara Copernicus Deneb </v>
      </c>
      <c r="K580" s="31" t="str">
        <f>IF(ISBLANK(TR!G580),"",TR!G580)</f>
        <v xml:space="preserve">VBI 
608 tune
</v>
      </c>
      <c r="L580" s="31" t="str">
        <f>IF(ISBLANK(TR!H580),"",TR!H580)</f>
        <v>FR-DSRSW-1416</v>
      </c>
      <c r="M580" s="30" t="str">
        <f>TR!J580</f>
        <v>Added</v>
      </c>
      <c r="N580" s="31" t="str">
        <f>IF(OR(M580="Modified",M580="Cosmetic"),VLOOKUP(B580,PrevPFS!B$1:E$833,4,FALSE),"")</f>
        <v/>
      </c>
    </row>
    <row r="581" spans="1:14" ht="45" x14ac:dyDescent="0.25">
      <c r="A581" s="31" t="str">
        <f>IF(ISNONTEXT(TR!K581),"",TR!K581)</f>
        <v>TR-0-CC-REG-1118</v>
      </c>
      <c r="B581" s="32" t="str">
        <f>TR!A581</f>
        <v>TR-DSRSW-1871</v>
      </c>
      <c r="C581" s="31" t="b">
        <f>ISERROR(FIND("-",TR!B581))</f>
        <v>0</v>
      </c>
      <c r="D581" s="31">
        <f>SetIndent(E581,(TR!C581-1)*2)</f>
        <v>6</v>
      </c>
      <c r="E581" s="38" t="str">
        <f>IF(ISERROR(FIND("-",TR!B581)),TR!B581&amp;" "&amp;TR!D581,TR!D581)</f>
        <v>The product SHALL begin rendering CEA-708 captions within (3) seconds if a Digital service is tuned where CEA-708 DTVCC caption data is present in the MPEG-2 Picture User Data of the same MPEG video frame.</v>
      </c>
      <c r="F581" s="31" t="str">
        <f>TR!E581</f>
        <v>Req</v>
      </c>
      <c r="G581" s="31" t="str">
        <f>IF(ISERROR(FIND("Adara",TR!F581)),"","Adara ")</f>
        <v xml:space="preserve">Adara </v>
      </c>
      <c r="H581" s="31" t="str">
        <f>IF(ISERROR(FIND("Copernicus",TR!F581)),"","Copernicus ")</f>
        <v xml:space="preserve">Copernicus </v>
      </c>
      <c r="I581" s="31" t="str">
        <f>IF(ISERROR(FIND("Deneb",TR!F581)),"","Deneb ")</f>
        <v xml:space="preserve">Deneb </v>
      </c>
      <c r="J581" s="37" t="str">
        <f t="shared" si="9"/>
        <v xml:space="preserve">Adara Copernicus Deneb </v>
      </c>
      <c r="K581" s="31" t="str">
        <f>IF(ISBLANK(TR!G581),"",TR!G581)</f>
        <v>Render
708 tune</v>
      </c>
      <c r="L581" s="31" t="str">
        <f>IF(ISBLANK(TR!H581),"",TR!H581)</f>
        <v>FR-DSRSW-1416</v>
      </c>
      <c r="M581" s="30" t="str">
        <f>TR!J581</f>
        <v>Modified</v>
      </c>
      <c r="N581" s="31" t="str">
        <f>IF(OR(M581="Modified",M581="Cosmetic"),VLOOKUP(B581,PrevPFS!B$1:E$833,4,FALSE),"")</f>
        <v>The product SHALL begin rendering CEA-708 captions within (3) seconds if a Digital service is tuned where CEA-708 caption data is present in the MPEG-2 Picture User Data of the same MPEG video frame.</v>
      </c>
    </row>
    <row r="582" spans="1:14" ht="45" x14ac:dyDescent="0.25">
      <c r="A582" s="31" t="str">
        <f>IF(ISNONTEXT(TR!K582),"",TR!K582)</f>
        <v/>
      </c>
      <c r="B582" s="32" t="str">
        <f>TR!A582</f>
        <v>TR-DSRSW-2527</v>
      </c>
      <c r="C582" s="31" t="b">
        <f>ISERROR(FIND("-",TR!B582))</f>
        <v>1</v>
      </c>
      <c r="D582" s="31">
        <f>SetIndent(E582,(TR!C582-1)*2)</f>
        <v>4</v>
      </c>
      <c r="E582" s="35" t="str">
        <f>IF(ISERROR(FIND("-",TR!B582)),TR!B582&amp;" "&amp;TR!D582,TR!D582)</f>
        <v>25.1.5 Transtions</v>
      </c>
      <c r="F582" s="31" t="str">
        <f>TR!E582</f>
        <v>Hdr</v>
      </c>
      <c r="G582" s="31" t="str">
        <f>IF(ISERROR(FIND("Adara",TR!F582)),"","Adara ")</f>
        <v xml:space="preserve">Adara </v>
      </c>
      <c r="H582" s="31" t="str">
        <f>IF(ISERROR(FIND("Copernicus",TR!F582)),"","Copernicus ")</f>
        <v xml:space="preserve">Copernicus </v>
      </c>
      <c r="I582" s="31" t="str">
        <f>IF(ISERROR(FIND("Deneb",TR!F582)),"","Deneb ")</f>
        <v xml:space="preserve">Deneb </v>
      </c>
      <c r="J582" s="37" t="str">
        <f t="shared" si="9"/>
        <v xml:space="preserve">Adara Copernicus Deneb </v>
      </c>
      <c r="K582" s="31" t="str">
        <f>IF(ISBLANK(TR!G582),"",TR!G582)</f>
        <v/>
      </c>
      <c r="L582" s="31" t="str">
        <f>IF(ISBLANK(TR!H582),"",TR!H582)</f>
        <v/>
      </c>
      <c r="M582" s="30" t="str">
        <f>TR!J582</f>
        <v>Deleted</v>
      </c>
      <c r="N582" s="31" t="str">
        <f>IF(OR(M582="Modified",M582="Cosmetic"),VLOOKUP(B582,PrevPFS!B$1:E$833,4,FALSE),"")</f>
        <v/>
      </c>
    </row>
    <row r="583" spans="1:14" ht="45" x14ac:dyDescent="0.25">
      <c r="A583" s="31" t="str">
        <f>IF(ISNONTEXT(TR!K583),"",TR!K583)</f>
        <v>TR-0-CC-REG-1111</v>
      </c>
      <c r="B583" s="32" t="str">
        <f>TR!A583</f>
        <v>TR-DSRSW-1864</v>
      </c>
      <c r="C583" s="31" t="b">
        <f>ISERROR(FIND("-",TR!B583))</f>
        <v>0</v>
      </c>
      <c r="D583" s="31">
        <f>SetIndent(E583,(TR!C583-1)*2)</f>
        <v>6</v>
      </c>
      <c r="E583" s="38" t="str">
        <f>IF(ISERROR(FIND("-",TR!B583)),TR!B583&amp;" "&amp;TR!D583,TR!D583)</f>
        <v>The product SHALL begin rendering CEA-608 captions within three (3) seconds of a transition to a Digital service where CEA-608 caption data is present.</v>
      </c>
      <c r="F583" s="31" t="str">
        <f>TR!E583</f>
        <v>Req</v>
      </c>
      <c r="G583" s="31" t="str">
        <f>IF(ISERROR(FIND("Adara",TR!F583)),"","Adara ")</f>
        <v xml:space="preserve">Adara </v>
      </c>
      <c r="H583" s="31" t="str">
        <f>IF(ISERROR(FIND("Copernicus",TR!F583)),"","Copernicus ")</f>
        <v xml:space="preserve">Copernicus </v>
      </c>
      <c r="I583" s="31" t="str">
        <f>IF(ISERROR(FIND("Deneb",TR!F583)),"","Deneb ")</f>
        <v xml:space="preserve">Deneb </v>
      </c>
      <c r="J583" s="37" t="str">
        <f t="shared" si="9"/>
        <v xml:space="preserve">Adara Copernicus Deneb </v>
      </c>
      <c r="K583" s="31" t="str">
        <f>IF(ISBLANK(TR!G583),"",TR!G583)</f>
        <v>Redundant to DRSSW-1870</v>
      </c>
      <c r="L583" s="31" t="str">
        <f>IF(ISBLANK(TR!H583),"",TR!H583)</f>
        <v>FR-DSRSW-1416</v>
      </c>
      <c r="M583" s="30" t="str">
        <f>TR!J583</f>
        <v>Deleted</v>
      </c>
      <c r="N583" s="31" t="str">
        <f>IF(OR(M583="Modified",M583="Cosmetic"),VLOOKUP(B583,PrevPFS!B$1:E$833,4,FALSE),"")</f>
        <v/>
      </c>
    </row>
    <row r="584" spans="1:14" ht="60" x14ac:dyDescent="0.25">
      <c r="A584" s="31" t="str">
        <f>IF(ISNONTEXT(TR!K584),"",TR!K584)</f>
        <v>TR-0-CC-REG-1113</v>
      </c>
      <c r="B584" s="32" t="str">
        <f>TR!A584</f>
        <v>TR-DSRSW-1866</v>
      </c>
      <c r="C584" s="31" t="b">
        <f>ISERROR(FIND("-",TR!B584))</f>
        <v>0</v>
      </c>
      <c r="D584" s="31">
        <f>SetIndent(E584,(TR!C584-1)*2)</f>
        <v>6</v>
      </c>
      <c r="E584" s="38" t="str">
        <f>IF(ISERROR(FIND("-",TR!B584)),TR!B584&amp;" "&amp;TR!D584,TR!D584)</f>
        <v>The product SHALL begin rendering CEA-608 captions within three (3) seconds if the closed caption transport syntax transitions from SCTE-21 to SCTE-20 while tuned to a Digital service where CEA-608 caption data is present in the MPEG-2 Picture User Data of the same MPEG video frame.</v>
      </c>
      <c r="F584" s="31" t="str">
        <f>TR!E584</f>
        <v>Req</v>
      </c>
      <c r="G584" s="31" t="str">
        <f>IF(ISERROR(FIND("Adara",TR!F584)),"","Adara ")</f>
        <v xml:space="preserve">Adara </v>
      </c>
      <c r="H584" s="31" t="str">
        <f>IF(ISERROR(FIND("Copernicus",TR!F584)),"","Copernicus ")</f>
        <v xml:space="preserve">Copernicus </v>
      </c>
      <c r="I584" s="31" t="str">
        <f>IF(ISERROR(FIND("Deneb",TR!F584)),"","Deneb ")</f>
        <v xml:space="preserve">Deneb </v>
      </c>
      <c r="J584" s="37" t="str">
        <f t="shared" si="9"/>
        <v xml:space="preserve">Adara Copernicus Deneb </v>
      </c>
      <c r="K584" s="31" t="str">
        <f>IF(ISBLANK(TR!G584),"",TR!G584)</f>
        <v>Transitions do not occur in proper programming.</v>
      </c>
      <c r="L584" s="31" t="str">
        <f>IF(ISBLANK(TR!H584),"",TR!H584)</f>
        <v>FR-DSRSW-1416</v>
      </c>
      <c r="M584" s="30" t="str">
        <f>TR!J584</f>
        <v>Deleted</v>
      </c>
      <c r="N584" s="31" t="str">
        <f>IF(OR(M584="Modified",M584="Cosmetic"),VLOOKUP(B584,PrevPFS!B$1:E$833,4,FALSE),"")</f>
        <v/>
      </c>
    </row>
    <row r="585" spans="1:14" ht="60" x14ac:dyDescent="0.25">
      <c r="A585" s="31" t="str">
        <f>IF(ISNONTEXT(TR!K585),"",TR!K585)</f>
        <v>TR-0-CC-REG-1115</v>
      </c>
      <c r="B585" s="32" t="str">
        <f>TR!A585</f>
        <v>TR-DSRSW-1868</v>
      </c>
      <c r="C585" s="31" t="b">
        <f>ISERROR(FIND("-",TR!B585))</f>
        <v>0</v>
      </c>
      <c r="D585" s="31">
        <f>SetIndent(E585,(TR!C585-1)*2)</f>
        <v>6</v>
      </c>
      <c r="E585" s="38" t="str">
        <f>IF(ISERROR(FIND("-",TR!B585)),TR!B585&amp;" "&amp;TR!D585,TR!D585)</f>
        <v>The product SHALL begin rendering CEA-608 captions within three (3) seconds if the closed caption transport syntax transitions from SCTE-20 to SCTE-21 while tuned to a Digital service where CEA-608 caption data is present in the MPEG-2 Picture User Data of the same MPEG video frame.</v>
      </c>
      <c r="F585" s="31" t="str">
        <f>TR!E585</f>
        <v>Req</v>
      </c>
      <c r="G585" s="31" t="str">
        <f>IF(ISERROR(FIND("Adara",TR!F585)),"","Adara ")</f>
        <v xml:space="preserve">Adara </v>
      </c>
      <c r="H585" s="31" t="str">
        <f>IF(ISERROR(FIND("Copernicus",TR!F585)),"","Copernicus ")</f>
        <v xml:space="preserve">Copernicus </v>
      </c>
      <c r="I585" s="31" t="str">
        <f>IF(ISERROR(FIND("Deneb",TR!F585)),"","Deneb ")</f>
        <v xml:space="preserve">Deneb </v>
      </c>
      <c r="J585" s="37" t="str">
        <f t="shared" si="9"/>
        <v xml:space="preserve">Adara Copernicus Deneb </v>
      </c>
      <c r="K585" s="31" t="str">
        <f>IF(ISBLANK(TR!G585),"",TR!G585)</f>
        <v>Transitions do not occur in proper programming.</v>
      </c>
      <c r="L585" s="31" t="str">
        <f>IF(ISBLANK(TR!H585),"",TR!H585)</f>
        <v>FR-DSRSW-1416</v>
      </c>
      <c r="M585" s="30" t="str">
        <f>TR!J585</f>
        <v>Deleted</v>
      </c>
      <c r="N585" s="31" t="str">
        <f>IF(OR(M585="Modified",M585="Cosmetic"),VLOOKUP(B585,PrevPFS!B$1:E$833,4,FALSE),"")</f>
        <v/>
      </c>
    </row>
    <row r="586" spans="1:14" ht="60" x14ac:dyDescent="0.25">
      <c r="A586" s="31" t="str">
        <f>IF(ISNONTEXT(TR!K586),"",TR!K586)</f>
        <v>TR-0-CC-REG-1121</v>
      </c>
      <c r="B586" s="32" t="str">
        <f>TR!A586</f>
        <v>TR-DSRSW-1874</v>
      </c>
      <c r="C586" s="31" t="b">
        <f>ISERROR(FIND("-",TR!B586))</f>
        <v>0</v>
      </c>
      <c r="D586" s="31">
        <f>SetIndent(E586,(TR!C586-1)*2)</f>
        <v>6</v>
      </c>
      <c r="E586" s="38" t="str">
        <f>IF(ISERROR(FIND("-",TR!B586)),TR!B586&amp;" "&amp;TR!D586,TR!D586)</f>
        <v>The product SHALL begin rendering CEA-608 captions within (3) seconds if the closed caption data format transitions from CEA-708 to CEA-608 while tuned to a Digital service.</v>
      </c>
      <c r="F586" s="31" t="str">
        <f>TR!E586</f>
        <v>Req</v>
      </c>
      <c r="G586" s="31" t="str">
        <f>IF(ISERROR(FIND("Adara",TR!F586)),"","Adara ")</f>
        <v xml:space="preserve">Adara </v>
      </c>
      <c r="H586" s="31" t="str">
        <f>IF(ISERROR(FIND("Copernicus",TR!F586)),"","Copernicus ")</f>
        <v xml:space="preserve">Copernicus </v>
      </c>
      <c r="I586" s="31" t="str">
        <f>IF(ISERROR(FIND("Deneb",TR!F586)),"","Deneb ")</f>
        <v xml:space="preserve">Deneb </v>
      </c>
      <c r="J586" s="37" t="str">
        <f t="shared" si="9"/>
        <v xml:space="preserve">Adara Copernicus Deneb </v>
      </c>
      <c r="K586" s="31" t="str">
        <f>IF(ISBLANK(TR!G586),"",TR!G586)</f>
        <v>Transitions do not occur in proper programming.</v>
      </c>
      <c r="L586" s="31" t="str">
        <f>IF(ISBLANK(TR!H586),"",TR!H586)</f>
        <v>FR-DSRSW-1416</v>
      </c>
      <c r="M586" s="30" t="str">
        <f>TR!J586</f>
        <v>Deleted</v>
      </c>
      <c r="N586" s="31" t="str">
        <f>IF(OR(M586="Modified",M586="Cosmetic"),VLOOKUP(B586,PrevPFS!B$1:E$833,4,FALSE),"")</f>
        <v/>
      </c>
    </row>
    <row r="587" spans="1:14" ht="60" x14ac:dyDescent="0.25">
      <c r="A587" s="31" t="str">
        <f>IF(ISNONTEXT(TR!K587),"",TR!K587)</f>
        <v>TR-0-CC-REG-1119</v>
      </c>
      <c r="B587" s="32" t="str">
        <f>TR!A587</f>
        <v>TR-DSRSW-1872</v>
      </c>
      <c r="C587" s="31" t="b">
        <f>ISERROR(FIND("-",TR!B587))</f>
        <v>0</v>
      </c>
      <c r="D587" s="31">
        <f>SetIndent(E587,(TR!C587-1)*2)</f>
        <v>6</v>
      </c>
      <c r="E587" s="38" t="str">
        <f>IF(ISERROR(FIND("-",TR!B587)),TR!B587&amp;" "&amp;TR!D587,TR!D587)</f>
        <v>The product SHALL begin rendering CEA-708 captions within (3) seconds if the closed caption data format transitions from CEA-608 to CEA-708 while tuned to a Digital service.</v>
      </c>
      <c r="F587" s="31" t="str">
        <f>TR!E587</f>
        <v>Req</v>
      </c>
      <c r="G587" s="31" t="str">
        <f>IF(ISERROR(FIND("Adara",TR!F587)),"","Adara ")</f>
        <v xml:space="preserve">Adara </v>
      </c>
      <c r="H587" s="31" t="str">
        <f>IF(ISERROR(FIND("Copernicus",TR!F587)),"","Copernicus ")</f>
        <v xml:space="preserve">Copernicus </v>
      </c>
      <c r="I587" s="31" t="str">
        <f>IF(ISERROR(FIND("Deneb",TR!F587)),"","Deneb ")</f>
        <v xml:space="preserve">Deneb </v>
      </c>
      <c r="J587" s="37" t="str">
        <f t="shared" si="9"/>
        <v xml:space="preserve">Adara Copernicus Deneb </v>
      </c>
      <c r="K587" s="31" t="str">
        <f>IF(ISBLANK(TR!G587),"",TR!G587)</f>
        <v>Transitions do not occur in proper programming.</v>
      </c>
      <c r="L587" s="31" t="str">
        <f>IF(ISBLANK(TR!H587),"",TR!H587)</f>
        <v>FR-DSRSW-1416</v>
      </c>
      <c r="M587" s="30" t="str">
        <f>TR!J587</f>
        <v>Deleted</v>
      </c>
      <c r="N587" s="31" t="str">
        <f>IF(OR(M587="Modified",M587="Cosmetic"),VLOOKUP(B587,PrevPFS!B$1:E$833,4,FALSE),"")</f>
        <v/>
      </c>
    </row>
    <row r="588" spans="1:14" ht="60" x14ac:dyDescent="0.25">
      <c r="A588" s="31" t="str">
        <f>IF(ISNONTEXT(TR!K588),"",TR!K588)</f>
        <v>TR-0-CC-REG-1112</v>
      </c>
      <c r="B588" s="32" t="str">
        <f>TR!A588</f>
        <v>TR-DSRSW-1865</v>
      </c>
      <c r="C588" s="31" t="b">
        <f>ISERROR(FIND("-",TR!B588))</f>
        <v>0</v>
      </c>
      <c r="D588" s="31">
        <f>SetIndent(E588,(TR!C588-1)*2)</f>
        <v>6</v>
      </c>
      <c r="E588" s="38" t="str">
        <f>IF(ISERROR(FIND("-",TR!B588)),TR!B588&amp;" "&amp;TR!D588,TR!D588)</f>
        <v>The product SHALL begin reconstructing Line 21, Field 1 and Field 2, of the VBI within three (3) seconds if the closed caption transport syntax transitions from SCTE-21 to SCTE-20 while tuned to a Digital service where CEA-608 caption data is present in the MPEG-2 Picture User Data of the same MPEG video frame.</v>
      </c>
      <c r="F588" s="31" t="str">
        <f>TR!E588</f>
        <v>Req</v>
      </c>
      <c r="G588" s="31" t="str">
        <f>IF(ISERROR(FIND("Adara",TR!F588)),"","Adara ")</f>
        <v xml:space="preserve">Adara </v>
      </c>
      <c r="H588" s="31" t="str">
        <f>IF(ISERROR(FIND("Copernicus",TR!F588)),"","Copernicus ")</f>
        <v xml:space="preserve">Copernicus </v>
      </c>
      <c r="I588" s="31" t="str">
        <f>IF(ISERROR(FIND("Deneb",TR!F588)),"","Deneb ")</f>
        <v xml:space="preserve">Deneb </v>
      </c>
      <c r="J588" s="37" t="str">
        <f t="shared" si="9"/>
        <v xml:space="preserve">Adara Copernicus Deneb </v>
      </c>
      <c r="K588" s="31" t="str">
        <f>IF(ISBLANK(TR!G588),"",TR!G588)</f>
        <v>Transitions do not occur in proper programming.</v>
      </c>
      <c r="L588" s="31" t="str">
        <f>IF(ISBLANK(TR!H588),"",TR!H588)</f>
        <v>FR-DSRSW-1416</v>
      </c>
      <c r="M588" s="30" t="str">
        <f>TR!J588</f>
        <v>Deleted</v>
      </c>
      <c r="N588" s="31" t="str">
        <f>IF(OR(M588="Modified",M588="Cosmetic"),VLOOKUP(B588,PrevPFS!B$1:E$833,4,FALSE),"")</f>
        <v/>
      </c>
    </row>
    <row r="589" spans="1:14" ht="60" x14ac:dyDescent="0.25">
      <c r="A589" s="31" t="str">
        <f>IF(ISNONTEXT(TR!K589),"",TR!K589)</f>
        <v>TR-0-CC-REG-1114</v>
      </c>
      <c r="B589" s="32" t="str">
        <f>TR!A589</f>
        <v>TR-DSRSW-1867</v>
      </c>
      <c r="C589" s="31" t="b">
        <f>ISERROR(FIND("-",TR!B589))</f>
        <v>0</v>
      </c>
      <c r="D589" s="31">
        <f>SetIndent(E589,(TR!C589-1)*2)</f>
        <v>6</v>
      </c>
      <c r="E589" s="38" t="str">
        <f>IF(ISERROR(FIND("-",TR!B589)),TR!B589&amp;" "&amp;TR!D589,TR!D589)</f>
        <v>The product SHALL begin reconstructing Line 21, Field 1 and Field 2, of the VBI within three (3) seconds if the closed caption transport syntax transitions from SCTE-20 to SCTE-21 while tuned to a Digital service where CEA-608 caption data is present in the MPEG-2 Picture User Data of the same MPEG video frame.</v>
      </c>
      <c r="F589" s="31" t="str">
        <f>TR!E589</f>
        <v>Req</v>
      </c>
      <c r="G589" s="31" t="str">
        <f>IF(ISERROR(FIND("Adara",TR!F589)),"","Adara ")</f>
        <v xml:space="preserve">Adara </v>
      </c>
      <c r="H589" s="31" t="str">
        <f>IF(ISERROR(FIND("Copernicus",TR!F589)),"","Copernicus ")</f>
        <v xml:space="preserve">Copernicus </v>
      </c>
      <c r="I589" s="31" t="str">
        <f>IF(ISERROR(FIND("Deneb",TR!F589)),"","Deneb ")</f>
        <v xml:space="preserve">Deneb </v>
      </c>
      <c r="J589" s="37" t="str">
        <f t="shared" si="9"/>
        <v xml:space="preserve">Adara Copernicus Deneb </v>
      </c>
      <c r="K589" s="31" t="str">
        <f>IF(ISBLANK(TR!G589),"",TR!G589)</f>
        <v>Transitions do not occur in proper programming.</v>
      </c>
      <c r="L589" s="31" t="str">
        <f>IF(ISBLANK(TR!H589),"",TR!H589)</f>
        <v>FR-DSRSW-1416</v>
      </c>
      <c r="M589" s="30" t="str">
        <f>TR!J589</f>
        <v>Deleted</v>
      </c>
      <c r="N589" s="31" t="str">
        <f>IF(OR(M589="Modified",M589="Cosmetic"),VLOOKUP(B589,PrevPFS!B$1:E$833,4,FALSE),"")</f>
        <v/>
      </c>
    </row>
    <row r="590" spans="1:14" ht="60" x14ac:dyDescent="0.25">
      <c r="A590" s="31" t="str">
        <f>IF(ISNONTEXT(TR!K590),"",TR!K590)</f>
        <v>TR-0-CC-REG-1120</v>
      </c>
      <c r="B590" s="32" t="str">
        <f>TR!A590</f>
        <v>TR-DSRSW-1873</v>
      </c>
      <c r="C590" s="31" t="b">
        <f>ISERROR(FIND("-",TR!B590))</f>
        <v>0</v>
      </c>
      <c r="D590" s="31">
        <f>SetIndent(E590,(TR!C590-1)*2)</f>
        <v>6</v>
      </c>
      <c r="E590" s="38" t="str">
        <f>IF(ISERROR(FIND("-",TR!B590)),TR!B590&amp;" "&amp;TR!D590,TR!D590)</f>
        <v>The product SHALL begin reconstructing Line 21, Field 1 and Field 2, of the VBI within three (3) seconds if the closed caption data format transitions from CEA-708 to CEA-608 while tuned to a Digital service.</v>
      </c>
      <c r="F590" s="31" t="str">
        <f>TR!E590</f>
        <v>Req</v>
      </c>
      <c r="G590" s="31" t="str">
        <f>IF(ISERROR(FIND("Adara",TR!F590)),"","Adara ")</f>
        <v xml:space="preserve">Adara </v>
      </c>
      <c r="H590" s="31" t="str">
        <f>IF(ISERROR(FIND("Copernicus",TR!F590)),"","Copernicus ")</f>
        <v xml:space="preserve">Copernicus </v>
      </c>
      <c r="I590" s="31" t="str">
        <f>IF(ISERROR(FIND("Deneb",TR!F590)),"","Deneb ")</f>
        <v xml:space="preserve">Deneb </v>
      </c>
      <c r="J590" s="37" t="str">
        <f t="shared" si="9"/>
        <v xml:space="preserve">Adara Copernicus Deneb </v>
      </c>
      <c r="K590" s="31" t="str">
        <f>IF(ISBLANK(TR!G590),"",TR!G590)</f>
        <v>Transitions do not occur in proper programming.</v>
      </c>
      <c r="L590" s="31" t="str">
        <f>IF(ISBLANK(TR!H590),"",TR!H590)</f>
        <v>FR-DSRSW-1416</v>
      </c>
      <c r="M590" s="30" t="str">
        <f>TR!J590</f>
        <v>Deleted</v>
      </c>
      <c r="N590" s="31" t="str">
        <f>IF(OR(M590="Modified",M590="Cosmetic"),VLOOKUP(B590,PrevPFS!B$1:E$833,4,FALSE),"")</f>
        <v/>
      </c>
    </row>
    <row r="591" spans="1:14" ht="45" x14ac:dyDescent="0.25">
      <c r="A591" s="31" t="str">
        <f>IF(ISNONTEXT(TR!K591),"",TR!K591)</f>
        <v/>
      </c>
      <c r="B591" s="32" t="str">
        <f>TR!A591</f>
        <v>TR-DSRSW-2528</v>
      </c>
      <c r="C591" s="31" t="b">
        <f>ISERROR(FIND("-",TR!B591))</f>
        <v>1</v>
      </c>
      <c r="D591" s="31">
        <f>SetIndent(E591,(TR!C591-1)*2)</f>
        <v>4</v>
      </c>
      <c r="E591" s="35" t="str">
        <f>IF(ISERROR(FIND("-",TR!B591)),TR!B591&amp;" "&amp;TR!D591,TR!D591)</f>
        <v>25.1.6 708 CC Font Style</v>
      </c>
      <c r="F591" s="31" t="str">
        <f>TR!E591</f>
        <v>Hdr</v>
      </c>
      <c r="G591" s="31" t="str">
        <f>IF(ISERROR(FIND("Adara",TR!F591)),"","Adara ")</f>
        <v xml:space="preserve">Adara </v>
      </c>
      <c r="H591" s="31" t="str">
        <f>IF(ISERROR(FIND("Copernicus",TR!F591)),"","Copernicus ")</f>
        <v xml:space="preserve">Copernicus </v>
      </c>
      <c r="I591" s="31" t="str">
        <f>IF(ISERROR(FIND("Deneb",TR!F591)),"","Deneb ")</f>
        <v xml:space="preserve">Deneb </v>
      </c>
      <c r="J591" s="37" t="str">
        <f t="shared" si="9"/>
        <v xml:space="preserve">Adara Copernicus Deneb </v>
      </c>
      <c r="K591" s="31" t="str">
        <f>IF(ISBLANK(TR!G591),"",TR!G591)</f>
        <v/>
      </c>
      <c r="L591" s="31" t="str">
        <f>IF(ISBLANK(TR!H591),"",TR!H591)</f>
        <v/>
      </c>
      <c r="M591" s="30" t="str">
        <f>TR!J591</f>
        <v>Approved</v>
      </c>
      <c r="N591" s="31" t="str">
        <f>IF(OR(M591="Modified",M591="Cosmetic"),VLOOKUP(B591,PrevPFS!B$1:E$833,4,FALSE),"")</f>
        <v/>
      </c>
    </row>
    <row r="592" spans="1:14" ht="45" x14ac:dyDescent="0.25">
      <c r="A592" s="31" t="str">
        <f>IF(ISNONTEXT(TR!K592),"",TR!K592)</f>
        <v>TR-0-CC-REG-1122</v>
      </c>
      <c r="B592" s="32" t="str">
        <f>TR!A592</f>
        <v>TR-DSRSW-1875</v>
      </c>
      <c r="C592" s="31" t="b">
        <f>ISERROR(FIND("-",TR!B592))</f>
        <v>0</v>
      </c>
      <c r="D592" s="31">
        <f>SetIndent(E592,(TR!C592-1)*2)</f>
        <v>6</v>
      </c>
      <c r="E592" s="38" t="str">
        <f>IF(ISERROR(FIND("-",TR!B592)),TR!B592&amp;" "&amp;TR!D592,TR!D592)</f>
        <v>The product SHALL disregard the '1000 000' seven-bit field of the SCTE-20 protocol when processing Closed Caption data carried in the SCTE-20 syntax.</v>
      </c>
      <c r="F592" s="31" t="str">
        <f>TR!E592</f>
        <v>Req</v>
      </c>
      <c r="G592" s="31" t="str">
        <f>IF(ISERROR(FIND("Adara",TR!F592)),"","Adara ")</f>
        <v xml:space="preserve">Adara </v>
      </c>
      <c r="H592" s="31" t="str">
        <f>IF(ISERROR(FIND("Copernicus",TR!F592)),"","Copernicus ")</f>
        <v xml:space="preserve">Copernicus </v>
      </c>
      <c r="I592" s="31" t="str">
        <f>IF(ISERROR(FIND("Deneb",TR!F592)),"","Deneb ")</f>
        <v xml:space="preserve">Deneb </v>
      </c>
      <c r="J592" s="37" t="str">
        <f t="shared" si="9"/>
        <v xml:space="preserve">Adara Copernicus Deneb </v>
      </c>
      <c r="K592" s="31" t="str">
        <f>IF(ISBLANK(TR!G592),"",TR!G592)</f>
        <v xml:space="preserve">Low level
</v>
      </c>
      <c r="L592" s="31" t="str">
        <f>IF(ISBLANK(TR!H592),"",TR!H592)</f>
        <v>FR-DSRSW-1416</v>
      </c>
      <c r="M592" s="30" t="str">
        <f>TR!J592</f>
        <v>Deleted</v>
      </c>
      <c r="N592" s="31" t="str">
        <f>IF(OR(M592="Modified",M592="Cosmetic"),VLOOKUP(B592,PrevPFS!B$1:E$833,4,FALSE),"")</f>
        <v/>
      </c>
    </row>
    <row r="593" spans="1:14" ht="45" x14ac:dyDescent="0.25">
      <c r="A593" s="31" t="str">
        <f>IF(ISNONTEXT(TR!K593),"",TR!K593)</f>
        <v>TR-0-CC-REG-1182</v>
      </c>
      <c r="B593" s="32" t="str">
        <f>TR!A593</f>
        <v>TR-DSRSW-1876</v>
      </c>
      <c r="C593" s="31" t="b">
        <f>ISERROR(FIND("-",TR!B593))</f>
        <v>0</v>
      </c>
      <c r="D593" s="31">
        <f>SetIndent(E593,(TR!C593-1)*2)</f>
        <v>6</v>
      </c>
      <c r="E593" s="38" t="str">
        <f>IF(ISERROR(FIND("-",TR!B593)),TR!B593&amp;" "&amp;TR!D593,TR!D593)</f>
        <v>The product SHALL render Closed Captions using the caption Font Style MONOSPACED WITH SERIFS, as defined in [CEA-708B - 1], if this font style is selected by the user.</v>
      </c>
      <c r="F593" s="31" t="str">
        <f>TR!E593</f>
        <v>Req</v>
      </c>
      <c r="G593" s="31" t="str">
        <f>IF(ISERROR(FIND("Adara",TR!F593)),"","Adara ")</f>
        <v xml:space="preserve">Adara </v>
      </c>
      <c r="H593" s="31" t="str">
        <f>IF(ISERROR(FIND("Copernicus",TR!F593)),"","Copernicus ")</f>
        <v xml:space="preserve">Copernicus </v>
      </c>
      <c r="I593" s="31" t="str">
        <f>IF(ISERROR(FIND("Deneb",TR!F593)),"","Deneb ")</f>
        <v xml:space="preserve">Deneb </v>
      </c>
      <c r="J593" s="37" t="str">
        <f t="shared" si="9"/>
        <v xml:space="preserve">Adara Copernicus Deneb </v>
      </c>
      <c r="K593" s="31" t="str">
        <f>IF(ISBLANK(TR!G593),"",TR!G593)</f>
        <v/>
      </c>
      <c r="L593" s="31" t="str">
        <f>IF(ISBLANK(TR!H593),"",TR!H593)</f>
        <v>FR-DSRSW-1416</v>
      </c>
      <c r="M593" s="30" t="str">
        <f>TR!J593</f>
        <v>Approved</v>
      </c>
      <c r="N593" s="31" t="str">
        <f>IF(OR(M593="Modified",M593="Cosmetic"),VLOOKUP(B593,PrevPFS!B$1:E$833,4,FALSE),"")</f>
        <v/>
      </c>
    </row>
    <row r="594" spans="1:14" ht="45" x14ac:dyDescent="0.25">
      <c r="A594" s="31" t="str">
        <f>IF(ISNONTEXT(TR!K594),"",TR!K594)</f>
        <v>TR-0-CC-REG-1183</v>
      </c>
      <c r="B594" s="32" t="str">
        <f>TR!A594</f>
        <v>TR-DSRSW-1877</v>
      </c>
      <c r="C594" s="31" t="b">
        <f>ISERROR(FIND("-",TR!B594))</f>
        <v>0</v>
      </c>
      <c r="D594" s="31">
        <f>SetIndent(E594,(TR!C594-1)*2)</f>
        <v>6</v>
      </c>
      <c r="E594" s="38" t="str">
        <f>IF(ISERROR(FIND("-",TR!B594)),TR!B594&amp;" "&amp;TR!D594,TR!D594)</f>
        <v>The product SHALL render Closed Captions using the caption Font Style PROPORTIONALLY SPACED WITH SERIFS, as defined in [CEA-708B - 1], if this font style is selected by the user.</v>
      </c>
      <c r="F594" s="31" t="str">
        <f>TR!E594</f>
        <v>Req</v>
      </c>
      <c r="G594" s="31" t="str">
        <f>IF(ISERROR(FIND("Adara",TR!F594)),"","Adara ")</f>
        <v xml:space="preserve">Adara </v>
      </c>
      <c r="H594" s="31" t="str">
        <f>IF(ISERROR(FIND("Copernicus",TR!F594)),"","Copernicus ")</f>
        <v xml:space="preserve">Copernicus </v>
      </c>
      <c r="I594" s="31" t="str">
        <f>IF(ISERROR(FIND("Deneb",TR!F594)),"","Deneb ")</f>
        <v xml:space="preserve">Deneb </v>
      </c>
      <c r="J594" s="37" t="str">
        <f t="shared" si="9"/>
        <v xml:space="preserve">Adara Copernicus Deneb </v>
      </c>
      <c r="K594" s="31" t="str">
        <f>IF(ISBLANK(TR!G594),"",TR!G594)</f>
        <v/>
      </c>
      <c r="L594" s="31" t="str">
        <f>IF(ISBLANK(TR!H594),"",TR!H594)</f>
        <v>FR-DSRSW-1416</v>
      </c>
      <c r="M594" s="30" t="str">
        <f>TR!J594</f>
        <v>Approved</v>
      </c>
      <c r="N594" s="31" t="str">
        <f>IF(OR(M594="Modified",M594="Cosmetic"),VLOOKUP(B594,PrevPFS!B$1:E$833,4,FALSE),"")</f>
        <v/>
      </c>
    </row>
    <row r="595" spans="1:14" ht="45" x14ac:dyDescent="0.25">
      <c r="A595" s="31" t="str">
        <f>IF(ISNONTEXT(TR!K595),"",TR!K595)</f>
        <v>TR-0-CC-REG-1184</v>
      </c>
      <c r="B595" s="32" t="str">
        <f>TR!A595</f>
        <v>TR-DSRSW-1878</v>
      </c>
      <c r="C595" s="31" t="b">
        <f>ISERROR(FIND("-",TR!B595))</f>
        <v>0</v>
      </c>
      <c r="D595" s="31">
        <f>SetIndent(E595,(TR!C595-1)*2)</f>
        <v>6</v>
      </c>
      <c r="E595" s="38" t="str">
        <f>IF(ISERROR(FIND("-",TR!B595)),TR!B595&amp;" "&amp;TR!D595,TR!D595)</f>
        <v>The product SHALL render Closed Captions using the caption Font Style MONOSPACED WITHOUT SERIFS, as defined in [CEA-708B - 1], if this font style is selected by the user.</v>
      </c>
      <c r="F595" s="31" t="str">
        <f>TR!E595</f>
        <v>Req</v>
      </c>
      <c r="G595" s="31" t="str">
        <f>IF(ISERROR(FIND("Adara",TR!F595)),"","Adara ")</f>
        <v xml:space="preserve">Adara </v>
      </c>
      <c r="H595" s="31" t="str">
        <f>IF(ISERROR(FIND("Copernicus",TR!F595)),"","Copernicus ")</f>
        <v xml:space="preserve">Copernicus </v>
      </c>
      <c r="I595" s="31" t="str">
        <f>IF(ISERROR(FIND("Deneb",TR!F595)),"","Deneb ")</f>
        <v xml:space="preserve">Deneb </v>
      </c>
      <c r="J595" s="37" t="str">
        <f t="shared" si="9"/>
        <v xml:space="preserve">Adara Copernicus Deneb </v>
      </c>
      <c r="K595" s="31" t="str">
        <f>IF(ISBLANK(TR!G595),"",TR!G595)</f>
        <v/>
      </c>
      <c r="L595" s="31" t="str">
        <f>IF(ISBLANK(TR!H595),"",TR!H595)</f>
        <v>FR-DSRSW-1416</v>
      </c>
      <c r="M595" s="30" t="str">
        <f>TR!J595</f>
        <v>Approved</v>
      </c>
      <c r="N595" s="31" t="str">
        <f>IF(OR(M595="Modified",M595="Cosmetic"),VLOOKUP(B595,PrevPFS!B$1:E$833,4,FALSE),"")</f>
        <v/>
      </c>
    </row>
    <row r="596" spans="1:14" ht="45" x14ac:dyDescent="0.25">
      <c r="A596" s="31" t="str">
        <f>IF(ISNONTEXT(TR!K596),"",TR!K596)</f>
        <v>TR-0-CC-REG-1185</v>
      </c>
      <c r="B596" s="32" t="str">
        <f>TR!A596</f>
        <v>TR-DSRSW-1879</v>
      </c>
      <c r="C596" s="31" t="b">
        <f>ISERROR(FIND("-",TR!B596))</f>
        <v>0</v>
      </c>
      <c r="D596" s="31">
        <f>SetIndent(E596,(TR!C596-1)*2)</f>
        <v>6</v>
      </c>
      <c r="E596" s="38" t="str">
        <f>IF(ISERROR(FIND("-",TR!B596)),TR!B596&amp;" "&amp;TR!D596,TR!D596)</f>
        <v>The product SHALL render Closed Captions using the caption Font Style PROPORTIONALLY SPACED WITHOUT SERIFS, as defined in [CEA-708B - 1], if this font style is selected by the user.</v>
      </c>
      <c r="F596" s="31" t="str">
        <f>TR!E596</f>
        <v>Req</v>
      </c>
      <c r="G596" s="31" t="str">
        <f>IF(ISERROR(FIND("Adara",TR!F596)),"","Adara ")</f>
        <v xml:space="preserve">Adara </v>
      </c>
      <c r="H596" s="31" t="str">
        <f>IF(ISERROR(FIND("Copernicus",TR!F596)),"","Copernicus ")</f>
        <v xml:space="preserve">Copernicus </v>
      </c>
      <c r="I596" s="31" t="str">
        <f>IF(ISERROR(FIND("Deneb",TR!F596)),"","Deneb ")</f>
        <v xml:space="preserve">Deneb </v>
      </c>
      <c r="J596" s="37" t="str">
        <f t="shared" si="9"/>
        <v xml:space="preserve">Adara Copernicus Deneb </v>
      </c>
      <c r="K596" s="31" t="str">
        <f>IF(ISBLANK(TR!G596),"",TR!G596)</f>
        <v/>
      </c>
      <c r="L596" s="31" t="str">
        <f>IF(ISBLANK(TR!H596),"",TR!H596)</f>
        <v>FR-DSRSW-1416</v>
      </c>
      <c r="M596" s="30" t="str">
        <f>TR!J596</f>
        <v>Approved</v>
      </c>
      <c r="N596" s="31" t="str">
        <f>IF(OR(M596="Modified",M596="Cosmetic"),VLOOKUP(B596,PrevPFS!B$1:E$833,4,FALSE),"")</f>
        <v/>
      </c>
    </row>
    <row r="597" spans="1:14" ht="45" x14ac:dyDescent="0.25">
      <c r="A597" s="31" t="str">
        <f>IF(ISNONTEXT(TR!K597),"",TR!K597)</f>
        <v>TR-0-CC-REG-1186</v>
      </c>
      <c r="B597" s="32" t="str">
        <f>TR!A597</f>
        <v>TR-DSRSW-1880</v>
      </c>
      <c r="C597" s="31" t="b">
        <f>ISERROR(FIND("-",TR!B597))</f>
        <v>0</v>
      </c>
      <c r="D597" s="31">
        <f>SetIndent(E597,(TR!C597-1)*2)</f>
        <v>6</v>
      </c>
      <c r="E597" s="38" t="str">
        <f>IF(ISERROR(FIND("-",TR!B597)),TR!B597&amp;" "&amp;TR!D597,TR!D597)</f>
        <v>The product SHALL render Closed Captions using the caption Font Style CASUAL, as defined in [CEA-708B - 1], if this font style is selected by the user.</v>
      </c>
      <c r="F597" s="31" t="str">
        <f>TR!E597</f>
        <v>Req</v>
      </c>
      <c r="G597" s="31" t="str">
        <f>IF(ISERROR(FIND("Adara",TR!F597)),"","Adara ")</f>
        <v xml:space="preserve">Adara </v>
      </c>
      <c r="H597" s="31" t="str">
        <f>IF(ISERROR(FIND("Copernicus",TR!F597)),"","Copernicus ")</f>
        <v xml:space="preserve">Copernicus </v>
      </c>
      <c r="I597" s="31" t="str">
        <f>IF(ISERROR(FIND("Deneb",TR!F597)),"","Deneb ")</f>
        <v xml:space="preserve">Deneb </v>
      </c>
      <c r="J597" s="37" t="str">
        <f t="shared" si="9"/>
        <v xml:space="preserve">Adara Copernicus Deneb </v>
      </c>
      <c r="K597" s="31" t="str">
        <f>IF(ISBLANK(TR!G597),"",TR!G597)</f>
        <v/>
      </c>
      <c r="L597" s="31" t="str">
        <f>IF(ISBLANK(TR!H597),"",TR!H597)</f>
        <v>FR-DSRSW-1416</v>
      </c>
      <c r="M597" s="30" t="str">
        <f>TR!J597</f>
        <v>Approved</v>
      </c>
      <c r="N597" s="31" t="str">
        <f>IF(OR(M597="Modified",M597="Cosmetic"),VLOOKUP(B597,PrevPFS!B$1:E$833,4,FALSE),"")</f>
        <v/>
      </c>
    </row>
    <row r="598" spans="1:14" ht="45" x14ac:dyDescent="0.25">
      <c r="A598" s="31" t="str">
        <f>IF(ISNONTEXT(TR!K598),"",TR!K598)</f>
        <v>TR-0-CC-REG-1187</v>
      </c>
      <c r="B598" s="32" t="str">
        <f>TR!A598</f>
        <v>TR-DSRSW-1881</v>
      </c>
      <c r="C598" s="31" t="b">
        <f>ISERROR(FIND("-",TR!B598))</f>
        <v>0</v>
      </c>
      <c r="D598" s="31">
        <f>SetIndent(E598,(TR!C598-1)*2)</f>
        <v>6</v>
      </c>
      <c r="E598" s="38" t="str">
        <f>IF(ISERROR(FIND("-",TR!B598)),TR!B598&amp;" "&amp;TR!D598,TR!D598)</f>
        <v>The product SHALL render Closed Captions using the caption Font Style CURSIVE, as defined in [CEA-708B - 1], if this font style is selected by the user.</v>
      </c>
      <c r="F598" s="31" t="str">
        <f>TR!E598</f>
        <v>Req</v>
      </c>
      <c r="G598" s="31" t="str">
        <f>IF(ISERROR(FIND("Adara",TR!F598)),"","Adara ")</f>
        <v xml:space="preserve">Adara </v>
      </c>
      <c r="H598" s="31" t="str">
        <f>IF(ISERROR(FIND("Copernicus",TR!F598)),"","Copernicus ")</f>
        <v xml:space="preserve">Copernicus </v>
      </c>
      <c r="I598" s="31" t="str">
        <f>IF(ISERROR(FIND("Deneb",TR!F598)),"","Deneb ")</f>
        <v xml:space="preserve">Deneb </v>
      </c>
      <c r="J598" s="37" t="str">
        <f t="shared" si="9"/>
        <v xml:space="preserve">Adara Copernicus Deneb </v>
      </c>
      <c r="K598" s="31" t="str">
        <f>IF(ISBLANK(TR!G598),"",TR!G598)</f>
        <v/>
      </c>
      <c r="L598" s="31" t="str">
        <f>IF(ISBLANK(TR!H598),"",TR!H598)</f>
        <v>FR-DSRSW-1416</v>
      </c>
      <c r="M598" s="30" t="str">
        <f>TR!J598</f>
        <v>Approved</v>
      </c>
      <c r="N598" s="31" t="str">
        <f>IF(OR(M598="Modified",M598="Cosmetic"),VLOOKUP(B598,PrevPFS!B$1:E$833,4,FALSE),"")</f>
        <v/>
      </c>
    </row>
    <row r="599" spans="1:14" ht="45" x14ac:dyDescent="0.25">
      <c r="A599" s="31" t="str">
        <f>IF(ISNONTEXT(TR!K599),"",TR!K599)</f>
        <v>TR-0-CC-REG-1188</v>
      </c>
      <c r="B599" s="32" t="str">
        <f>TR!A599</f>
        <v>TR-DSRSW-1882</v>
      </c>
      <c r="C599" s="31" t="b">
        <f>ISERROR(FIND("-",TR!B599))</f>
        <v>0</v>
      </c>
      <c r="D599" s="31">
        <f>SetIndent(E599,(TR!C599-1)*2)</f>
        <v>6</v>
      </c>
      <c r="E599" s="38" t="str">
        <f>IF(ISERROR(FIND("-",TR!B599)),TR!B599&amp;" "&amp;TR!D599,TR!D599)</f>
        <v>The product SHALL render Closed Captions using the caption Font Style SMALL CAPITALS, as defined in [CEA-708B - 1], if this font style is selected by the user.</v>
      </c>
      <c r="F599" s="31" t="str">
        <f>TR!E599</f>
        <v>Req</v>
      </c>
      <c r="G599" s="31" t="str">
        <f>IF(ISERROR(FIND("Adara",TR!F599)),"","Adara ")</f>
        <v xml:space="preserve">Adara </v>
      </c>
      <c r="H599" s="31" t="str">
        <f>IF(ISERROR(FIND("Copernicus",TR!F599)),"","Copernicus ")</f>
        <v xml:space="preserve">Copernicus </v>
      </c>
      <c r="I599" s="31" t="str">
        <f>IF(ISERROR(FIND("Deneb",TR!F599)),"","Deneb ")</f>
        <v xml:space="preserve">Deneb </v>
      </c>
      <c r="J599" s="37" t="str">
        <f t="shared" si="9"/>
        <v xml:space="preserve">Adara Copernicus Deneb </v>
      </c>
      <c r="K599" s="31" t="str">
        <f>IF(ISBLANK(TR!G599),"",TR!G599)</f>
        <v/>
      </c>
      <c r="L599" s="31" t="str">
        <f>IF(ISBLANK(TR!H599),"",TR!H599)</f>
        <v>FR-DSRSW-1416</v>
      </c>
      <c r="M599" s="30" t="str">
        <f>TR!J599</f>
        <v>Approved</v>
      </c>
      <c r="N599" s="31" t="str">
        <f>IF(OR(M599="Modified",M599="Cosmetic"),VLOOKUP(B599,PrevPFS!B$1:E$833,4,FALSE),"")</f>
        <v/>
      </c>
    </row>
    <row r="600" spans="1:14" ht="45" x14ac:dyDescent="0.25">
      <c r="A600" s="31" t="str">
        <f>IF(ISNONTEXT(TR!K600),"",TR!K600)</f>
        <v>TR-0-CC-REG-1190</v>
      </c>
      <c r="B600" s="32" t="str">
        <f>TR!A600</f>
        <v>TR-DSRSW-1883</v>
      </c>
      <c r="C600" s="31" t="b">
        <f>ISERROR(FIND("-",TR!B600))</f>
        <v>0</v>
      </c>
      <c r="D600" s="31">
        <f>SetIndent(E600,(TR!C600-1)*2)</f>
        <v>6</v>
      </c>
      <c r="E600" s="38" t="str">
        <f>IF(ISERROR(FIND("-",TR!B600)),TR!B600&amp;" "&amp;TR!D600,TR!D600)</f>
        <v>The product SHALL render Closed Captions using the caption Font Style selected by the caption provider if the user setting for the caption Font Style is AUTO.</v>
      </c>
      <c r="F600" s="31" t="str">
        <f>TR!E600</f>
        <v>Req</v>
      </c>
      <c r="G600" s="31" t="str">
        <f>IF(ISERROR(FIND("Adara",TR!F600)),"","Adara ")</f>
        <v xml:space="preserve">Adara </v>
      </c>
      <c r="H600" s="31" t="str">
        <f>IF(ISERROR(FIND("Copernicus",TR!F600)),"","Copernicus ")</f>
        <v xml:space="preserve">Copernicus </v>
      </c>
      <c r="I600" s="31" t="str">
        <f>IF(ISERROR(FIND("Deneb",TR!F600)),"","Deneb ")</f>
        <v xml:space="preserve">Deneb </v>
      </c>
      <c r="J600" s="37" t="str">
        <f t="shared" si="9"/>
        <v xml:space="preserve">Adara Copernicus Deneb </v>
      </c>
      <c r="K600" s="31" t="str">
        <f>IF(ISBLANK(TR!G600),"",TR!G600)</f>
        <v/>
      </c>
      <c r="L600" s="31" t="str">
        <f>IF(ISBLANK(TR!H600),"",TR!H600)</f>
        <v>FR-DSRSW-1416</v>
      </c>
      <c r="M600" s="30" t="str">
        <f>TR!J600</f>
        <v>Approved</v>
      </c>
      <c r="N600" s="31" t="str">
        <f>IF(OR(M600="Modified",M600="Cosmetic"),VLOOKUP(B600,PrevPFS!B$1:E$833,4,FALSE),"")</f>
        <v/>
      </c>
    </row>
    <row r="601" spans="1:14" ht="45" x14ac:dyDescent="0.25">
      <c r="A601" s="31" t="str">
        <f>IF(ISNONTEXT(TR!K601),"",TR!K601)</f>
        <v/>
      </c>
      <c r="B601" s="32" t="str">
        <f>TR!A601</f>
        <v>TR-DSRSW-2529</v>
      </c>
      <c r="C601" s="31" t="b">
        <f>ISERROR(FIND("-",TR!B601))</f>
        <v>1</v>
      </c>
      <c r="D601" s="31">
        <f>SetIndent(E601,(TR!C601-1)*2)</f>
        <v>4</v>
      </c>
      <c r="E601" s="35" t="str">
        <f>IF(ISERROR(FIND("-",TR!B601)),TR!B601&amp;" "&amp;TR!D601,TR!D601)</f>
        <v>25.1.7 708 CC Font Size</v>
      </c>
      <c r="F601" s="31" t="str">
        <f>TR!E601</f>
        <v>Hdr</v>
      </c>
      <c r="G601" s="31" t="str">
        <f>IF(ISERROR(FIND("Adara",TR!F601)),"","Adara ")</f>
        <v xml:space="preserve">Adara </v>
      </c>
      <c r="H601" s="31" t="str">
        <f>IF(ISERROR(FIND("Copernicus",TR!F601)),"","Copernicus ")</f>
        <v xml:space="preserve">Copernicus </v>
      </c>
      <c r="I601" s="31" t="str">
        <f>IF(ISERROR(FIND("Deneb",TR!F601)),"","Deneb ")</f>
        <v xml:space="preserve">Deneb </v>
      </c>
      <c r="J601" s="37" t="str">
        <f t="shared" si="9"/>
        <v xml:space="preserve">Adara Copernicus Deneb </v>
      </c>
      <c r="K601" s="31" t="str">
        <f>IF(ISBLANK(TR!G601),"",TR!G601)</f>
        <v/>
      </c>
      <c r="L601" s="31" t="str">
        <f>IF(ISBLANK(TR!H601),"",TR!H601)</f>
        <v/>
      </c>
      <c r="M601" s="30" t="str">
        <f>TR!J601</f>
        <v>Approved</v>
      </c>
      <c r="N601" s="31" t="str">
        <f>IF(OR(M601="Modified",M601="Cosmetic"),VLOOKUP(B601,PrevPFS!B$1:E$833,4,FALSE),"")</f>
        <v/>
      </c>
    </row>
    <row r="602" spans="1:14" ht="45" x14ac:dyDescent="0.25">
      <c r="A602" s="31" t="str">
        <f>IF(ISNONTEXT(TR!K602),"",TR!K602)</f>
        <v>TR-0-CC-REG-1192</v>
      </c>
      <c r="B602" s="32" t="str">
        <f>TR!A602</f>
        <v>TR-DSRSW-1884</v>
      </c>
      <c r="C602" s="31" t="b">
        <f>ISERROR(FIND("-",TR!B602))</f>
        <v>0</v>
      </c>
      <c r="D602" s="31">
        <f>SetIndent(E602,(TR!C602-1)*2)</f>
        <v>6</v>
      </c>
      <c r="E602" s="38" t="str">
        <f>IF(ISERROR(FIND("-",TR!B602)),TR!B602&amp;" "&amp;TR!D602,TR!D602)</f>
        <v>The product SHALL render Closed Captions using the caption Font Size STANDARD, as defined in [CEA-708B - 1], if this font size is selected by the user.</v>
      </c>
      <c r="F602" s="31" t="str">
        <f>TR!E602</f>
        <v>Req</v>
      </c>
      <c r="G602" s="31" t="str">
        <f>IF(ISERROR(FIND("Adara",TR!F602)),"","Adara ")</f>
        <v xml:space="preserve">Adara </v>
      </c>
      <c r="H602" s="31" t="str">
        <f>IF(ISERROR(FIND("Copernicus",TR!F602)),"","Copernicus ")</f>
        <v xml:space="preserve">Copernicus </v>
      </c>
      <c r="I602" s="31" t="str">
        <f>IF(ISERROR(FIND("Deneb",TR!F602)),"","Deneb ")</f>
        <v xml:space="preserve">Deneb </v>
      </c>
      <c r="J602" s="37" t="str">
        <f t="shared" si="9"/>
        <v xml:space="preserve">Adara Copernicus Deneb </v>
      </c>
      <c r="K602" s="31" t="str">
        <f>IF(ISBLANK(TR!G602),"",TR!G602)</f>
        <v/>
      </c>
      <c r="L602" s="31" t="str">
        <f>IF(ISBLANK(TR!H602),"",TR!H602)</f>
        <v>FR-DSRSW-1416</v>
      </c>
      <c r="M602" s="30" t="str">
        <f>TR!J602</f>
        <v>Approved</v>
      </c>
      <c r="N602" s="31" t="str">
        <f>IF(OR(M602="Modified",M602="Cosmetic"),VLOOKUP(B602,PrevPFS!B$1:E$833,4,FALSE),"")</f>
        <v/>
      </c>
    </row>
    <row r="603" spans="1:14" ht="45" x14ac:dyDescent="0.25">
      <c r="A603" s="31" t="str">
        <f>IF(ISNONTEXT(TR!K603),"",TR!K603)</f>
        <v>TR-0-CC-REG-1193</v>
      </c>
      <c r="B603" s="32" t="str">
        <f>TR!A603</f>
        <v>TR-DSRSW-1885</v>
      </c>
      <c r="C603" s="31" t="b">
        <f>ISERROR(FIND("-",TR!B603))</f>
        <v>0</v>
      </c>
      <c r="D603" s="31">
        <f>SetIndent(E603,(TR!C603-1)*2)</f>
        <v>6</v>
      </c>
      <c r="E603" s="38" t="str">
        <f>IF(ISERROR(FIND("-",TR!B603)),TR!B603&amp;" "&amp;TR!D603,TR!D603)</f>
        <v>The product SHALL render Closed Captions using the caption Font Size SMALL, as defined in [CEA-708B - 1], if this font size is selected by the user.</v>
      </c>
      <c r="F603" s="31" t="str">
        <f>TR!E603</f>
        <v>Req</v>
      </c>
      <c r="G603" s="31" t="str">
        <f>IF(ISERROR(FIND("Adara",TR!F603)),"","Adara ")</f>
        <v xml:space="preserve">Adara </v>
      </c>
      <c r="H603" s="31" t="str">
        <f>IF(ISERROR(FIND("Copernicus",TR!F603)),"","Copernicus ")</f>
        <v xml:space="preserve">Copernicus </v>
      </c>
      <c r="I603" s="31" t="str">
        <f>IF(ISERROR(FIND("Deneb",TR!F603)),"","Deneb ")</f>
        <v xml:space="preserve">Deneb </v>
      </c>
      <c r="J603" s="37" t="str">
        <f t="shared" si="9"/>
        <v xml:space="preserve">Adara Copernicus Deneb </v>
      </c>
      <c r="K603" s="31" t="str">
        <f>IF(ISBLANK(TR!G603),"",TR!G603)</f>
        <v/>
      </c>
      <c r="L603" s="31" t="str">
        <f>IF(ISBLANK(TR!H603),"",TR!H603)</f>
        <v>FR-DSRSW-1416</v>
      </c>
      <c r="M603" s="30" t="str">
        <f>TR!J603</f>
        <v>Approved</v>
      </c>
      <c r="N603" s="31" t="str">
        <f>IF(OR(M603="Modified",M603="Cosmetic"),VLOOKUP(B603,PrevPFS!B$1:E$833,4,FALSE),"")</f>
        <v/>
      </c>
    </row>
    <row r="604" spans="1:14" ht="45" x14ac:dyDescent="0.25">
      <c r="A604" s="31" t="str">
        <f>IF(ISNONTEXT(TR!K604),"",TR!K604)</f>
        <v>TR-0-CC-REG-1194</v>
      </c>
      <c r="B604" s="32" t="str">
        <f>TR!A604</f>
        <v>TR-DSRSW-1886</v>
      </c>
      <c r="C604" s="31" t="b">
        <f>ISERROR(FIND("-",TR!B604))</f>
        <v>0</v>
      </c>
      <c r="D604" s="31">
        <f>SetIndent(E604,(TR!C604-1)*2)</f>
        <v>6</v>
      </c>
      <c r="E604" s="38" t="str">
        <f>IF(ISERROR(FIND("-",TR!B604)),TR!B604&amp;" "&amp;TR!D604,TR!D604)</f>
        <v>The product SHALL render Closed Captions using the caption Font Size LARGE, as defined in [CEA-708B - 1], if this font size is selected by the user.</v>
      </c>
      <c r="F604" s="31" t="str">
        <f>TR!E604</f>
        <v>Req</v>
      </c>
      <c r="G604" s="31" t="str">
        <f>IF(ISERROR(FIND("Adara",TR!F604)),"","Adara ")</f>
        <v xml:space="preserve">Adara </v>
      </c>
      <c r="H604" s="31" t="str">
        <f>IF(ISERROR(FIND("Copernicus",TR!F604)),"","Copernicus ")</f>
        <v xml:space="preserve">Copernicus </v>
      </c>
      <c r="I604" s="31" t="str">
        <f>IF(ISERROR(FIND("Deneb",TR!F604)),"","Deneb ")</f>
        <v xml:space="preserve">Deneb </v>
      </c>
      <c r="J604" s="37" t="str">
        <f t="shared" si="9"/>
        <v xml:space="preserve">Adara Copernicus Deneb </v>
      </c>
      <c r="K604" s="31" t="str">
        <f>IF(ISBLANK(TR!G604),"",TR!G604)</f>
        <v/>
      </c>
      <c r="L604" s="31" t="str">
        <f>IF(ISBLANK(TR!H604),"",TR!H604)</f>
        <v>FR-DSRSW-1416</v>
      </c>
      <c r="M604" s="30" t="str">
        <f>TR!J604</f>
        <v>Approved</v>
      </c>
      <c r="N604" s="31" t="str">
        <f>IF(OR(M604="Modified",M604="Cosmetic"),VLOOKUP(B604,PrevPFS!B$1:E$833,4,FALSE),"")</f>
        <v/>
      </c>
    </row>
    <row r="605" spans="1:14" ht="45" x14ac:dyDescent="0.25">
      <c r="A605" s="31" t="str">
        <f>IF(ISNONTEXT(TR!K605),"",TR!K605)</f>
        <v>TR-0-CC-REG-1195</v>
      </c>
      <c r="B605" s="32" t="str">
        <f>TR!A605</f>
        <v>TR-DSRSW-1887</v>
      </c>
      <c r="C605" s="31" t="b">
        <f>ISERROR(FIND("-",TR!B605))</f>
        <v>0</v>
      </c>
      <c r="D605" s="31">
        <f>SetIndent(E605,(TR!C605-1)*2)</f>
        <v>6</v>
      </c>
      <c r="E605" s="38" t="str">
        <f>IF(ISERROR(FIND("-",TR!B605)),TR!B605&amp;" "&amp;TR!D605,TR!D605)</f>
        <v>The product SHALL set the caption Font Size to AUTO by default.</v>
      </c>
      <c r="F605" s="31" t="str">
        <f>TR!E605</f>
        <v>Req</v>
      </c>
      <c r="G605" s="31" t="str">
        <f>IF(ISERROR(FIND("Adara",TR!F605)),"","Adara ")</f>
        <v xml:space="preserve">Adara </v>
      </c>
      <c r="H605" s="31" t="str">
        <f>IF(ISERROR(FIND("Copernicus",TR!F605)),"","Copernicus ")</f>
        <v xml:space="preserve">Copernicus </v>
      </c>
      <c r="I605" s="31" t="str">
        <f>IF(ISERROR(FIND("Deneb",TR!F605)),"","Deneb ")</f>
        <v xml:space="preserve">Deneb </v>
      </c>
      <c r="J605" s="37" t="str">
        <f t="shared" si="9"/>
        <v xml:space="preserve">Adara Copernicus Deneb </v>
      </c>
      <c r="K605" s="31" t="str">
        <f>IF(ISBLANK(TR!G605),"",TR!G605)</f>
        <v/>
      </c>
      <c r="L605" s="31" t="str">
        <f>IF(ISBLANK(TR!H605),"",TR!H605)</f>
        <v>FR-DSRSW-1416</v>
      </c>
      <c r="M605" s="30" t="str">
        <f>TR!J605</f>
        <v>Approved</v>
      </c>
      <c r="N605" s="31" t="str">
        <f>IF(OR(M605="Modified",M605="Cosmetic"),VLOOKUP(B605,PrevPFS!B$1:E$833,4,FALSE),"")</f>
        <v/>
      </c>
    </row>
    <row r="606" spans="1:14" ht="45" x14ac:dyDescent="0.25">
      <c r="A606" s="31" t="str">
        <f>IF(ISNONTEXT(TR!K606),"",TR!K606)</f>
        <v>TR-0-CC-REG-1196</v>
      </c>
      <c r="B606" s="32" t="str">
        <f>TR!A606</f>
        <v>TR-DSRSW-1888</v>
      </c>
      <c r="C606" s="31" t="b">
        <f>ISERROR(FIND("-",TR!B606))</f>
        <v>0</v>
      </c>
      <c r="D606" s="31">
        <f>SetIndent(E606,(TR!C606-1)*2)</f>
        <v>6</v>
      </c>
      <c r="E606" s="38" t="str">
        <f>IF(ISERROR(FIND("-",TR!B606)),TR!B606&amp;" "&amp;TR!D606,TR!D606)</f>
        <v>The product SHALL render Closed Captions using the caption Font Size selected by the caption provider if the user setting for the caption Font Size is AUTO.</v>
      </c>
      <c r="F606" s="31" t="str">
        <f>TR!E606</f>
        <v>Req</v>
      </c>
      <c r="G606" s="31" t="str">
        <f>IF(ISERROR(FIND("Adara",TR!F606)),"","Adara ")</f>
        <v xml:space="preserve">Adara </v>
      </c>
      <c r="H606" s="31" t="str">
        <f>IF(ISERROR(FIND("Copernicus",TR!F606)),"","Copernicus ")</f>
        <v xml:space="preserve">Copernicus </v>
      </c>
      <c r="I606" s="31" t="str">
        <f>IF(ISERROR(FIND("Deneb",TR!F606)),"","Deneb ")</f>
        <v xml:space="preserve">Deneb </v>
      </c>
      <c r="J606" s="37" t="str">
        <f t="shared" si="9"/>
        <v xml:space="preserve">Adara Copernicus Deneb </v>
      </c>
      <c r="K606" s="31" t="str">
        <f>IF(ISBLANK(TR!G606),"",TR!G606)</f>
        <v/>
      </c>
      <c r="L606" s="31" t="str">
        <f>IF(ISBLANK(TR!H606),"",TR!H606)</f>
        <v>FR-DSRSW-1416</v>
      </c>
      <c r="M606" s="30" t="str">
        <f>TR!J606</f>
        <v>Approved</v>
      </c>
      <c r="N606" s="31" t="str">
        <f>IF(OR(M606="Modified",M606="Cosmetic"),VLOOKUP(B606,PrevPFS!B$1:E$833,4,FALSE),"")</f>
        <v/>
      </c>
    </row>
    <row r="607" spans="1:14" ht="45" x14ac:dyDescent="0.25">
      <c r="A607" s="31" t="str">
        <f>IF(ISNONTEXT(TR!K607),"",TR!K607)</f>
        <v/>
      </c>
      <c r="B607" s="32" t="str">
        <f>TR!A607</f>
        <v>TR-DSRSW-2530</v>
      </c>
      <c r="C607" s="31" t="b">
        <f>ISERROR(FIND("-",TR!B607))</f>
        <v>1</v>
      </c>
      <c r="D607" s="31">
        <f>SetIndent(E607,(TR!C607-1)*2)</f>
        <v>4</v>
      </c>
      <c r="E607" s="35" t="str">
        <f>IF(ISERROR(FIND("-",TR!B607)),TR!B607&amp;" "&amp;TR!D607,TR!D607)</f>
        <v>25.1.8 708 CC Font Color</v>
      </c>
      <c r="F607" s="31" t="str">
        <f>TR!E607</f>
        <v>Hdr</v>
      </c>
      <c r="G607" s="31" t="str">
        <f>IF(ISERROR(FIND("Adara",TR!F607)),"","Adara ")</f>
        <v xml:space="preserve">Adara </v>
      </c>
      <c r="H607" s="31" t="str">
        <f>IF(ISERROR(FIND("Copernicus",TR!F607)),"","Copernicus ")</f>
        <v xml:space="preserve">Copernicus </v>
      </c>
      <c r="I607" s="31" t="str">
        <f>IF(ISERROR(FIND("Deneb",TR!F607)),"","Deneb ")</f>
        <v xml:space="preserve">Deneb </v>
      </c>
      <c r="J607" s="37" t="str">
        <f t="shared" si="9"/>
        <v xml:space="preserve">Adara Copernicus Deneb </v>
      </c>
      <c r="K607" s="31" t="str">
        <f>IF(ISBLANK(TR!G607),"",TR!G607)</f>
        <v/>
      </c>
      <c r="L607" s="31" t="str">
        <f>IF(ISBLANK(TR!H607),"",TR!H607)</f>
        <v/>
      </c>
      <c r="M607" s="30" t="str">
        <f>TR!J607</f>
        <v>Approved</v>
      </c>
      <c r="N607" s="31" t="str">
        <f>IF(OR(M607="Modified",M607="Cosmetic"),VLOOKUP(B607,PrevPFS!B$1:E$833,4,FALSE),"")</f>
        <v/>
      </c>
    </row>
    <row r="608" spans="1:14" ht="45" x14ac:dyDescent="0.25">
      <c r="A608" s="31" t="str">
        <f>IF(ISNONTEXT(TR!K608),"",TR!K608)</f>
        <v>TR-0-CC-REG-1197</v>
      </c>
      <c r="B608" s="32" t="str">
        <f>TR!A608</f>
        <v>TR-DSRSW-1889</v>
      </c>
      <c r="C608" s="31" t="b">
        <f>ISERROR(FIND("-",TR!B608))</f>
        <v>0</v>
      </c>
      <c r="D608" s="31">
        <f>SetIndent(E608,(TR!C608-1)*2)</f>
        <v>6</v>
      </c>
      <c r="E608" s="38" t="str">
        <f>IF(ISERROR(FIND("-",TR!B608)),TR!B608&amp;" "&amp;TR!D608,TR!D608)</f>
        <v>The product SHALL render Closed Captions using the caption Font Color WHITE, as defined in [CEA-708B - 1], if this font color is selected by the user.</v>
      </c>
      <c r="F608" s="31" t="str">
        <f>TR!E608</f>
        <v>Req</v>
      </c>
      <c r="G608" s="31" t="str">
        <f>IF(ISERROR(FIND("Adara",TR!F608)),"","Adara ")</f>
        <v xml:space="preserve">Adara </v>
      </c>
      <c r="H608" s="31" t="str">
        <f>IF(ISERROR(FIND("Copernicus",TR!F608)),"","Copernicus ")</f>
        <v xml:space="preserve">Copernicus </v>
      </c>
      <c r="I608" s="31" t="str">
        <f>IF(ISERROR(FIND("Deneb",TR!F608)),"","Deneb ")</f>
        <v xml:space="preserve">Deneb </v>
      </c>
      <c r="J608" s="37" t="str">
        <f t="shared" si="9"/>
        <v xml:space="preserve">Adara Copernicus Deneb </v>
      </c>
      <c r="K608" s="31" t="str">
        <f>IF(ISBLANK(TR!G608),"",TR!G608)</f>
        <v/>
      </c>
      <c r="L608" s="31" t="str">
        <f>IF(ISBLANK(TR!H608),"",TR!H608)</f>
        <v>FR-DSRSW-1416</v>
      </c>
      <c r="M608" s="30" t="str">
        <f>TR!J608</f>
        <v>Approved</v>
      </c>
      <c r="N608" s="31" t="str">
        <f>IF(OR(M608="Modified",M608="Cosmetic"),VLOOKUP(B608,PrevPFS!B$1:E$833,4,FALSE),"")</f>
        <v/>
      </c>
    </row>
    <row r="609" spans="1:14" ht="45" x14ac:dyDescent="0.25">
      <c r="A609" s="31" t="str">
        <f>IF(ISNONTEXT(TR!K609),"",TR!K609)</f>
        <v>TR-0-CC-REG-1198</v>
      </c>
      <c r="B609" s="32" t="str">
        <f>TR!A609</f>
        <v>TR-DSRSW-1890</v>
      </c>
      <c r="C609" s="31" t="b">
        <f>ISERROR(FIND("-",TR!B609))</f>
        <v>0</v>
      </c>
      <c r="D609" s="31">
        <f>SetIndent(E609,(TR!C609-1)*2)</f>
        <v>6</v>
      </c>
      <c r="E609" s="38" t="str">
        <f>IF(ISERROR(FIND("-",TR!B609)),TR!B609&amp;" "&amp;TR!D609,TR!D609)</f>
        <v>The product SHALL render Closed Captions using the caption Font Color BLACK, as defined in [CEA-708B - 1], if this font color is selected by the user.</v>
      </c>
      <c r="F609" s="31" t="str">
        <f>TR!E609</f>
        <v>Req</v>
      </c>
      <c r="G609" s="31" t="str">
        <f>IF(ISERROR(FIND("Adara",TR!F609)),"","Adara ")</f>
        <v xml:space="preserve">Adara </v>
      </c>
      <c r="H609" s="31" t="str">
        <f>IF(ISERROR(FIND("Copernicus",TR!F609)),"","Copernicus ")</f>
        <v xml:space="preserve">Copernicus </v>
      </c>
      <c r="I609" s="31" t="str">
        <f>IF(ISERROR(FIND("Deneb",TR!F609)),"","Deneb ")</f>
        <v xml:space="preserve">Deneb </v>
      </c>
      <c r="J609" s="37" t="str">
        <f t="shared" si="9"/>
        <v xml:space="preserve">Adara Copernicus Deneb </v>
      </c>
      <c r="K609" s="31" t="str">
        <f>IF(ISBLANK(TR!G609),"",TR!G609)</f>
        <v/>
      </c>
      <c r="L609" s="31" t="str">
        <f>IF(ISBLANK(TR!H609),"",TR!H609)</f>
        <v>FR-DSRSW-1416</v>
      </c>
      <c r="M609" s="30" t="str">
        <f>TR!J609</f>
        <v>Approved</v>
      </c>
      <c r="N609" s="31" t="str">
        <f>IF(OR(M609="Modified",M609="Cosmetic"),VLOOKUP(B609,PrevPFS!B$1:E$833,4,FALSE),"")</f>
        <v/>
      </c>
    </row>
    <row r="610" spans="1:14" ht="45" x14ac:dyDescent="0.25">
      <c r="A610" s="31" t="str">
        <f>IF(ISNONTEXT(TR!K610),"",TR!K610)</f>
        <v>TR-0-CC-REG-1199</v>
      </c>
      <c r="B610" s="32" t="str">
        <f>TR!A610</f>
        <v>TR-DSRSW-1891</v>
      </c>
      <c r="C610" s="31" t="b">
        <f>ISERROR(FIND("-",TR!B610))</f>
        <v>0</v>
      </c>
      <c r="D610" s="31">
        <f>SetIndent(E610,(TR!C610-1)*2)</f>
        <v>6</v>
      </c>
      <c r="E610" s="38" t="str">
        <f>IF(ISERROR(FIND("-",TR!B610)),TR!B610&amp;" "&amp;TR!D610,TR!D610)</f>
        <v>The product SHALL render Closed Captions using the caption Font Color RED, as defined in [CEA-708B - 1], if this font color is selected by the user.</v>
      </c>
      <c r="F610" s="31" t="str">
        <f>TR!E610</f>
        <v>Req</v>
      </c>
      <c r="G610" s="31" t="str">
        <f>IF(ISERROR(FIND("Adara",TR!F610)),"","Adara ")</f>
        <v xml:space="preserve">Adara </v>
      </c>
      <c r="H610" s="31" t="str">
        <f>IF(ISERROR(FIND("Copernicus",TR!F610)),"","Copernicus ")</f>
        <v xml:space="preserve">Copernicus </v>
      </c>
      <c r="I610" s="31" t="str">
        <f>IF(ISERROR(FIND("Deneb",TR!F610)),"","Deneb ")</f>
        <v xml:space="preserve">Deneb </v>
      </c>
      <c r="J610" s="37" t="str">
        <f t="shared" si="9"/>
        <v xml:space="preserve">Adara Copernicus Deneb </v>
      </c>
      <c r="K610" s="31" t="str">
        <f>IF(ISBLANK(TR!G610),"",TR!G610)</f>
        <v/>
      </c>
      <c r="L610" s="31" t="str">
        <f>IF(ISBLANK(TR!H610),"",TR!H610)</f>
        <v>FR-DSRSW-1416</v>
      </c>
      <c r="M610" s="30" t="str">
        <f>TR!J610</f>
        <v>Approved</v>
      </c>
      <c r="N610" s="31" t="str">
        <f>IF(OR(M610="Modified",M610="Cosmetic"),VLOOKUP(B610,PrevPFS!B$1:E$833,4,FALSE),"")</f>
        <v/>
      </c>
    </row>
    <row r="611" spans="1:14" ht="45" x14ac:dyDescent="0.25">
      <c r="A611" s="31" t="str">
        <f>IF(ISNONTEXT(TR!K611),"",TR!K611)</f>
        <v>TR-0-CC-REG-1200</v>
      </c>
      <c r="B611" s="32" t="str">
        <f>TR!A611</f>
        <v>TR-DSRSW-1892</v>
      </c>
      <c r="C611" s="31" t="b">
        <f>ISERROR(FIND("-",TR!B611))</f>
        <v>0</v>
      </c>
      <c r="D611" s="31">
        <f>SetIndent(E611,(TR!C611-1)*2)</f>
        <v>6</v>
      </c>
      <c r="E611" s="38" t="str">
        <f>IF(ISERROR(FIND("-",TR!B611)),TR!B611&amp;" "&amp;TR!D611,TR!D611)</f>
        <v>The product SHALL render Closed Captions using the caption Font Color GREEN, as defined in [CEA-708B - 1], if this font color is selected by the user.</v>
      </c>
      <c r="F611" s="31" t="str">
        <f>TR!E611</f>
        <v>Req</v>
      </c>
      <c r="G611" s="31" t="str">
        <f>IF(ISERROR(FIND("Adara",TR!F611)),"","Adara ")</f>
        <v xml:space="preserve">Adara </v>
      </c>
      <c r="H611" s="31" t="str">
        <f>IF(ISERROR(FIND("Copernicus",TR!F611)),"","Copernicus ")</f>
        <v xml:space="preserve">Copernicus </v>
      </c>
      <c r="I611" s="31" t="str">
        <f>IF(ISERROR(FIND("Deneb",TR!F611)),"","Deneb ")</f>
        <v xml:space="preserve">Deneb </v>
      </c>
      <c r="J611" s="37" t="str">
        <f t="shared" si="9"/>
        <v xml:space="preserve">Adara Copernicus Deneb </v>
      </c>
      <c r="K611" s="31" t="str">
        <f>IF(ISBLANK(TR!G611),"",TR!G611)</f>
        <v/>
      </c>
      <c r="L611" s="31" t="str">
        <f>IF(ISBLANK(TR!H611),"",TR!H611)</f>
        <v>FR-DSRSW-1416</v>
      </c>
      <c r="M611" s="30" t="str">
        <f>TR!J611</f>
        <v>Approved</v>
      </c>
      <c r="N611" s="31" t="str">
        <f>IF(OR(M611="Modified",M611="Cosmetic"),VLOOKUP(B611,PrevPFS!B$1:E$833,4,FALSE),"")</f>
        <v/>
      </c>
    </row>
    <row r="612" spans="1:14" ht="45" x14ac:dyDescent="0.25">
      <c r="A612" s="31" t="str">
        <f>IF(ISNONTEXT(TR!K612),"",TR!K612)</f>
        <v>TR-0-CC-REG-1201</v>
      </c>
      <c r="B612" s="32" t="str">
        <f>TR!A612</f>
        <v>TR-DSRSW-1893</v>
      </c>
      <c r="C612" s="31" t="b">
        <f>ISERROR(FIND("-",TR!B612))</f>
        <v>0</v>
      </c>
      <c r="D612" s="31">
        <f>SetIndent(E612,(TR!C612-1)*2)</f>
        <v>6</v>
      </c>
      <c r="E612" s="38" t="str">
        <f>IF(ISERROR(FIND("-",TR!B612)),TR!B612&amp;" "&amp;TR!D612,TR!D612)</f>
        <v>The product SHALL render Closed Captions using the caption Font Color BLUE, as defined in [CEA-708B - 1], if this font color is selected by the user.</v>
      </c>
      <c r="F612" s="31" t="str">
        <f>TR!E612</f>
        <v>Req</v>
      </c>
      <c r="G612" s="31" t="str">
        <f>IF(ISERROR(FIND("Adara",TR!F612)),"","Adara ")</f>
        <v xml:space="preserve">Adara </v>
      </c>
      <c r="H612" s="31" t="str">
        <f>IF(ISERROR(FIND("Copernicus",TR!F612)),"","Copernicus ")</f>
        <v xml:space="preserve">Copernicus </v>
      </c>
      <c r="I612" s="31" t="str">
        <f>IF(ISERROR(FIND("Deneb",TR!F612)),"","Deneb ")</f>
        <v xml:space="preserve">Deneb </v>
      </c>
      <c r="J612" s="37" t="str">
        <f t="shared" si="9"/>
        <v xml:space="preserve">Adara Copernicus Deneb </v>
      </c>
      <c r="K612" s="31" t="str">
        <f>IF(ISBLANK(TR!G612),"",TR!G612)</f>
        <v/>
      </c>
      <c r="L612" s="31" t="str">
        <f>IF(ISBLANK(TR!H612),"",TR!H612)</f>
        <v>FR-DSRSW-1416</v>
      </c>
      <c r="M612" s="30" t="str">
        <f>TR!J612</f>
        <v>Approved</v>
      </c>
      <c r="N612" s="31" t="str">
        <f>IF(OR(M612="Modified",M612="Cosmetic"),VLOOKUP(B612,PrevPFS!B$1:E$833,4,FALSE),"")</f>
        <v/>
      </c>
    </row>
    <row r="613" spans="1:14" ht="45" x14ac:dyDescent="0.25">
      <c r="A613" s="31" t="str">
        <f>IF(ISNONTEXT(TR!K613),"",TR!K613)</f>
        <v>TR-0-CC-REG-1202</v>
      </c>
      <c r="B613" s="32" t="str">
        <f>TR!A613</f>
        <v>TR-DSRSW-1894</v>
      </c>
      <c r="C613" s="31" t="b">
        <f>ISERROR(FIND("-",TR!B613))</f>
        <v>0</v>
      </c>
      <c r="D613" s="31">
        <f>SetIndent(E613,(TR!C613-1)*2)</f>
        <v>6</v>
      </c>
      <c r="E613" s="38" t="str">
        <f>IF(ISERROR(FIND("-",TR!B613)),TR!B613&amp;" "&amp;TR!D613,TR!D613)</f>
        <v>The product SHALL render Closed Captions using the caption Font Color YELLOW, as defined in [CEA-708B - 1], if this font color is selected by the user.</v>
      </c>
      <c r="F613" s="31" t="str">
        <f>TR!E613</f>
        <v>Req</v>
      </c>
      <c r="G613" s="31" t="str">
        <f>IF(ISERROR(FIND("Adara",TR!F613)),"","Adara ")</f>
        <v xml:space="preserve">Adara </v>
      </c>
      <c r="H613" s="31" t="str">
        <f>IF(ISERROR(FIND("Copernicus",TR!F613)),"","Copernicus ")</f>
        <v xml:space="preserve">Copernicus </v>
      </c>
      <c r="I613" s="31" t="str">
        <f>IF(ISERROR(FIND("Deneb",TR!F613)),"","Deneb ")</f>
        <v xml:space="preserve">Deneb </v>
      </c>
      <c r="J613" s="37" t="str">
        <f t="shared" si="9"/>
        <v xml:space="preserve">Adara Copernicus Deneb </v>
      </c>
      <c r="K613" s="31" t="str">
        <f>IF(ISBLANK(TR!G613),"",TR!G613)</f>
        <v/>
      </c>
      <c r="L613" s="31" t="str">
        <f>IF(ISBLANK(TR!H613),"",TR!H613)</f>
        <v>FR-DSRSW-1416</v>
      </c>
      <c r="M613" s="30" t="str">
        <f>TR!J613</f>
        <v>Approved</v>
      </c>
      <c r="N613" s="31" t="str">
        <f>IF(OR(M613="Modified",M613="Cosmetic"),VLOOKUP(B613,PrevPFS!B$1:E$833,4,FALSE),"")</f>
        <v/>
      </c>
    </row>
    <row r="614" spans="1:14" ht="45" x14ac:dyDescent="0.25">
      <c r="A614" s="31" t="str">
        <f>IF(ISNONTEXT(TR!K614),"",TR!K614)</f>
        <v>TR-0-CC-REG-1203</v>
      </c>
      <c r="B614" s="32" t="str">
        <f>TR!A614</f>
        <v>TR-DSRSW-1895</v>
      </c>
      <c r="C614" s="31" t="b">
        <f>ISERROR(FIND("-",TR!B614))</f>
        <v>0</v>
      </c>
      <c r="D614" s="31">
        <f>SetIndent(E614,(TR!C614-1)*2)</f>
        <v>6</v>
      </c>
      <c r="E614" s="38" t="str">
        <f>IF(ISERROR(FIND("-",TR!B614)),TR!B614&amp;" "&amp;TR!D614,TR!D614)</f>
        <v>The product SHALL render Closed Captions using the caption Font Color MAGENTA, as defined in [CEA-708B - 1], if this font color is selected by the user.</v>
      </c>
      <c r="F614" s="31" t="str">
        <f>TR!E614</f>
        <v>Req</v>
      </c>
      <c r="G614" s="31" t="str">
        <f>IF(ISERROR(FIND("Adara",TR!F614)),"","Adara ")</f>
        <v xml:space="preserve">Adara </v>
      </c>
      <c r="H614" s="31" t="str">
        <f>IF(ISERROR(FIND("Copernicus",TR!F614)),"","Copernicus ")</f>
        <v xml:space="preserve">Copernicus </v>
      </c>
      <c r="I614" s="31" t="str">
        <f>IF(ISERROR(FIND("Deneb",TR!F614)),"","Deneb ")</f>
        <v xml:space="preserve">Deneb </v>
      </c>
      <c r="J614" s="37" t="str">
        <f t="shared" si="9"/>
        <v xml:space="preserve">Adara Copernicus Deneb </v>
      </c>
      <c r="K614" s="31" t="str">
        <f>IF(ISBLANK(TR!G614),"",TR!G614)</f>
        <v/>
      </c>
      <c r="L614" s="31" t="str">
        <f>IF(ISBLANK(TR!H614),"",TR!H614)</f>
        <v>FR-DSRSW-1416</v>
      </c>
      <c r="M614" s="30" t="str">
        <f>TR!J614</f>
        <v>Approved</v>
      </c>
      <c r="N614" s="31" t="str">
        <f>IF(OR(M614="Modified",M614="Cosmetic"),VLOOKUP(B614,PrevPFS!B$1:E$833,4,FALSE),"")</f>
        <v/>
      </c>
    </row>
    <row r="615" spans="1:14" ht="45" x14ac:dyDescent="0.25">
      <c r="A615" s="31" t="str">
        <f>IF(ISNONTEXT(TR!K615),"",TR!K615)</f>
        <v>TR-0-CC-REG-1204</v>
      </c>
      <c r="B615" s="32" t="str">
        <f>TR!A615</f>
        <v>TR-DSRSW-1896</v>
      </c>
      <c r="C615" s="31" t="b">
        <f>ISERROR(FIND("-",TR!B615))</f>
        <v>0</v>
      </c>
      <c r="D615" s="31">
        <f>SetIndent(E615,(TR!C615-1)*2)</f>
        <v>6</v>
      </c>
      <c r="E615" s="38" t="str">
        <f>IF(ISERROR(FIND("-",TR!B615)),TR!B615&amp;" "&amp;TR!D615,TR!D615)</f>
        <v>The product SHALL render Closed Captions using the caption Font Color CYAN, as defined in [CEA-708B - 1], if this font color is selected by the user.</v>
      </c>
      <c r="F615" s="31" t="str">
        <f>TR!E615</f>
        <v>Req</v>
      </c>
      <c r="G615" s="31" t="str">
        <f>IF(ISERROR(FIND("Adara",TR!F615)),"","Adara ")</f>
        <v xml:space="preserve">Adara </v>
      </c>
      <c r="H615" s="31" t="str">
        <f>IF(ISERROR(FIND("Copernicus",TR!F615)),"","Copernicus ")</f>
        <v xml:space="preserve">Copernicus </v>
      </c>
      <c r="I615" s="31" t="str">
        <f>IF(ISERROR(FIND("Deneb",TR!F615)),"","Deneb ")</f>
        <v xml:space="preserve">Deneb </v>
      </c>
      <c r="J615" s="37" t="str">
        <f t="shared" si="9"/>
        <v xml:space="preserve">Adara Copernicus Deneb </v>
      </c>
      <c r="K615" s="31" t="str">
        <f>IF(ISBLANK(TR!G615),"",TR!G615)</f>
        <v/>
      </c>
      <c r="L615" s="31" t="str">
        <f>IF(ISBLANK(TR!H615),"",TR!H615)</f>
        <v>FR-DSRSW-1416</v>
      </c>
      <c r="M615" s="30" t="str">
        <f>TR!J615</f>
        <v>Approved</v>
      </c>
      <c r="N615" s="31" t="str">
        <f>IF(OR(M615="Modified",M615="Cosmetic"),VLOOKUP(B615,PrevPFS!B$1:E$833,4,FALSE),"")</f>
        <v/>
      </c>
    </row>
    <row r="616" spans="1:14" ht="45" x14ac:dyDescent="0.25">
      <c r="A616" s="31" t="str">
        <f>IF(ISNONTEXT(TR!K616),"",TR!K616)</f>
        <v>TR-0-CC-REG-1205</v>
      </c>
      <c r="B616" s="32" t="str">
        <f>TR!A616</f>
        <v>TR-DSRSW-1897</v>
      </c>
      <c r="C616" s="31" t="b">
        <f>ISERROR(FIND("-",TR!B616))</f>
        <v>0</v>
      </c>
      <c r="D616" s="31">
        <f>SetIndent(E616,(TR!C616-1)*2)</f>
        <v>6</v>
      </c>
      <c r="E616" s="38" t="str">
        <f>IF(ISERROR(FIND("-",TR!B616)),TR!B616&amp;" "&amp;TR!D616,TR!D616)</f>
        <v>The product SHALL set the caption Font Color to AUTO by default.</v>
      </c>
      <c r="F616" s="31" t="str">
        <f>TR!E616</f>
        <v>Req</v>
      </c>
      <c r="G616" s="31" t="str">
        <f>IF(ISERROR(FIND("Adara",TR!F616)),"","Adara ")</f>
        <v xml:space="preserve">Adara </v>
      </c>
      <c r="H616" s="31" t="str">
        <f>IF(ISERROR(FIND("Copernicus",TR!F616)),"","Copernicus ")</f>
        <v xml:space="preserve">Copernicus </v>
      </c>
      <c r="I616" s="31" t="str">
        <f>IF(ISERROR(FIND("Deneb",TR!F616)),"","Deneb ")</f>
        <v xml:space="preserve">Deneb </v>
      </c>
      <c r="J616" s="37" t="str">
        <f t="shared" si="9"/>
        <v xml:space="preserve">Adara Copernicus Deneb </v>
      </c>
      <c r="K616" s="31" t="str">
        <f>IF(ISBLANK(TR!G616),"",TR!G616)</f>
        <v/>
      </c>
      <c r="L616" s="31" t="str">
        <f>IF(ISBLANK(TR!H616),"",TR!H616)</f>
        <v>FR-DSRSW-1416</v>
      </c>
      <c r="M616" s="30" t="str">
        <f>TR!J616</f>
        <v>Approved</v>
      </c>
      <c r="N616" s="31" t="str">
        <f>IF(OR(M616="Modified",M616="Cosmetic"),VLOOKUP(B616,PrevPFS!B$1:E$833,4,FALSE),"")</f>
        <v/>
      </c>
    </row>
    <row r="617" spans="1:14" ht="45" x14ac:dyDescent="0.25">
      <c r="A617" s="31" t="str">
        <f>IF(ISNONTEXT(TR!K617),"",TR!K617)</f>
        <v>TR-0-CC-REG-1206</v>
      </c>
      <c r="B617" s="32" t="str">
        <f>TR!A617</f>
        <v>TR-DSRSW-1898</v>
      </c>
      <c r="C617" s="31" t="b">
        <f>ISERROR(FIND("-",TR!B617))</f>
        <v>0</v>
      </c>
      <c r="D617" s="31">
        <f>SetIndent(E617,(TR!C617-1)*2)</f>
        <v>6</v>
      </c>
      <c r="E617" s="38" t="str">
        <f>IF(ISERROR(FIND("-",TR!B617)),TR!B617&amp;" "&amp;TR!D617,TR!D617)</f>
        <v>The product SHALL render Closed Captions using the caption Font Color selected by the caption provider if the user setting for the caption Font Color is AUTO.</v>
      </c>
      <c r="F617" s="31" t="str">
        <f>TR!E617</f>
        <v>Req</v>
      </c>
      <c r="G617" s="31" t="str">
        <f>IF(ISERROR(FIND("Adara",TR!F617)),"","Adara ")</f>
        <v xml:space="preserve">Adara </v>
      </c>
      <c r="H617" s="31" t="str">
        <f>IF(ISERROR(FIND("Copernicus",TR!F617)),"","Copernicus ")</f>
        <v xml:space="preserve">Copernicus </v>
      </c>
      <c r="I617" s="31" t="str">
        <f>IF(ISERROR(FIND("Deneb",TR!F617)),"","Deneb ")</f>
        <v xml:space="preserve">Deneb </v>
      </c>
      <c r="J617" s="37" t="str">
        <f t="shared" si="9"/>
        <v xml:space="preserve">Adara Copernicus Deneb </v>
      </c>
      <c r="K617" s="31" t="str">
        <f>IF(ISBLANK(TR!G617),"",TR!G617)</f>
        <v/>
      </c>
      <c r="L617" s="31" t="str">
        <f>IF(ISBLANK(TR!H617),"",TR!H617)</f>
        <v>FR-DSRSW-1416</v>
      </c>
      <c r="M617" s="30" t="str">
        <f>TR!J617</f>
        <v>Approved</v>
      </c>
      <c r="N617" s="31" t="str">
        <f>IF(OR(M617="Modified",M617="Cosmetic"),VLOOKUP(B617,PrevPFS!B$1:E$833,4,FALSE),"")</f>
        <v/>
      </c>
    </row>
    <row r="618" spans="1:14" ht="45" x14ac:dyDescent="0.25">
      <c r="A618" s="31" t="str">
        <f>IF(ISNONTEXT(TR!K618),"",TR!K618)</f>
        <v/>
      </c>
      <c r="B618" s="32" t="str">
        <f>TR!A618</f>
        <v>TR-DSRSW-2532</v>
      </c>
      <c r="C618" s="31" t="b">
        <f>ISERROR(FIND("-",TR!B618))</f>
        <v>1</v>
      </c>
      <c r="D618" s="31">
        <f>SetIndent(E618,(TR!C618-1)*2)</f>
        <v>4</v>
      </c>
      <c r="E618" s="35" t="str">
        <f>IF(ISERROR(FIND("-",TR!B618)),TR!B618&amp;" "&amp;TR!D618,TR!D618)</f>
        <v>25.1.9 708 CC Character Opacity</v>
      </c>
      <c r="F618" s="31" t="str">
        <f>TR!E618</f>
        <v>Hdr</v>
      </c>
      <c r="G618" s="31" t="str">
        <f>IF(ISERROR(FIND("Adara",TR!F618)),"","Adara ")</f>
        <v/>
      </c>
      <c r="H618" s="31" t="str">
        <f>IF(ISERROR(FIND("Copernicus",TR!F618)),"","Copernicus ")</f>
        <v/>
      </c>
      <c r="I618" s="31" t="str">
        <f>IF(ISERROR(FIND("Deneb",TR!F618)),"","Deneb ")</f>
        <v/>
      </c>
      <c r="J618" s="37" t="str">
        <f t="shared" ref="J618" si="10">G618&amp;H618&amp;I618</f>
        <v/>
      </c>
      <c r="K618" s="31" t="str">
        <f>IF(ISBLANK(TR!G618),"",TR!G618)</f>
        <v/>
      </c>
      <c r="L618" s="31" t="str">
        <f>IF(ISBLANK(TR!H618),"",TR!H618)</f>
        <v/>
      </c>
      <c r="M618" s="30" t="str">
        <f>TR!J618</f>
        <v>Archived (not supported)</v>
      </c>
      <c r="N618" s="31" t="str">
        <f>IF(OR(M618="Modified",M618="Cosmetic"),VLOOKUP(B618,PrevPFS!B$1:E$833,4,FALSE),"")</f>
        <v/>
      </c>
    </row>
    <row r="619" spans="1:14" ht="45" x14ac:dyDescent="0.25">
      <c r="A619" s="31" t="str">
        <f>IF(ISNONTEXT(TR!K619),"",TR!K619)</f>
        <v/>
      </c>
      <c r="B619" s="32" t="str">
        <f>TR!A619</f>
        <v>TR-DSRSW-2533</v>
      </c>
      <c r="C619" s="31" t="b">
        <f>ISERROR(FIND("-",TR!B619))</f>
        <v>1</v>
      </c>
      <c r="D619" s="31">
        <f>SetIndent(E619,(TR!C619-1)*2)</f>
        <v>4</v>
      </c>
      <c r="E619" s="35" t="str">
        <f>IF(ISERROR(FIND("-",TR!B619)),TR!B619&amp;" "&amp;TR!D619,TR!D619)</f>
        <v>25.1.10 CC Background Color</v>
      </c>
      <c r="F619" s="31" t="str">
        <f>TR!E619</f>
        <v>Hdr</v>
      </c>
      <c r="G619" s="31" t="str">
        <f>IF(ISERROR(FIND("Adara",TR!F619)),"","Adara ")</f>
        <v xml:space="preserve">Adara </v>
      </c>
      <c r="H619" s="31" t="str">
        <f>IF(ISERROR(FIND("Copernicus",TR!F619)),"","Copernicus ")</f>
        <v xml:space="preserve">Copernicus </v>
      </c>
      <c r="I619" s="31" t="str">
        <f>IF(ISERROR(FIND("Deneb",TR!F619)),"","Deneb ")</f>
        <v xml:space="preserve">Deneb </v>
      </c>
      <c r="J619" s="37" t="str">
        <f t="shared" ref="J619:J682" si="11">G619&amp;H619&amp;I619</f>
        <v xml:space="preserve">Adara Copernicus Deneb </v>
      </c>
      <c r="K619" s="31" t="str">
        <f>IF(ISBLANK(TR!G619),"",TR!G619)</f>
        <v/>
      </c>
      <c r="L619" s="31" t="str">
        <f>IF(ISBLANK(TR!H619),"",TR!H619)</f>
        <v/>
      </c>
      <c r="M619" s="30" t="str">
        <f>TR!J619</f>
        <v>Approved</v>
      </c>
      <c r="N619" s="31" t="str">
        <f>IF(OR(M619="Modified",M619="Cosmetic"),VLOOKUP(B619,PrevPFS!B$1:E$833,4,FALSE),"")</f>
        <v/>
      </c>
    </row>
    <row r="620" spans="1:14" ht="45" x14ac:dyDescent="0.25">
      <c r="A620" s="31" t="str">
        <f>IF(ISNONTEXT(TR!K620),"",TR!K620)</f>
        <v>TR-0-CC-REG-1232</v>
      </c>
      <c r="B620" s="32" t="str">
        <f>TR!A620</f>
        <v>TR-DSRSW-1905</v>
      </c>
      <c r="C620" s="31" t="b">
        <f>ISERROR(FIND("-",TR!B620))</f>
        <v>0</v>
      </c>
      <c r="D620" s="31">
        <f>SetIndent(E620,(TR!C620-1)*2)</f>
        <v>6</v>
      </c>
      <c r="E620" s="38" t="str">
        <f>IF(ISERROR(FIND("-",TR!B620)),TR!B620&amp;" "&amp;TR!D620,TR!D620)</f>
        <v>The product SHALL render Closed Captions using the caption Background Color WHITE, as defined in [CEA-708B - 1], if this background color is selected by the user.</v>
      </c>
      <c r="F620" s="31" t="str">
        <f>TR!E620</f>
        <v>Req</v>
      </c>
      <c r="G620" s="31" t="str">
        <f>IF(ISERROR(FIND("Adara",TR!F620)),"","Adara ")</f>
        <v xml:space="preserve">Adara </v>
      </c>
      <c r="H620" s="31" t="str">
        <f>IF(ISERROR(FIND("Copernicus",TR!F620)),"","Copernicus ")</f>
        <v xml:space="preserve">Copernicus </v>
      </c>
      <c r="I620" s="31" t="str">
        <f>IF(ISERROR(FIND("Deneb",TR!F620)),"","Deneb ")</f>
        <v xml:space="preserve">Deneb </v>
      </c>
      <c r="J620" s="37" t="str">
        <f t="shared" si="11"/>
        <v xml:space="preserve">Adara Copernicus Deneb </v>
      </c>
      <c r="K620" s="31" t="str">
        <f>IF(ISBLANK(TR!G620),"",TR!G620)</f>
        <v/>
      </c>
      <c r="L620" s="31" t="str">
        <f>IF(ISBLANK(TR!H620),"",TR!H620)</f>
        <v>FR-DSRSW-1416</v>
      </c>
      <c r="M620" s="30" t="str">
        <f>TR!J620</f>
        <v>Approved</v>
      </c>
      <c r="N620" s="31" t="str">
        <f>IF(OR(M620="Modified",M620="Cosmetic"),VLOOKUP(B620,PrevPFS!B$1:E$833,4,FALSE),"")</f>
        <v/>
      </c>
    </row>
    <row r="621" spans="1:14" ht="45" x14ac:dyDescent="0.25">
      <c r="A621" s="31" t="str">
        <f>IF(ISNONTEXT(TR!K621),"",TR!K621)</f>
        <v>TR-0-CC-REG-1233</v>
      </c>
      <c r="B621" s="32" t="str">
        <f>TR!A621</f>
        <v>TR-DSRSW-1906</v>
      </c>
      <c r="C621" s="31" t="b">
        <f>ISERROR(FIND("-",TR!B621))</f>
        <v>0</v>
      </c>
      <c r="D621" s="31">
        <f>SetIndent(E621,(TR!C621-1)*2)</f>
        <v>6</v>
      </c>
      <c r="E621" s="38" t="str">
        <f>IF(ISERROR(FIND("-",TR!B621)),TR!B621&amp;" "&amp;TR!D621,TR!D621)</f>
        <v>The product SHALL render Closed Captions using the caption Background Color BLACK, as defined in [CEA-708B - 1], if this background color is selected by the user.</v>
      </c>
      <c r="F621" s="31" t="str">
        <f>TR!E621</f>
        <v>Req</v>
      </c>
      <c r="G621" s="31" t="str">
        <f>IF(ISERROR(FIND("Adara",TR!F621)),"","Adara ")</f>
        <v xml:space="preserve">Adara </v>
      </c>
      <c r="H621" s="31" t="str">
        <f>IF(ISERROR(FIND("Copernicus",TR!F621)),"","Copernicus ")</f>
        <v xml:space="preserve">Copernicus </v>
      </c>
      <c r="I621" s="31" t="str">
        <f>IF(ISERROR(FIND("Deneb",TR!F621)),"","Deneb ")</f>
        <v xml:space="preserve">Deneb </v>
      </c>
      <c r="J621" s="37" t="str">
        <f t="shared" si="11"/>
        <v xml:space="preserve">Adara Copernicus Deneb </v>
      </c>
      <c r="K621" s="31" t="str">
        <f>IF(ISBLANK(TR!G621),"",TR!G621)</f>
        <v/>
      </c>
      <c r="L621" s="31" t="str">
        <f>IF(ISBLANK(TR!H621),"",TR!H621)</f>
        <v>FR-DSRSW-1416</v>
      </c>
      <c r="M621" s="30" t="str">
        <f>TR!J621</f>
        <v>Approved</v>
      </c>
      <c r="N621" s="31" t="str">
        <f>IF(OR(M621="Modified",M621="Cosmetic"),VLOOKUP(B621,PrevPFS!B$1:E$833,4,FALSE),"")</f>
        <v/>
      </c>
    </row>
    <row r="622" spans="1:14" ht="45" x14ac:dyDescent="0.25">
      <c r="A622" s="31" t="str">
        <f>IF(ISNONTEXT(TR!K622),"",TR!K622)</f>
        <v>TR-0-CC-REG-1234</v>
      </c>
      <c r="B622" s="32" t="str">
        <f>TR!A622</f>
        <v>TR-DSRSW-1907</v>
      </c>
      <c r="C622" s="31" t="b">
        <f>ISERROR(FIND("-",TR!B622))</f>
        <v>0</v>
      </c>
      <c r="D622" s="31">
        <f>SetIndent(E622,(TR!C622-1)*2)</f>
        <v>6</v>
      </c>
      <c r="E622" s="38" t="str">
        <f>IF(ISERROR(FIND("-",TR!B622)),TR!B622&amp;" "&amp;TR!D622,TR!D622)</f>
        <v>The product SHALL render Closed Captions using the caption Background Color RED, as defined in [CEA-708B - 1], if this background color is selected by the user.</v>
      </c>
      <c r="F622" s="31" t="str">
        <f>TR!E622</f>
        <v>Req</v>
      </c>
      <c r="G622" s="31" t="str">
        <f>IF(ISERROR(FIND("Adara",TR!F622)),"","Adara ")</f>
        <v xml:space="preserve">Adara </v>
      </c>
      <c r="H622" s="31" t="str">
        <f>IF(ISERROR(FIND("Copernicus",TR!F622)),"","Copernicus ")</f>
        <v xml:space="preserve">Copernicus </v>
      </c>
      <c r="I622" s="31" t="str">
        <f>IF(ISERROR(FIND("Deneb",TR!F622)),"","Deneb ")</f>
        <v xml:space="preserve">Deneb </v>
      </c>
      <c r="J622" s="37" t="str">
        <f t="shared" si="11"/>
        <v xml:space="preserve">Adara Copernicus Deneb </v>
      </c>
      <c r="K622" s="31" t="str">
        <f>IF(ISBLANK(TR!G622),"",TR!G622)</f>
        <v/>
      </c>
      <c r="L622" s="31" t="str">
        <f>IF(ISBLANK(TR!H622),"",TR!H622)</f>
        <v>FR-DSRSW-1416</v>
      </c>
      <c r="M622" s="30" t="str">
        <f>TR!J622</f>
        <v>Approved</v>
      </c>
      <c r="N622" s="31" t="str">
        <f>IF(OR(M622="Modified",M622="Cosmetic"),VLOOKUP(B622,PrevPFS!B$1:E$833,4,FALSE),"")</f>
        <v/>
      </c>
    </row>
    <row r="623" spans="1:14" ht="45" x14ac:dyDescent="0.25">
      <c r="A623" s="31" t="str">
        <f>IF(ISNONTEXT(TR!K623),"",TR!K623)</f>
        <v>TR-0-CC-REG-1235</v>
      </c>
      <c r="B623" s="32" t="str">
        <f>TR!A623</f>
        <v>TR-DSRSW-1908</v>
      </c>
      <c r="C623" s="31" t="b">
        <f>ISERROR(FIND("-",TR!B623))</f>
        <v>0</v>
      </c>
      <c r="D623" s="31">
        <f>SetIndent(E623,(TR!C623-1)*2)</f>
        <v>6</v>
      </c>
      <c r="E623" s="38" t="str">
        <f>IF(ISERROR(FIND("-",TR!B623)),TR!B623&amp;" "&amp;TR!D623,TR!D623)</f>
        <v>The product SHALL render Closed Captions using the caption Background Color GREEN, as defined in [CEA-708B - 1], if this background color is selected by the user.</v>
      </c>
      <c r="F623" s="31" t="str">
        <f>TR!E623</f>
        <v>Req</v>
      </c>
      <c r="G623" s="31" t="str">
        <f>IF(ISERROR(FIND("Adara",TR!F623)),"","Adara ")</f>
        <v xml:space="preserve">Adara </v>
      </c>
      <c r="H623" s="31" t="str">
        <f>IF(ISERROR(FIND("Copernicus",TR!F623)),"","Copernicus ")</f>
        <v xml:space="preserve">Copernicus </v>
      </c>
      <c r="I623" s="31" t="str">
        <f>IF(ISERROR(FIND("Deneb",TR!F623)),"","Deneb ")</f>
        <v xml:space="preserve">Deneb </v>
      </c>
      <c r="J623" s="37" t="str">
        <f t="shared" si="11"/>
        <v xml:space="preserve">Adara Copernicus Deneb </v>
      </c>
      <c r="K623" s="31" t="str">
        <f>IF(ISBLANK(TR!G623),"",TR!G623)</f>
        <v/>
      </c>
      <c r="L623" s="31" t="str">
        <f>IF(ISBLANK(TR!H623),"",TR!H623)</f>
        <v>FR-DSRSW-1416</v>
      </c>
      <c r="M623" s="30" t="str">
        <f>TR!J623</f>
        <v>Approved</v>
      </c>
      <c r="N623" s="31" t="str">
        <f>IF(OR(M623="Modified",M623="Cosmetic"),VLOOKUP(B623,PrevPFS!B$1:E$833,4,FALSE),"")</f>
        <v/>
      </c>
    </row>
    <row r="624" spans="1:14" ht="45" x14ac:dyDescent="0.25">
      <c r="A624" s="31" t="str">
        <f>IF(ISNONTEXT(TR!K624),"",TR!K624)</f>
        <v>TR-0-CC-REG-1236</v>
      </c>
      <c r="B624" s="32" t="str">
        <f>TR!A624</f>
        <v>TR-DSRSW-1909</v>
      </c>
      <c r="C624" s="31" t="b">
        <f>ISERROR(FIND("-",TR!B624))</f>
        <v>0</v>
      </c>
      <c r="D624" s="31">
        <f>SetIndent(E624,(TR!C624-1)*2)</f>
        <v>6</v>
      </c>
      <c r="E624" s="38" t="str">
        <f>IF(ISERROR(FIND("-",TR!B624)),TR!B624&amp;" "&amp;TR!D624,TR!D624)</f>
        <v>The product SHALL render Closed Captions using the caption Background Color BLUE, as defined in [CEA-708B - 1], if this background color is selected by the user.</v>
      </c>
      <c r="F624" s="31" t="str">
        <f>TR!E624</f>
        <v>Req</v>
      </c>
      <c r="G624" s="31" t="str">
        <f>IF(ISERROR(FIND("Adara",TR!F624)),"","Adara ")</f>
        <v xml:space="preserve">Adara </v>
      </c>
      <c r="H624" s="31" t="str">
        <f>IF(ISERROR(FIND("Copernicus",TR!F624)),"","Copernicus ")</f>
        <v xml:space="preserve">Copernicus </v>
      </c>
      <c r="I624" s="31" t="str">
        <f>IF(ISERROR(FIND("Deneb",TR!F624)),"","Deneb ")</f>
        <v xml:space="preserve">Deneb </v>
      </c>
      <c r="J624" s="37" t="str">
        <f t="shared" si="11"/>
        <v xml:space="preserve">Adara Copernicus Deneb </v>
      </c>
      <c r="K624" s="31" t="str">
        <f>IF(ISBLANK(TR!G624),"",TR!G624)</f>
        <v/>
      </c>
      <c r="L624" s="31" t="str">
        <f>IF(ISBLANK(TR!H624),"",TR!H624)</f>
        <v>FR-DSRSW-1416</v>
      </c>
      <c r="M624" s="30" t="str">
        <f>TR!J624</f>
        <v>Approved</v>
      </c>
      <c r="N624" s="31" t="str">
        <f>IF(OR(M624="Modified",M624="Cosmetic"),VLOOKUP(B624,PrevPFS!B$1:E$833,4,FALSE),"")</f>
        <v/>
      </c>
    </row>
    <row r="625" spans="1:14" ht="45" x14ac:dyDescent="0.25">
      <c r="A625" s="31" t="str">
        <f>IF(ISNONTEXT(TR!K625),"",TR!K625)</f>
        <v>TR-0-CC-REG-1237</v>
      </c>
      <c r="B625" s="32" t="str">
        <f>TR!A625</f>
        <v>TR-DSRSW-1910</v>
      </c>
      <c r="C625" s="31" t="b">
        <f>ISERROR(FIND("-",TR!B625))</f>
        <v>0</v>
      </c>
      <c r="D625" s="31">
        <f>SetIndent(E625,(TR!C625-1)*2)</f>
        <v>6</v>
      </c>
      <c r="E625" s="38" t="str">
        <f>IF(ISERROR(FIND("-",TR!B625)),TR!B625&amp;" "&amp;TR!D625,TR!D625)</f>
        <v>The product SHALL render Closed Captions using the caption Background Color YELLOW, as defined in [CEA-708B - 1], if this background color is selected by the user.</v>
      </c>
      <c r="F625" s="31" t="str">
        <f>TR!E625</f>
        <v>Req</v>
      </c>
      <c r="G625" s="31" t="str">
        <f>IF(ISERROR(FIND("Adara",TR!F625)),"","Adara ")</f>
        <v xml:space="preserve">Adara </v>
      </c>
      <c r="H625" s="31" t="str">
        <f>IF(ISERROR(FIND("Copernicus",TR!F625)),"","Copernicus ")</f>
        <v xml:space="preserve">Copernicus </v>
      </c>
      <c r="I625" s="31" t="str">
        <f>IF(ISERROR(FIND("Deneb",TR!F625)),"","Deneb ")</f>
        <v xml:space="preserve">Deneb </v>
      </c>
      <c r="J625" s="37" t="str">
        <f t="shared" si="11"/>
        <v xml:space="preserve">Adara Copernicus Deneb </v>
      </c>
      <c r="K625" s="31" t="str">
        <f>IF(ISBLANK(TR!G625),"",TR!G625)</f>
        <v/>
      </c>
      <c r="L625" s="31" t="str">
        <f>IF(ISBLANK(TR!H625),"",TR!H625)</f>
        <v>FR-DSRSW-1416</v>
      </c>
      <c r="M625" s="30" t="str">
        <f>TR!J625</f>
        <v>Approved</v>
      </c>
      <c r="N625" s="31" t="str">
        <f>IF(OR(M625="Modified",M625="Cosmetic"),VLOOKUP(B625,PrevPFS!B$1:E$833,4,FALSE),"")</f>
        <v/>
      </c>
    </row>
    <row r="626" spans="1:14" ht="45" x14ac:dyDescent="0.25">
      <c r="A626" s="31" t="str">
        <f>IF(ISNONTEXT(TR!K626),"",TR!K626)</f>
        <v>TR-0-CC-REG-1238</v>
      </c>
      <c r="B626" s="32" t="str">
        <f>TR!A626</f>
        <v>TR-DSRSW-1911</v>
      </c>
      <c r="C626" s="31" t="b">
        <f>ISERROR(FIND("-",TR!B626))</f>
        <v>0</v>
      </c>
      <c r="D626" s="31">
        <f>SetIndent(E626,(TR!C626-1)*2)</f>
        <v>6</v>
      </c>
      <c r="E626" s="38" t="str">
        <f>IF(ISERROR(FIND("-",TR!B626)),TR!B626&amp;" "&amp;TR!D626,TR!D626)</f>
        <v>The product SHALL render Closed Captions using the caption Background Color MAGENTA, as defined in [CEA-708B - 1], if this background color is selected by the user.</v>
      </c>
      <c r="F626" s="31" t="str">
        <f>TR!E626</f>
        <v>Req</v>
      </c>
      <c r="G626" s="31" t="str">
        <f>IF(ISERROR(FIND("Adara",TR!F626)),"","Adara ")</f>
        <v xml:space="preserve">Adara </v>
      </c>
      <c r="H626" s="31" t="str">
        <f>IF(ISERROR(FIND("Copernicus",TR!F626)),"","Copernicus ")</f>
        <v xml:space="preserve">Copernicus </v>
      </c>
      <c r="I626" s="31" t="str">
        <f>IF(ISERROR(FIND("Deneb",TR!F626)),"","Deneb ")</f>
        <v xml:space="preserve">Deneb </v>
      </c>
      <c r="J626" s="37" t="str">
        <f t="shared" si="11"/>
        <v xml:space="preserve">Adara Copernicus Deneb </v>
      </c>
      <c r="K626" s="31" t="str">
        <f>IF(ISBLANK(TR!G626),"",TR!G626)</f>
        <v/>
      </c>
      <c r="L626" s="31" t="str">
        <f>IF(ISBLANK(TR!H626),"",TR!H626)</f>
        <v>FR-DSRSW-1416</v>
      </c>
      <c r="M626" s="30" t="str">
        <f>TR!J626</f>
        <v>Approved</v>
      </c>
      <c r="N626" s="31" t="str">
        <f>IF(OR(M626="Modified",M626="Cosmetic"),VLOOKUP(B626,PrevPFS!B$1:E$833,4,FALSE),"")</f>
        <v/>
      </c>
    </row>
    <row r="627" spans="1:14" ht="45" x14ac:dyDescent="0.25">
      <c r="A627" s="31" t="str">
        <f>IF(ISNONTEXT(TR!K627),"",TR!K627)</f>
        <v>TR-0-CC-REG-1239</v>
      </c>
      <c r="B627" s="32" t="str">
        <f>TR!A627</f>
        <v>TR-DSRSW-1912</v>
      </c>
      <c r="C627" s="31" t="b">
        <f>ISERROR(FIND("-",TR!B627))</f>
        <v>0</v>
      </c>
      <c r="D627" s="31">
        <f>SetIndent(E627,(TR!C627-1)*2)</f>
        <v>6</v>
      </c>
      <c r="E627" s="38" t="str">
        <f>IF(ISERROR(FIND("-",TR!B627)),TR!B627&amp;" "&amp;TR!D627,TR!D627)</f>
        <v>The product SHALL render Closed Captions using the caption Background Color CYAN, as defined in [CEA-708B - 1], if this background color is selected by the user.</v>
      </c>
      <c r="F627" s="31" t="str">
        <f>TR!E627</f>
        <v>Req</v>
      </c>
      <c r="G627" s="31" t="str">
        <f>IF(ISERROR(FIND("Adara",TR!F627)),"","Adara ")</f>
        <v xml:space="preserve">Adara </v>
      </c>
      <c r="H627" s="31" t="str">
        <f>IF(ISERROR(FIND("Copernicus",TR!F627)),"","Copernicus ")</f>
        <v xml:space="preserve">Copernicus </v>
      </c>
      <c r="I627" s="31" t="str">
        <f>IF(ISERROR(FIND("Deneb",TR!F627)),"","Deneb ")</f>
        <v xml:space="preserve">Deneb </v>
      </c>
      <c r="J627" s="37" t="str">
        <f t="shared" si="11"/>
        <v xml:space="preserve">Adara Copernicus Deneb </v>
      </c>
      <c r="K627" s="31" t="str">
        <f>IF(ISBLANK(TR!G627),"",TR!G627)</f>
        <v/>
      </c>
      <c r="L627" s="31" t="str">
        <f>IF(ISBLANK(TR!H627),"",TR!H627)</f>
        <v>FR-DSRSW-1416</v>
      </c>
      <c r="M627" s="30" t="str">
        <f>TR!J627</f>
        <v>Approved</v>
      </c>
      <c r="N627" s="31" t="str">
        <f>IF(OR(M627="Modified",M627="Cosmetic"),VLOOKUP(B627,PrevPFS!B$1:E$833,4,FALSE),"")</f>
        <v/>
      </c>
    </row>
    <row r="628" spans="1:14" ht="45" x14ac:dyDescent="0.25">
      <c r="A628" s="31" t="str">
        <f>IF(ISNONTEXT(TR!K628),"",TR!K628)</f>
        <v>TR-0-CC-REG-1240</v>
      </c>
      <c r="B628" s="32" t="str">
        <f>TR!A628</f>
        <v>TR-DSRSW-1913</v>
      </c>
      <c r="C628" s="31" t="b">
        <f>ISERROR(FIND("-",TR!B628))</f>
        <v>0</v>
      </c>
      <c r="D628" s="31">
        <f>SetIndent(E628,(TR!C628-1)*2)</f>
        <v>6</v>
      </c>
      <c r="E628" s="38" t="str">
        <f>IF(ISERROR(FIND("-",TR!B628)),TR!B628&amp;" "&amp;TR!D628,TR!D628)</f>
        <v>The product SHALL set the caption Background Color to AUTO by default.</v>
      </c>
      <c r="F628" s="31" t="str">
        <f>TR!E628</f>
        <v>Req</v>
      </c>
      <c r="G628" s="31" t="str">
        <f>IF(ISERROR(FIND("Adara",TR!F628)),"","Adara ")</f>
        <v xml:space="preserve">Adara </v>
      </c>
      <c r="H628" s="31" t="str">
        <f>IF(ISERROR(FIND("Copernicus",TR!F628)),"","Copernicus ")</f>
        <v xml:space="preserve">Copernicus </v>
      </c>
      <c r="I628" s="31" t="str">
        <f>IF(ISERROR(FIND("Deneb",TR!F628)),"","Deneb ")</f>
        <v xml:space="preserve">Deneb </v>
      </c>
      <c r="J628" s="37" t="str">
        <f t="shared" si="11"/>
        <v xml:space="preserve">Adara Copernicus Deneb </v>
      </c>
      <c r="K628" s="31" t="str">
        <f>IF(ISBLANK(TR!G628),"",TR!G628)</f>
        <v/>
      </c>
      <c r="L628" s="31" t="str">
        <f>IF(ISBLANK(TR!H628),"",TR!H628)</f>
        <v>FR-DSRSW-1416</v>
      </c>
      <c r="M628" s="30" t="str">
        <f>TR!J628</f>
        <v>Approved</v>
      </c>
      <c r="N628" s="31" t="str">
        <f>IF(OR(M628="Modified",M628="Cosmetic"),VLOOKUP(B628,PrevPFS!B$1:E$833,4,FALSE),"")</f>
        <v/>
      </c>
    </row>
    <row r="629" spans="1:14" ht="45" x14ac:dyDescent="0.25">
      <c r="A629" s="31" t="str">
        <f>IF(ISNONTEXT(TR!K629),"",TR!K629)</f>
        <v>TR-0-CC-REG-1241</v>
      </c>
      <c r="B629" s="32" t="str">
        <f>TR!A629</f>
        <v>TR-DSRSW-1914</v>
      </c>
      <c r="C629" s="31" t="b">
        <f>ISERROR(FIND("-",TR!B629))</f>
        <v>0</v>
      </c>
      <c r="D629" s="31">
        <f>SetIndent(E629,(TR!C629-1)*2)</f>
        <v>6</v>
      </c>
      <c r="E629" s="38" t="str">
        <f>IF(ISERROR(FIND("-",TR!B629)),TR!B629&amp;" "&amp;TR!D629,TR!D629)</f>
        <v>The product SHALL render Closed Captions using the caption Background Color selected by the caption provider if the user setting for the caption Background Color is AUTO.</v>
      </c>
      <c r="F629" s="31" t="str">
        <f>TR!E629</f>
        <v>Req</v>
      </c>
      <c r="G629" s="31" t="str">
        <f>IF(ISERROR(FIND("Adara",TR!F629)),"","Adara ")</f>
        <v xml:space="preserve">Adara </v>
      </c>
      <c r="H629" s="31" t="str">
        <f>IF(ISERROR(FIND("Copernicus",TR!F629)),"","Copernicus ")</f>
        <v xml:space="preserve">Copernicus </v>
      </c>
      <c r="I629" s="31" t="str">
        <f>IF(ISERROR(FIND("Deneb",TR!F629)),"","Deneb ")</f>
        <v xml:space="preserve">Deneb </v>
      </c>
      <c r="J629" s="37" t="str">
        <f t="shared" si="11"/>
        <v xml:space="preserve">Adara Copernicus Deneb </v>
      </c>
      <c r="K629" s="31" t="str">
        <f>IF(ISBLANK(TR!G629),"",TR!G629)</f>
        <v/>
      </c>
      <c r="L629" s="31" t="str">
        <f>IF(ISBLANK(TR!H629),"",TR!H629)</f>
        <v>FR-DSRSW-1416</v>
      </c>
      <c r="M629" s="30" t="str">
        <f>TR!J629</f>
        <v>Approved</v>
      </c>
      <c r="N629" s="31" t="str">
        <f>IF(OR(M629="Modified",M629="Cosmetic"),VLOOKUP(B629,PrevPFS!B$1:E$833,4,FALSE),"")</f>
        <v/>
      </c>
    </row>
    <row r="630" spans="1:14" ht="45" x14ac:dyDescent="0.25">
      <c r="A630" s="31" t="str">
        <f>IF(ISNONTEXT(TR!K630),"",TR!K630)</f>
        <v/>
      </c>
      <c r="B630" s="32" t="str">
        <f>TR!A630</f>
        <v>TR-DSRSW-2535</v>
      </c>
      <c r="C630" s="31" t="b">
        <f>ISERROR(FIND("-",TR!B630))</f>
        <v>1</v>
      </c>
      <c r="D630" s="31">
        <f>SetIndent(E630,(TR!C630-1)*2)</f>
        <v>4</v>
      </c>
      <c r="E630" s="35" t="str">
        <f>IF(ISERROR(FIND("-",TR!B630)),TR!B630&amp;" "&amp;TR!D630,TR!D630)</f>
        <v>25.1.12 CC Rendering and Selection</v>
      </c>
      <c r="F630" s="31" t="str">
        <f>TR!E630</f>
        <v>Hdr</v>
      </c>
      <c r="G630" s="31" t="str">
        <f>IF(ISERROR(FIND("Adara",TR!F630)),"","Adara ")</f>
        <v xml:space="preserve">Adara </v>
      </c>
      <c r="H630" s="31" t="str">
        <f>IF(ISERROR(FIND("Copernicus",TR!F630)),"","Copernicus ")</f>
        <v xml:space="preserve">Copernicus </v>
      </c>
      <c r="I630" s="31" t="str">
        <f>IF(ISERROR(FIND("Deneb",TR!F630)),"","Deneb ")</f>
        <v xml:space="preserve">Deneb </v>
      </c>
      <c r="J630" s="37" t="str">
        <f t="shared" si="11"/>
        <v xml:space="preserve">Adara Copernicus Deneb </v>
      </c>
      <c r="K630" s="31" t="str">
        <f>IF(ISBLANK(TR!G630),"",TR!G630)</f>
        <v/>
      </c>
      <c r="L630" s="31" t="str">
        <f>IF(ISBLANK(TR!H630),"",TR!H630)</f>
        <v/>
      </c>
      <c r="M630" s="30" t="str">
        <f>TR!J630</f>
        <v>Approved</v>
      </c>
      <c r="N630" s="31" t="str">
        <f>IF(OR(M630="Modified",M630="Cosmetic"),VLOOKUP(B630,PrevPFS!B$1:E$833,4,FALSE),"")</f>
        <v/>
      </c>
    </row>
    <row r="631" spans="1:14" ht="45" x14ac:dyDescent="0.25">
      <c r="A631" s="31" t="str">
        <f>IF(ISNONTEXT(TR!K631),"",TR!K631)</f>
        <v>TR-0-CC-REG-1014</v>
      </c>
      <c r="B631" s="32" t="str">
        <f>TR!A631</f>
        <v>TR-DSRSW-1921</v>
      </c>
      <c r="C631" s="31" t="b">
        <f>ISERROR(FIND("-",TR!B631))</f>
        <v>0</v>
      </c>
      <c r="D631" s="31">
        <f>SetIndent(E631,(TR!C631-1)*2)</f>
        <v>6</v>
      </c>
      <c r="E631" s="38" t="str">
        <f>IF(ISERROR(FIND("-",TR!B631)),TR!B631&amp;" "&amp;TR!D631,TR!D631)</f>
        <v>The product SHALL disable the rendering of closed captions if the user has selected to disable captions.</v>
      </c>
      <c r="F631" s="31" t="str">
        <f>TR!E631</f>
        <v>Req</v>
      </c>
      <c r="G631" s="31" t="str">
        <f>IF(ISERROR(FIND("Adara",TR!F631)),"","Adara ")</f>
        <v xml:space="preserve">Adara </v>
      </c>
      <c r="H631" s="31" t="str">
        <f>IF(ISERROR(FIND("Copernicus",TR!F631)),"","Copernicus ")</f>
        <v xml:space="preserve">Copernicus </v>
      </c>
      <c r="I631" s="31" t="str">
        <f>IF(ISERROR(FIND("Deneb",TR!F631)),"","Deneb ")</f>
        <v xml:space="preserve">Deneb </v>
      </c>
      <c r="J631" s="37" t="str">
        <f t="shared" si="11"/>
        <v xml:space="preserve">Adara Copernicus Deneb </v>
      </c>
      <c r="K631" s="31" t="str">
        <f>IF(ISBLANK(TR!G631),"",TR!G631)</f>
        <v/>
      </c>
      <c r="L631" s="31" t="str">
        <f>IF(ISBLANK(TR!H631),"",TR!H631)</f>
        <v>FR-DSRSW-1416</v>
      </c>
      <c r="M631" s="30" t="str">
        <f>TR!J631</f>
        <v>Approved</v>
      </c>
      <c r="N631" s="31" t="str">
        <f>IF(OR(M631="Modified",M631="Cosmetic"),VLOOKUP(B631,PrevPFS!B$1:E$833,4,FALSE),"")</f>
        <v/>
      </c>
    </row>
    <row r="632" spans="1:14" ht="45" x14ac:dyDescent="0.25">
      <c r="A632" s="31" t="str">
        <f>IF(ISNONTEXT(TR!K632),"",TR!K632)</f>
        <v>FR-CC-1019</v>
      </c>
      <c r="B632" s="32" t="str">
        <f>TR!A632</f>
        <v>TR-DSRSW-1952</v>
      </c>
      <c r="C632" s="31" t="b">
        <f>ISERROR(FIND("-",TR!B632))</f>
        <v>1</v>
      </c>
      <c r="D632" s="31">
        <f>SetIndent(E632,(TR!C632-1)*2)</f>
        <v>2</v>
      </c>
      <c r="E632" s="34" t="str">
        <f>IF(ISERROR(FIND("-",TR!B632)),TR!B632&amp;" "&amp;TR!D632,TR!D632)</f>
        <v>25.2 Closed Captions for Stored Content
The product SHALL comply with all FCC Closed Caption requirements as specified in 47cfr15 for CEA-608 and FCC 00-259 for CEA-708 caption information embedded in stored content.</v>
      </c>
      <c r="F632" s="31" t="str">
        <f>TR!E632</f>
        <v>Hdr</v>
      </c>
      <c r="G632" s="31" t="str">
        <f>IF(ISERROR(FIND("Adara",TR!F632)),"","Adara ")</f>
        <v xml:space="preserve">Adara </v>
      </c>
      <c r="H632" s="31" t="str">
        <f>IF(ISERROR(FIND("Copernicus",TR!F632)),"","Copernicus ")</f>
        <v xml:space="preserve">Copernicus </v>
      </c>
      <c r="I632" s="31" t="str">
        <f>IF(ISERROR(FIND("Deneb",TR!F632)),"","Deneb ")</f>
        <v xml:space="preserve">Deneb </v>
      </c>
      <c r="J632" s="37" t="str">
        <f t="shared" si="11"/>
        <v xml:space="preserve">Adara Copernicus Deneb </v>
      </c>
      <c r="K632" s="31" t="str">
        <f>IF(ISBLANK(TR!G632),"",TR!G632)</f>
        <v/>
      </c>
      <c r="L632" s="31" t="str">
        <f>IF(ISBLANK(TR!H632),"",TR!H632)</f>
        <v>FR-DSRSW-1416</v>
      </c>
      <c r="M632" s="30" t="str">
        <f>TR!J632</f>
        <v>Approved</v>
      </c>
      <c r="N632" s="31" t="str">
        <f>IF(OR(M632="Modified",M632="Cosmetic"),VLOOKUP(B632,PrevPFS!B$1:E$833,4,FALSE),"")</f>
        <v/>
      </c>
    </row>
    <row r="633" spans="1:14" ht="45" x14ac:dyDescent="0.25">
      <c r="A633" s="31" t="str">
        <f>IF(ISNONTEXT(TR!K633),"",TR!K633)</f>
        <v/>
      </c>
      <c r="B633" s="32" t="str">
        <f>TR!A633</f>
        <v>TR-DSRSW-1953</v>
      </c>
      <c r="C633" s="31" t="b">
        <f>ISERROR(FIND("-",TR!B633))</f>
        <v>0</v>
      </c>
      <c r="D633" s="31">
        <f>SetIndent(E633,(TR!C633-1)*2)</f>
        <v>4</v>
      </c>
      <c r="E633" s="35" t="str">
        <f>IF(ISERROR(FIND("-",TR!B633)),TR!B633&amp;" "&amp;TR!D633,TR!D633)</f>
        <v>The following requirements only apply when the product supports PVR capability.</v>
      </c>
      <c r="F633" s="31" t="str">
        <f>TR!E633</f>
        <v>Com</v>
      </c>
      <c r="G633" s="31" t="str">
        <f>IF(ISERROR(FIND("Adara",TR!F633)),"","Adara ")</f>
        <v xml:space="preserve">Adara </v>
      </c>
      <c r="H633" s="31" t="str">
        <f>IF(ISERROR(FIND("Copernicus",TR!F633)),"","Copernicus ")</f>
        <v xml:space="preserve">Copernicus </v>
      </c>
      <c r="I633" s="31" t="str">
        <f>IF(ISERROR(FIND("Deneb",TR!F633)),"","Deneb ")</f>
        <v xml:space="preserve">Deneb </v>
      </c>
      <c r="J633" s="37" t="str">
        <f t="shared" si="11"/>
        <v xml:space="preserve">Adara Copernicus Deneb </v>
      </c>
      <c r="K633" s="31" t="str">
        <f>IF(ISBLANK(TR!G633),"",TR!G633)</f>
        <v/>
      </c>
      <c r="L633" s="31" t="str">
        <f>IF(ISBLANK(TR!H633),"",TR!H633)</f>
        <v>FR-DSRSW-1417</v>
      </c>
      <c r="M633" s="30" t="str">
        <f>TR!J633</f>
        <v>Approved</v>
      </c>
      <c r="N633" s="31" t="str">
        <f>IF(OR(M633="Modified",M633="Cosmetic"),VLOOKUP(B633,PrevPFS!B$1:E$833,4,FALSE),"")</f>
        <v/>
      </c>
    </row>
    <row r="634" spans="1:14" ht="45" x14ac:dyDescent="0.25">
      <c r="A634" s="31" t="str">
        <f>IF(ISNONTEXT(TR!K634),"",TR!K634)</f>
        <v>TR-0-CC-REG-1130</v>
      </c>
      <c r="B634" s="32" t="str">
        <f>TR!A634</f>
        <v>TR-DSRSW-1954</v>
      </c>
      <c r="C634" s="31" t="b">
        <f>ISERROR(FIND("-",TR!B634))</f>
        <v>0</v>
      </c>
      <c r="D634" s="31">
        <f>SetIndent(E634,(TR!C634-1)*2)</f>
        <v>4</v>
      </c>
      <c r="E634" s="35" t="str">
        <f>IF(ISERROR(FIND("-",TR!B634)),TR!B634&amp;" "&amp;TR!D634,TR!D634)</f>
        <v>The product SHALL reconstruct Line 21, Field 1 and Field 2, of the VBI during playback of Retained content if playback is at Normal Speed.</v>
      </c>
      <c r="F634" s="31" t="str">
        <f>TR!E634</f>
        <v>Req</v>
      </c>
      <c r="G634" s="31" t="str">
        <f>IF(ISERROR(FIND("Adara",TR!F634)),"","Adara ")</f>
        <v xml:space="preserve">Adara </v>
      </c>
      <c r="H634" s="31" t="str">
        <f>IF(ISERROR(FIND("Copernicus",TR!F634)),"","Copernicus ")</f>
        <v xml:space="preserve">Copernicus </v>
      </c>
      <c r="I634" s="31" t="str">
        <f>IF(ISERROR(FIND("Deneb",TR!F634)),"","Deneb ")</f>
        <v xml:space="preserve">Deneb </v>
      </c>
      <c r="J634" s="37" t="str">
        <f t="shared" si="11"/>
        <v xml:space="preserve">Adara Copernicus Deneb </v>
      </c>
      <c r="K634" s="31" t="str">
        <f>IF(ISBLANK(TR!G634),"",TR!G634)</f>
        <v/>
      </c>
      <c r="L634" s="31" t="str">
        <f>IF(ISBLANK(TR!H634),"",TR!H634)</f>
        <v>FR-DSRSW-1417</v>
      </c>
      <c r="M634" s="30" t="str">
        <f>TR!J634</f>
        <v>Approved</v>
      </c>
      <c r="N634" s="31" t="str">
        <f>IF(OR(M634="Modified",M634="Cosmetic"),VLOOKUP(B634,PrevPFS!B$1:E$833,4,FALSE),"")</f>
        <v/>
      </c>
    </row>
    <row r="635" spans="1:14" ht="45" x14ac:dyDescent="0.25">
      <c r="A635" s="31" t="str">
        <f>IF(ISNONTEXT(TR!K635),"",TR!K635)</f>
        <v>TR-0-CC-REG-1131</v>
      </c>
      <c r="B635" s="32" t="str">
        <f>TR!A635</f>
        <v>TR-DSRSW-1955</v>
      </c>
      <c r="C635" s="31" t="b">
        <f>ISERROR(FIND("-",TR!B635))</f>
        <v>0</v>
      </c>
      <c r="D635" s="31">
        <f>SetIndent(E635,(TR!C635-1)*2)</f>
        <v>4</v>
      </c>
      <c r="E635" s="35" t="str">
        <f>IF(ISERROR(FIND("-",TR!B635)),TR!B635&amp;" "&amp;TR!D635,TR!D635)</f>
        <v>The product SHALL render closed captions during playback of Retained content if playback is at Normal Speed.</v>
      </c>
      <c r="F635" s="31" t="str">
        <f>TR!E635</f>
        <v>Req</v>
      </c>
      <c r="G635" s="31" t="str">
        <f>IF(ISERROR(FIND("Adara",TR!F635)),"","Adara ")</f>
        <v xml:space="preserve">Adara </v>
      </c>
      <c r="H635" s="31" t="str">
        <f>IF(ISERROR(FIND("Copernicus",TR!F635)),"","Copernicus ")</f>
        <v xml:space="preserve">Copernicus </v>
      </c>
      <c r="I635" s="31" t="str">
        <f>IF(ISERROR(FIND("Deneb",TR!F635)),"","Deneb ")</f>
        <v xml:space="preserve">Deneb </v>
      </c>
      <c r="J635" s="37" t="str">
        <f t="shared" si="11"/>
        <v xml:space="preserve">Adara Copernicus Deneb </v>
      </c>
      <c r="K635" s="31" t="str">
        <f>IF(ISBLANK(TR!G635),"",TR!G635)</f>
        <v/>
      </c>
      <c r="L635" s="31" t="str">
        <f>IF(ISBLANK(TR!H635),"",TR!H635)</f>
        <v>FR-DSRSW-1417</v>
      </c>
      <c r="M635" s="30" t="str">
        <f>TR!J635</f>
        <v>Approved</v>
      </c>
      <c r="N635" s="31" t="str">
        <f>IF(OR(M635="Modified",M635="Cosmetic"),VLOOKUP(B635,PrevPFS!B$1:E$833,4,FALSE),"")</f>
        <v/>
      </c>
    </row>
    <row r="636" spans="1:14" ht="45" x14ac:dyDescent="0.25">
      <c r="A636" s="31" t="str">
        <f>IF(ISNONTEXT(TR!K636),"",TR!K636)</f>
        <v>TR-0-CC-REG-1132</v>
      </c>
      <c r="B636" s="32" t="str">
        <f>TR!A636</f>
        <v>TR-DSRSW-1956</v>
      </c>
      <c r="C636" s="31" t="b">
        <f>ISERROR(FIND("-",TR!B636))</f>
        <v>0</v>
      </c>
      <c r="D636" s="31">
        <f>SetIndent(E636,(TR!C636-1)*2)</f>
        <v>4</v>
      </c>
      <c r="E636" s="35" t="str">
        <f>IF(ISERROR(FIND("-",TR!B636)),TR!B636&amp;" "&amp;TR!D636,TR!D636)</f>
        <v>The product SHALL disable the reconstruction of Line 21, Field 1 and Field 2, of the VBI if the selection to Slow Forward Retained content is enabled.</v>
      </c>
      <c r="F636" s="31" t="str">
        <f>TR!E636</f>
        <v>Req</v>
      </c>
      <c r="G636" s="31" t="str">
        <f>IF(ISERROR(FIND("Adara",TR!F636)),"","Adara ")</f>
        <v xml:space="preserve">Adara </v>
      </c>
      <c r="H636" s="31" t="str">
        <f>IF(ISERROR(FIND("Copernicus",TR!F636)),"","Copernicus ")</f>
        <v xml:space="preserve">Copernicus </v>
      </c>
      <c r="I636" s="31" t="str">
        <f>IF(ISERROR(FIND("Deneb",TR!F636)),"","Deneb ")</f>
        <v xml:space="preserve">Deneb </v>
      </c>
      <c r="J636" s="37" t="str">
        <f t="shared" si="11"/>
        <v xml:space="preserve">Adara Copernicus Deneb </v>
      </c>
      <c r="K636" s="31" t="str">
        <f>IF(ISBLANK(TR!G636),"",TR!G636)</f>
        <v/>
      </c>
      <c r="L636" s="31" t="str">
        <f>IF(ISBLANK(TR!H636),"",TR!H636)</f>
        <v>FR-DSRSW-1417</v>
      </c>
      <c r="M636" s="30" t="str">
        <f>TR!J636</f>
        <v>Approved</v>
      </c>
      <c r="N636" s="31" t="str">
        <f>IF(OR(M636="Modified",M636="Cosmetic"),VLOOKUP(B636,PrevPFS!B$1:E$833,4,FALSE),"")</f>
        <v/>
      </c>
    </row>
    <row r="637" spans="1:14" ht="45" x14ac:dyDescent="0.25">
      <c r="A637" s="31" t="str">
        <f>IF(ISNONTEXT(TR!K637),"",TR!K637)</f>
        <v>TR-0-CC-REG-1133</v>
      </c>
      <c r="B637" s="32" t="str">
        <f>TR!A637</f>
        <v>TR-DSRSW-1957</v>
      </c>
      <c r="C637" s="31" t="b">
        <f>ISERROR(FIND("-",TR!B637))</f>
        <v>0</v>
      </c>
      <c r="D637" s="31">
        <f>SetIndent(E637,(TR!C637-1)*2)</f>
        <v>4</v>
      </c>
      <c r="E637" s="35" t="str">
        <f>IF(ISERROR(FIND("-",TR!B637)),TR!B637&amp;" "&amp;TR!D637,TR!D637)</f>
        <v>The product SHALL disable the rendering of closed captions if the selection to Slow Forward Retained content is enabled.</v>
      </c>
      <c r="F637" s="31" t="str">
        <f>TR!E637</f>
        <v>Req</v>
      </c>
      <c r="G637" s="31" t="str">
        <f>IF(ISERROR(FIND("Adara",TR!F637)),"","Adara ")</f>
        <v xml:space="preserve">Adara </v>
      </c>
      <c r="H637" s="31" t="str">
        <f>IF(ISERROR(FIND("Copernicus",TR!F637)),"","Copernicus ")</f>
        <v xml:space="preserve">Copernicus </v>
      </c>
      <c r="I637" s="31" t="str">
        <f>IF(ISERROR(FIND("Deneb",TR!F637)),"","Deneb ")</f>
        <v xml:space="preserve">Deneb </v>
      </c>
      <c r="J637" s="37" t="str">
        <f t="shared" si="11"/>
        <v xml:space="preserve">Adara Copernicus Deneb </v>
      </c>
      <c r="K637" s="31" t="str">
        <f>IF(ISBLANK(TR!G637),"",TR!G637)</f>
        <v/>
      </c>
      <c r="L637" s="31" t="str">
        <f>IF(ISBLANK(TR!H637),"",TR!H637)</f>
        <v>FR-DSRSW-1417</v>
      </c>
      <c r="M637" s="30" t="str">
        <f>TR!J637</f>
        <v>Approved</v>
      </c>
      <c r="N637" s="31" t="str">
        <f>IF(OR(M637="Modified",M637="Cosmetic"),VLOOKUP(B637,PrevPFS!B$1:E$833,4,FALSE),"")</f>
        <v/>
      </c>
    </row>
    <row r="638" spans="1:14" ht="45" x14ac:dyDescent="0.25">
      <c r="A638" s="31" t="str">
        <f>IF(ISNONTEXT(TR!K638),"",TR!K638)</f>
        <v>TR-0-CC-REG-1134</v>
      </c>
      <c r="B638" s="32" t="str">
        <f>TR!A638</f>
        <v>TR-DSRSW-1958</v>
      </c>
      <c r="C638" s="31" t="b">
        <f>ISERROR(FIND("-",TR!B638))</f>
        <v>0</v>
      </c>
      <c r="D638" s="31">
        <f>SetIndent(E638,(TR!C638-1)*2)</f>
        <v>4</v>
      </c>
      <c r="E638" s="35" t="str">
        <f>IF(ISERROR(FIND("-",TR!B638)),TR!B638&amp;" "&amp;TR!D638,TR!D638)</f>
        <v>The product SHALL disable the reconstruction of Line 21, Field 1 and Field 2, of the VBI if the selection to Fast Forward Retained content is enabled.</v>
      </c>
      <c r="F638" s="31" t="str">
        <f>TR!E638</f>
        <v>Req</v>
      </c>
      <c r="G638" s="31" t="str">
        <f>IF(ISERROR(FIND("Adara",TR!F638)),"","Adara ")</f>
        <v xml:space="preserve">Adara </v>
      </c>
      <c r="H638" s="31" t="str">
        <f>IF(ISERROR(FIND("Copernicus",TR!F638)),"","Copernicus ")</f>
        <v xml:space="preserve">Copernicus </v>
      </c>
      <c r="I638" s="31" t="str">
        <f>IF(ISERROR(FIND("Deneb",TR!F638)),"","Deneb ")</f>
        <v xml:space="preserve">Deneb </v>
      </c>
      <c r="J638" s="37" t="str">
        <f t="shared" si="11"/>
        <v xml:space="preserve">Adara Copernicus Deneb </v>
      </c>
      <c r="K638" s="31" t="str">
        <f>IF(ISBLANK(TR!G638),"",TR!G638)</f>
        <v/>
      </c>
      <c r="L638" s="31" t="str">
        <f>IF(ISBLANK(TR!H638),"",TR!H638)</f>
        <v>FR-DSRSW-1417</v>
      </c>
      <c r="M638" s="30" t="str">
        <f>TR!J638</f>
        <v>Approved</v>
      </c>
      <c r="N638" s="31" t="str">
        <f>IF(OR(M638="Modified",M638="Cosmetic"),VLOOKUP(B638,PrevPFS!B$1:E$833,4,FALSE),"")</f>
        <v/>
      </c>
    </row>
    <row r="639" spans="1:14" ht="45" x14ac:dyDescent="0.25">
      <c r="A639" s="31" t="str">
        <f>IF(ISNONTEXT(TR!K639),"",TR!K639)</f>
        <v>TR-0-CC-REG-1135</v>
      </c>
      <c r="B639" s="32" t="str">
        <f>TR!A639</f>
        <v>TR-DSRSW-1959</v>
      </c>
      <c r="C639" s="31" t="b">
        <f>ISERROR(FIND("-",TR!B639))</f>
        <v>0</v>
      </c>
      <c r="D639" s="31">
        <f>SetIndent(E639,(TR!C639-1)*2)</f>
        <v>4</v>
      </c>
      <c r="E639" s="35" t="str">
        <f>IF(ISERROR(FIND("-",TR!B639)),TR!B639&amp;" "&amp;TR!D639,TR!D639)</f>
        <v>The product SHALL disable the rendering of closed captions if the selection to Fast Forward Retained content is enabled.</v>
      </c>
      <c r="F639" s="31" t="str">
        <f>TR!E639</f>
        <v>Req</v>
      </c>
      <c r="G639" s="31" t="str">
        <f>IF(ISERROR(FIND("Adara",TR!F639)),"","Adara ")</f>
        <v xml:space="preserve">Adara </v>
      </c>
      <c r="H639" s="31" t="str">
        <f>IF(ISERROR(FIND("Copernicus",TR!F639)),"","Copernicus ")</f>
        <v xml:space="preserve">Copernicus </v>
      </c>
      <c r="I639" s="31" t="str">
        <f>IF(ISERROR(FIND("Deneb",TR!F639)),"","Deneb ")</f>
        <v xml:space="preserve">Deneb </v>
      </c>
      <c r="J639" s="37" t="str">
        <f t="shared" si="11"/>
        <v xml:space="preserve">Adara Copernicus Deneb </v>
      </c>
      <c r="K639" s="31" t="str">
        <f>IF(ISBLANK(TR!G639),"",TR!G639)</f>
        <v/>
      </c>
      <c r="L639" s="31" t="str">
        <f>IF(ISBLANK(TR!H639),"",TR!H639)</f>
        <v>FR-DSRSW-1417</v>
      </c>
      <c r="M639" s="30" t="str">
        <f>TR!J639</f>
        <v>Approved</v>
      </c>
      <c r="N639" s="31" t="str">
        <f>IF(OR(M639="Modified",M639="Cosmetic"),VLOOKUP(B639,PrevPFS!B$1:E$833,4,FALSE),"")</f>
        <v/>
      </c>
    </row>
    <row r="640" spans="1:14" ht="45" x14ac:dyDescent="0.25">
      <c r="A640" s="31" t="str">
        <f>IF(ISNONTEXT(TR!K640),"",TR!K640)</f>
        <v>TR-0-CC-REG-1136</v>
      </c>
      <c r="B640" s="32" t="str">
        <f>TR!A640</f>
        <v>TR-DSRSW-1960</v>
      </c>
      <c r="C640" s="31" t="b">
        <f>ISERROR(FIND("-",TR!B640))</f>
        <v>0</v>
      </c>
      <c r="D640" s="31">
        <f>SetIndent(E640,(TR!C640-1)*2)</f>
        <v>4</v>
      </c>
      <c r="E640" s="35" t="str">
        <f>IF(ISERROR(FIND("-",TR!B640)),TR!B640&amp;" "&amp;TR!D640,TR!D640)</f>
        <v>The product SHALL disable the reconstruction of Line 21, Field 1 and Field 2, of the VBI if the selection to Slow Rewind Retained content is enabled.</v>
      </c>
      <c r="F640" s="31" t="str">
        <f>TR!E640</f>
        <v>Req</v>
      </c>
      <c r="G640" s="31" t="str">
        <f>IF(ISERROR(FIND("Adara",TR!F640)),"","Adara ")</f>
        <v xml:space="preserve">Adara </v>
      </c>
      <c r="H640" s="31" t="str">
        <f>IF(ISERROR(FIND("Copernicus",TR!F640)),"","Copernicus ")</f>
        <v xml:space="preserve">Copernicus </v>
      </c>
      <c r="I640" s="31" t="str">
        <f>IF(ISERROR(FIND("Deneb",TR!F640)),"","Deneb ")</f>
        <v xml:space="preserve">Deneb </v>
      </c>
      <c r="J640" s="37" t="str">
        <f t="shared" si="11"/>
        <v xml:space="preserve">Adara Copernicus Deneb </v>
      </c>
      <c r="K640" s="31" t="str">
        <f>IF(ISBLANK(TR!G640),"",TR!G640)</f>
        <v/>
      </c>
      <c r="L640" s="31" t="str">
        <f>IF(ISBLANK(TR!H640),"",TR!H640)</f>
        <v>FR-DSRSW-1417</v>
      </c>
      <c r="M640" s="30" t="str">
        <f>TR!J640</f>
        <v>Approved</v>
      </c>
      <c r="N640" s="31" t="str">
        <f>IF(OR(M640="Modified",M640="Cosmetic"),VLOOKUP(B640,PrevPFS!B$1:E$833,4,FALSE),"")</f>
        <v/>
      </c>
    </row>
    <row r="641" spans="1:14" ht="45" x14ac:dyDescent="0.25">
      <c r="A641" s="31" t="str">
        <f>IF(ISNONTEXT(TR!K641),"",TR!K641)</f>
        <v>TR-0-CC-REG-1137</v>
      </c>
      <c r="B641" s="32" t="str">
        <f>TR!A641</f>
        <v>TR-DSRSW-1961</v>
      </c>
      <c r="C641" s="31" t="b">
        <f>ISERROR(FIND("-",TR!B641))</f>
        <v>0</v>
      </c>
      <c r="D641" s="31">
        <f>SetIndent(E641,(TR!C641-1)*2)</f>
        <v>4</v>
      </c>
      <c r="E641" s="35" t="str">
        <f>IF(ISERROR(FIND("-",TR!B641)),TR!B641&amp;" "&amp;TR!D641,TR!D641)</f>
        <v>The product SHALL disable the rendering of closed captions if the selection to Slow Rewind Retained content is enabled.</v>
      </c>
      <c r="F641" s="31" t="str">
        <f>TR!E641</f>
        <v>Req</v>
      </c>
      <c r="G641" s="31" t="str">
        <f>IF(ISERROR(FIND("Adara",TR!F641)),"","Adara ")</f>
        <v xml:space="preserve">Adara </v>
      </c>
      <c r="H641" s="31" t="str">
        <f>IF(ISERROR(FIND("Copernicus",TR!F641)),"","Copernicus ")</f>
        <v xml:space="preserve">Copernicus </v>
      </c>
      <c r="I641" s="31" t="str">
        <f>IF(ISERROR(FIND("Deneb",TR!F641)),"","Deneb ")</f>
        <v xml:space="preserve">Deneb </v>
      </c>
      <c r="J641" s="37" t="str">
        <f t="shared" si="11"/>
        <v xml:space="preserve">Adara Copernicus Deneb </v>
      </c>
      <c r="K641" s="31" t="str">
        <f>IF(ISBLANK(TR!G641),"",TR!G641)</f>
        <v/>
      </c>
      <c r="L641" s="31" t="str">
        <f>IF(ISBLANK(TR!H641),"",TR!H641)</f>
        <v>FR-DSRSW-1417</v>
      </c>
      <c r="M641" s="30" t="str">
        <f>TR!J641</f>
        <v>Approved</v>
      </c>
      <c r="N641" s="31" t="str">
        <f>IF(OR(M641="Modified",M641="Cosmetic"),VLOOKUP(B641,PrevPFS!B$1:E$833,4,FALSE),"")</f>
        <v/>
      </c>
    </row>
    <row r="642" spans="1:14" ht="45" x14ac:dyDescent="0.25">
      <c r="A642" s="31" t="str">
        <f>IF(ISNONTEXT(TR!K642),"",TR!K642)</f>
        <v>TR-0-CC-REG-1138</v>
      </c>
      <c r="B642" s="32" t="str">
        <f>TR!A642</f>
        <v>TR-DSRSW-1962</v>
      </c>
      <c r="C642" s="31" t="b">
        <f>ISERROR(FIND("-",TR!B642))</f>
        <v>0</v>
      </c>
      <c r="D642" s="31">
        <f>SetIndent(E642,(TR!C642-1)*2)</f>
        <v>4</v>
      </c>
      <c r="E642" s="35" t="str">
        <f>IF(ISERROR(FIND("-",TR!B642)),TR!B642&amp;" "&amp;TR!D642,TR!D642)</f>
        <v>The product SHALL disable the reconstruction of Line 21, Field 1 and Field 2, of the VBI if the selection to Fast Rewind Retained content is enabled.</v>
      </c>
      <c r="F642" s="31" t="str">
        <f>TR!E642</f>
        <v>Req</v>
      </c>
      <c r="G642" s="31" t="str">
        <f>IF(ISERROR(FIND("Adara",TR!F642)),"","Adara ")</f>
        <v xml:space="preserve">Adara </v>
      </c>
      <c r="H642" s="31" t="str">
        <f>IF(ISERROR(FIND("Copernicus",TR!F642)),"","Copernicus ")</f>
        <v xml:space="preserve">Copernicus </v>
      </c>
      <c r="I642" s="31" t="str">
        <f>IF(ISERROR(FIND("Deneb",TR!F642)),"","Deneb ")</f>
        <v xml:space="preserve">Deneb </v>
      </c>
      <c r="J642" s="37" t="str">
        <f t="shared" si="11"/>
        <v xml:space="preserve">Adara Copernicus Deneb </v>
      </c>
      <c r="K642" s="31" t="str">
        <f>IF(ISBLANK(TR!G642),"",TR!G642)</f>
        <v/>
      </c>
      <c r="L642" s="31" t="str">
        <f>IF(ISBLANK(TR!H642),"",TR!H642)</f>
        <v>FR-DSRSW-1417</v>
      </c>
      <c r="M642" s="30" t="str">
        <f>TR!J642</f>
        <v>Approved</v>
      </c>
      <c r="N642" s="31" t="str">
        <f>IF(OR(M642="Modified",M642="Cosmetic"),VLOOKUP(B642,PrevPFS!B$1:E$833,4,FALSE),"")</f>
        <v/>
      </c>
    </row>
    <row r="643" spans="1:14" ht="45" x14ac:dyDescent="0.25">
      <c r="A643" s="31" t="str">
        <f>IF(ISNONTEXT(TR!K643),"",TR!K643)</f>
        <v>TR-0-CC-REG-1139</v>
      </c>
      <c r="B643" s="32" t="str">
        <f>TR!A643</f>
        <v>TR-DSRSW-1963</v>
      </c>
      <c r="C643" s="31" t="b">
        <f>ISERROR(FIND("-",TR!B643))</f>
        <v>0</v>
      </c>
      <c r="D643" s="31">
        <f>SetIndent(E643,(TR!C643-1)*2)</f>
        <v>4</v>
      </c>
      <c r="E643" s="35" t="str">
        <f>IF(ISERROR(FIND("-",TR!B643)),TR!B643&amp;" "&amp;TR!D643,TR!D643)</f>
        <v>The product SHALL disable the rendering of closed captions if the selection to Fast Rewind Retained content is enabled.</v>
      </c>
      <c r="F643" s="31" t="str">
        <f>TR!E643</f>
        <v>Req</v>
      </c>
      <c r="G643" s="31" t="str">
        <f>IF(ISERROR(FIND("Adara",TR!F643)),"","Adara ")</f>
        <v xml:space="preserve">Adara </v>
      </c>
      <c r="H643" s="31" t="str">
        <f>IF(ISERROR(FIND("Copernicus",TR!F643)),"","Copernicus ")</f>
        <v xml:space="preserve">Copernicus </v>
      </c>
      <c r="I643" s="31" t="str">
        <f>IF(ISERROR(FIND("Deneb",TR!F643)),"","Deneb ")</f>
        <v xml:space="preserve">Deneb </v>
      </c>
      <c r="J643" s="37" t="str">
        <f t="shared" si="11"/>
        <v xml:space="preserve">Adara Copernicus Deneb </v>
      </c>
      <c r="K643" s="31" t="str">
        <f>IF(ISBLANK(TR!G643),"",TR!G643)</f>
        <v/>
      </c>
      <c r="L643" s="31" t="str">
        <f>IF(ISBLANK(TR!H643),"",TR!H643)</f>
        <v>FR-DSRSW-1417</v>
      </c>
      <c r="M643" s="30" t="str">
        <f>TR!J643</f>
        <v>Approved</v>
      </c>
      <c r="N643" s="31" t="str">
        <f>IF(OR(M643="Modified",M643="Cosmetic"),VLOOKUP(B643,PrevPFS!B$1:E$833,4,FALSE),"")</f>
        <v/>
      </c>
    </row>
    <row r="644" spans="1:14" ht="45" x14ac:dyDescent="0.25">
      <c r="A644" s="31" t="str">
        <f>IF(ISNONTEXT(TR!K644),"",TR!K644)</f>
        <v>TR-0-CC-REG-1140</v>
      </c>
      <c r="B644" s="32" t="str">
        <f>TR!A644</f>
        <v>TR-DSRSW-1964</v>
      </c>
      <c r="C644" s="31" t="b">
        <f>ISERROR(FIND("-",TR!B644))</f>
        <v>0</v>
      </c>
      <c r="D644" s="31">
        <f>SetIndent(E644,(TR!C644-1)*2)</f>
        <v>4</v>
      </c>
      <c r="E644" s="35" t="str">
        <f>IF(ISERROR(FIND("-",TR!B644)),TR!B644&amp;" "&amp;TR!D644,TR!D644)</f>
        <v>The product SHALL disable the reconstruction of Line 21, Field 1 and Field 2, of the VBI if the selection to Pause Retained content is enabled.</v>
      </c>
      <c r="F644" s="31" t="str">
        <f>TR!E644</f>
        <v>Req</v>
      </c>
      <c r="G644" s="31" t="str">
        <f>IF(ISERROR(FIND("Adara",TR!F644)),"","Adara ")</f>
        <v xml:space="preserve">Adara </v>
      </c>
      <c r="H644" s="31" t="str">
        <f>IF(ISERROR(FIND("Copernicus",TR!F644)),"","Copernicus ")</f>
        <v xml:space="preserve">Copernicus </v>
      </c>
      <c r="I644" s="31" t="str">
        <f>IF(ISERROR(FIND("Deneb",TR!F644)),"","Deneb ")</f>
        <v xml:space="preserve">Deneb </v>
      </c>
      <c r="J644" s="37" t="str">
        <f t="shared" si="11"/>
        <v xml:space="preserve">Adara Copernicus Deneb </v>
      </c>
      <c r="K644" s="31" t="str">
        <f>IF(ISBLANK(TR!G644),"",TR!G644)</f>
        <v/>
      </c>
      <c r="L644" s="31" t="str">
        <f>IF(ISBLANK(TR!H644),"",TR!H644)</f>
        <v>FR-DSRSW-1417</v>
      </c>
      <c r="M644" s="30" t="str">
        <f>TR!J644</f>
        <v>Approved</v>
      </c>
      <c r="N644" s="31" t="str">
        <f>IF(OR(M644="Modified",M644="Cosmetic"),VLOOKUP(B644,PrevPFS!B$1:E$833,4,FALSE),"")</f>
        <v/>
      </c>
    </row>
    <row r="645" spans="1:14" ht="45" x14ac:dyDescent="0.25">
      <c r="A645" s="31" t="str">
        <f>IF(ISNONTEXT(TR!K645),"",TR!K645)</f>
        <v>TR-0-CC-REG-1141</v>
      </c>
      <c r="B645" s="32" t="str">
        <f>TR!A645</f>
        <v>TR-DSRSW-1965</v>
      </c>
      <c r="C645" s="31" t="b">
        <f>ISERROR(FIND("-",TR!B645))</f>
        <v>0</v>
      </c>
      <c r="D645" s="31">
        <f>SetIndent(E645,(TR!C645-1)*2)</f>
        <v>4</v>
      </c>
      <c r="E645" s="35" t="str">
        <f>IF(ISERROR(FIND("-",TR!B645)),TR!B645&amp;" "&amp;TR!D645,TR!D645)</f>
        <v>The product SHALL disable the rendering of closed captions if the selection to Pause Retained content is enabled.</v>
      </c>
      <c r="F645" s="31" t="str">
        <f>TR!E645</f>
        <v>Req</v>
      </c>
      <c r="G645" s="31" t="str">
        <f>IF(ISERROR(FIND("Adara",TR!F645)),"","Adara ")</f>
        <v xml:space="preserve">Adara </v>
      </c>
      <c r="H645" s="31" t="str">
        <f>IF(ISERROR(FIND("Copernicus",TR!F645)),"","Copernicus ")</f>
        <v xml:space="preserve">Copernicus </v>
      </c>
      <c r="I645" s="31" t="str">
        <f>IF(ISERROR(FIND("Deneb",TR!F645)),"","Deneb ")</f>
        <v xml:space="preserve">Deneb </v>
      </c>
      <c r="J645" s="37" t="str">
        <f t="shared" si="11"/>
        <v xml:space="preserve">Adara Copernicus Deneb </v>
      </c>
      <c r="K645" s="31" t="str">
        <f>IF(ISBLANK(TR!G645),"",TR!G645)</f>
        <v/>
      </c>
      <c r="L645" s="31" t="str">
        <f>IF(ISBLANK(TR!H645),"",TR!H645)</f>
        <v>FR-DSRSW-1417</v>
      </c>
      <c r="M645" s="30" t="str">
        <f>TR!J645</f>
        <v>Approved</v>
      </c>
      <c r="N645" s="31" t="str">
        <f>IF(OR(M645="Modified",M645="Cosmetic"),VLOOKUP(B645,PrevPFS!B$1:E$833,4,FALSE),"")</f>
        <v/>
      </c>
    </row>
    <row r="646" spans="1:14" ht="45" x14ac:dyDescent="0.25">
      <c r="A646" s="31" t="str">
        <f>IF(ISNONTEXT(TR!K646),"",TR!K646)</f>
        <v>TR-0-CC-REG-1142</v>
      </c>
      <c r="B646" s="32" t="str">
        <f>TR!A646</f>
        <v>TR-DSRSW-1966</v>
      </c>
      <c r="C646" s="31" t="b">
        <f>ISERROR(FIND("-",TR!B646))</f>
        <v>0</v>
      </c>
      <c r="D646" s="31">
        <f>SetIndent(E646,(TR!C646-1)*2)</f>
        <v>4</v>
      </c>
      <c r="E646" s="35" t="str">
        <f>IF(ISERROR(FIND("-",TR!B646)),TR!B646&amp;" "&amp;TR!D646,TR!D646)</f>
        <v>The product SHALL begin reconstructing Line 21, Field 1 and Field 2, of the VBI within three (3) seconds of a transition from Slow Forward playback to Normal Speed playback of Retained content.</v>
      </c>
      <c r="F646" s="31" t="str">
        <f>TR!E646</f>
        <v>Req</v>
      </c>
      <c r="G646" s="31" t="str">
        <f>IF(ISERROR(FIND("Adara",TR!F646)),"","Adara ")</f>
        <v xml:space="preserve">Adara </v>
      </c>
      <c r="H646" s="31" t="str">
        <f>IF(ISERROR(FIND("Copernicus",TR!F646)),"","Copernicus ")</f>
        <v xml:space="preserve">Copernicus </v>
      </c>
      <c r="I646" s="31" t="str">
        <f>IF(ISERROR(FIND("Deneb",TR!F646)),"","Deneb ")</f>
        <v xml:space="preserve">Deneb </v>
      </c>
      <c r="J646" s="37" t="str">
        <f t="shared" si="11"/>
        <v xml:space="preserve">Adara Copernicus Deneb </v>
      </c>
      <c r="K646" s="31" t="str">
        <f>IF(ISBLANK(TR!G646),"",TR!G646)</f>
        <v/>
      </c>
      <c r="L646" s="31" t="str">
        <f>IF(ISBLANK(TR!H646),"",TR!H646)</f>
        <v>FR-DSRSW-1417</v>
      </c>
      <c r="M646" s="30" t="str">
        <f>TR!J646</f>
        <v>Approved</v>
      </c>
      <c r="N646" s="31" t="str">
        <f>IF(OR(M646="Modified",M646="Cosmetic"),VLOOKUP(B646,PrevPFS!B$1:E$833,4,FALSE),"")</f>
        <v/>
      </c>
    </row>
    <row r="647" spans="1:14" ht="45" x14ac:dyDescent="0.25">
      <c r="A647" s="31" t="str">
        <f>IF(ISNONTEXT(TR!K647),"",TR!K647)</f>
        <v>TR-0-CC-REG-1143</v>
      </c>
      <c r="B647" s="32" t="str">
        <f>TR!A647</f>
        <v>TR-DSRSW-1967</v>
      </c>
      <c r="C647" s="31" t="b">
        <f>ISERROR(FIND("-",TR!B647))</f>
        <v>0</v>
      </c>
      <c r="D647" s="31">
        <f>SetIndent(E647,(TR!C647-1)*2)</f>
        <v>4</v>
      </c>
      <c r="E647" s="35" t="str">
        <f>IF(ISERROR(FIND("-",TR!B647)),TR!B647&amp;" "&amp;TR!D647,TR!D647)</f>
        <v>The product SHALL begin rendering closed caption data within three (3) seconds of a transition from Slow Forward playback to Normal Speed playback of Retained content.</v>
      </c>
      <c r="F647" s="31" t="str">
        <f>TR!E647</f>
        <v>Req</v>
      </c>
      <c r="G647" s="31" t="str">
        <f>IF(ISERROR(FIND("Adara",TR!F647)),"","Adara ")</f>
        <v xml:space="preserve">Adara </v>
      </c>
      <c r="H647" s="31" t="str">
        <f>IF(ISERROR(FIND("Copernicus",TR!F647)),"","Copernicus ")</f>
        <v xml:space="preserve">Copernicus </v>
      </c>
      <c r="I647" s="31" t="str">
        <f>IF(ISERROR(FIND("Deneb",TR!F647)),"","Deneb ")</f>
        <v xml:space="preserve">Deneb </v>
      </c>
      <c r="J647" s="37" t="str">
        <f t="shared" si="11"/>
        <v xml:space="preserve">Adara Copernicus Deneb </v>
      </c>
      <c r="K647" s="31" t="str">
        <f>IF(ISBLANK(TR!G647),"",TR!G647)</f>
        <v/>
      </c>
      <c r="L647" s="31" t="str">
        <f>IF(ISBLANK(TR!H647),"",TR!H647)</f>
        <v>FR-DSRSW-1417</v>
      </c>
      <c r="M647" s="30" t="str">
        <f>TR!J647</f>
        <v>Approved</v>
      </c>
      <c r="N647" s="31" t="str">
        <f>IF(OR(M647="Modified",M647="Cosmetic"),VLOOKUP(B647,PrevPFS!B$1:E$833,4,FALSE),"")</f>
        <v/>
      </c>
    </row>
    <row r="648" spans="1:14" ht="45" x14ac:dyDescent="0.25">
      <c r="A648" s="31" t="str">
        <f>IF(ISNONTEXT(TR!K648),"",TR!K648)</f>
        <v>TR-0-CC-REG-1144</v>
      </c>
      <c r="B648" s="32" t="str">
        <f>TR!A648</f>
        <v>TR-DSRSW-1968</v>
      </c>
      <c r="C648" s="31" t="b">
        <f>ISERROR(FIND("-",TR!B648))</f>
        <v>0</v>
      </c>
      <c r="D648" s="31">
        <f>SetIndent(E648,(TR!C648-1)*2)</f>
        <v>4</v>
      </c>
      <c r="E648" s="35" t="str">
        <f>IF(ISERROR(FIND("-",TR!B648)),TR!B648&amp;" "&amp;TR!D648,TR!D648)</f>
        <v>The product SHALL begin reconstructing Line 21, Field 1 and Field 2, of the VBI within three (3) seconds of a transition from Fast Forward playback to Normal Speed playback of Retained content.</v>
      </c>
      <c r="F648" s="31" t="str">
        <f>TR!E648</f>
        <v>Req</v>
      </c>
      <c r="G648" s="31" t="str">
        <f>IF(ISERROR(FIND("Adara",TR!F648)),"","Adara ")</f>
        <v xml:space="preserve">Adara </v>
      </c>
      <c r="H648" s="31" t="str">
        <f>IF(ISERROR(FIND("Copernicus",TR!F648)),"","Copernicus ")</f>
        <v xml:space="preserve">Copernicus </v>
      </c>
      <c r="I648" s="31" t="str">
        <f>IF(ISERROR(FIND("Deneb",TR!F648)),"","Deneb ")</f>
        <v xml:space="preserve">Deneb </v>
      </c>
      <c r="J648" s="37" t="str">
        <f t="shared" si="11"/>
        <v xml:space="preserve">Adara Copernicus Deneb </v>
      </c>
      <c r="K648" s="31" t="str">
        <f>IF(ISBLANK(TR!G648),"",TR!G648)</f>
        <v/>
      </c>
      <c r="L648" s="31" t="str">
        <f>IF(ISBLANK(TR!H648),"",TR!H648)</f>
        <v>FR-DSRSW-1417</v>
      </c>
      <c r="M648" s="30" t="str">
        <f>TR!J648</f>
        <v>Approved</v>
      </c>
      <c r="N648" s="31" t="str">
        <f>IF(OR(M648="Modified",M648="Cosmetic"),VLOOKUP(B648,PrevPFS!B$1:E$833,4,FALSE),"")</f>
        <v/>
      </c>
    </row>
    <row r="649" spans="1:14" ht="45" x14ac:dyDescent="0.25">
      <c r="A649" s="31" t="str">
        <f>IF(ISNONTEXT(TR!K649),"",TR!K649)</f>
        <v>TR-0-CC-REG-1145</v>
      </c>
      <c r="B649" s="32" t="str">
        <f>TR!A649</f>
        <v>TR-DSRSW-1969</v>
      </c>
      <c r="C649" s="31" t="b">
        <f>ISERROR(FIND("-",TR!B649))</f>
        <v>0</v>
      </c>
      <c r="D649" s="31">
        <f>SetIndent(E649,(TR!C649-1)*2)</f>
        <v>4</v>
      </c>
      <c r="E649" s="35" t="str">
        <f>IF(ISERROR(FIND("-",TR!B649)),TR!B649&amp;" "&amp;TR!D649,TR!D649)</f>
        <v>The product SHALL begin rendering closed caption data within three (3) seconds of a transition from Fast Forward playback to Normal Speed playback of Retained content.</v>
      </c>
      <c r="F649" s="31" t="str">
        <f>TR!E649</f>
        <v>Req</v>
      </c>
      <c r="G649" s="31" t="str">
        <f>IF(ISERROR(FIND("Adara",TR!F649)),"","Adara ")</f>
        <v xml:space="preserve">Adara </v>
      </c>
      <c r="H649" s="31" t="str">
        <f>IF(ISERROR(FIND("Copernicus",TR!F649)),"","Copernicus ")</f>
        <v xml:space="preserve">Copernicus </v>
      </c>
      <c r="I649" s="31" t="str">
        <f>IF(ISERROR(FIND("Deneb",TR!F649)),"","Deneb ")</f>
        <v xml:space="preserve">Deneb </v>
      </c>
      <c r="J649" s="37" t="str">
        <f t="shared" si="11"/>
        <v xml:space="preserve">Adara Copernicus Deneb </v>
      </c>
      <c r="K649" s="31" t="str">
        <f>IF(ISBLANK(TR!G649),"",TR!G649)</f>
        <v/>
      </c>
      <c r="L649" s="31" t="str">
        <f>IF(ISBLANK(TR!H649),"",TR!H649)</f>
        <v>FR-DSRSW-1417</v>
      </c>
      <c r="M649" s="30" t="str">
        <f>TR!J649</f>
        <v>Approved</v>
      </c>
      <c r="N649" s="31" t="str">
        <f>IF(OR(M649="Modified",M649="Cosmetic"),VLOOKUP(B649,PrevPFS!B$1:E$833,4,FALSE),"")</f>
        <v/>
      </c>
    </row>
    <row r="650" spans="1:14" ht="45" x14ac:dyDescent="0.25">
      <c r="A650" s="31" t="str">
        <f>IF(ISNONTEXT(TR!K650),"",TR!K650)</f>
        <v>TR-0-CC-REG-1146</v>
      </c>
      <c r="B650" s="32" t="str">
        <f>TR!A650</f>
        <v>TR-DSRSW-1970</v>
      </c>
      <c r="C650" s="31" t="b">
        <f>ISERROR(FIND("-",TR!B650))</f>
        <v>0</v>
      </c>
      <c r="D650" s="31">
        <f>SetIndent(E650,(TR!C650-1)*2)</f>
        <v>4</v>
      </c>
      <c r="E650" s="35" t="str">
        <f>IF(ISERROR(FIND("-",TR!B650)),TR!B650&amp;" "&amp;TR!D650,TR!D650)</f>
        <v>The product SHALL begin reconstructing Line 21, Field 1 and Field 2, of the VBI within three (3) seconds of a transition from Slow Rewind playback to Normal Speed playback of Retained content.</v>
      </c>
      <c r="F650" s="31" t="str">
        <f>TR!E650</f>
        <v>Req</v>
      </c>
      <c r="G650" s="31" t="str">
        <f>IF(ISERROR(FIND("Adara",TR!F650)),"","Adara ")</f>
        <v xml:space="preserve">Adara </v>
      </c>
      <c r="H650" s="31" t="str">
        <f>IF(ISERROR(FIND("Copernicus",TR!F650)),"","Copernicus ")</f>
        <v xml:space="preserve">Copernicus </v>
      </c>
      <c r="I650" s="31" t="str">
        <f>IF(ISERROR(FIND("Deneb",TR!F650)),"","Deneb ")</f>
        <v xml:space="preserve">Deneb </v>
      </c>
      <c r="J650" s="37" t="str">
        <f t="shared" si="11"/>
        <v xml:space="preserve">Adara Copernicus Deneb </v>
      </c>
      <c r="K650" s="31" t="str">
        <f>IF(ISBLANK(TR!G650),"",TR!G650)</f>
        <v/>
      </c>
      <c r="L650" s="31" t="str">
        <f>IF(ISBLANK(TR!H650),"",TR!H650)</f>
        <v>FR-DSRSW-1417</v>
      </c>
      <c r="M650" s="30" t="str">
        <f>TR!J650</f>
        <v>Approved</v>
      </c>
      <c r="N650" s="31" t="str">
        <f>IF(OR(M650="Modified",M650="Cosmetic"),VLOOKUP(B650,PrevPFS!B$1:E$833,4,FALSE),"")</f>
        <v/>
      </c>
    </row>
    <row r="651" spans="1:14" ht="45" x14ac:dyDescent="0.25">
      <c r="A651" s="31" t="str">
        <f>IF(ISNONTEXT(TR!K651),"",TR!K651)</f>
        <v>TR-0-CC-REG-1147</v>
      </c>
      <c r="B651" s="32" t="str">
        <f>TR!A651</f>
        <v>TR-DSRSW-1971</v>
      </c>
      <c r="C651" s="31" t="b">
        <f>ISERROR(FIND("-",TR!B651))</f>
        <v>0</v>
      </c>
      <c r="D651" s="31">
        <f>SetIndent(E651,(TR!C651-1)*2)</f>
        <v>4</v>
      </c>
      <c r="E651" s="35" t="str">
        <f>IF(ISERROR(FIND("-",TR!B651)),TR!B651&amp;" "&amp;TR!D651,TR!D651)</f>
        <v>The product SHALL begin rendering closed caption data within three (3) seconds of a transition from Slow Rewind playback to Normal Speed playback of Retained content.</v>
      </c>
      <c r="F651" s="31" t="str">
        <f>TR!E651</f>
        <v>Req</v>
      </c>
      <c r="G651" s="31" t="str">
        <f>IF(ISERROR(FIND("Adara",TR!F651)),"","Adara ")</f>
        <v xml:space="preserve">Adara </v>
      </c>
      <c r="H651" s="31" t="str">
        <f>IF(ISERROR(FIND("Copernicus",TR!F651)),"","Copernicus ")</f>
        <v xml:space="preserve">Copernicus </v>
      </c>
      <c r="I651" s="31" t="str">
        <f>IF(ISERROR(FIND("Deneb",TR!F651)),"","Deneb ")</f>
        <v xml:space="preserve">Deneb </v>
      </c>
      <c r="J651" s="37" t="str">
        <f t="shared" si="11"/>
        <v xml:space="preserve">Adara Copernicus Deneb </v>
      </c>
      <c r="K651" s="31" t="str">
        <f>IF(ISBLANK(TR!G651),"",TR!G651)</f>
        <v/>
      </c>
      <c r="L651" s="31" t="str">
        <f>IF(ISBLANK(TR!H651),"",TR!H651)</f>
        <v>FR-DSRSW-1417</v>
      </c>
      <c r="M651" s="30" t="str">
        <f>TR!J651</f>
        <v>Approved</v>
      </c>
      <c r="N651" s="31" t="str">
        <f>IF(OR(M651="Modified",M651="Cosmetic"),VLOOKUP(B651,PrevPFS!B$1:E$833,4,FALSE),"")</f>
        <v/>
      </c>
    </row>
    <row r="652" spans="1:14" ht="45" x14ac:dyDescent="0.25">
      <c r="A652" s="31" t="str">
        <f>IF(ISNONTEXT(TR!K652),"",TR!K652)</f>
        <v>TR-0-CC-REG-1148</v>
      </c>
      <c r="B652" s="32" t="str">
        <f>TR!A652</f>
        <v>TR-DSRSW-1972</v>
      </c>
      <c r="C652" s="31" t="b">
        <f>ISERROR(FIND("-",TR!B652))</f>
        <v>0</v>
      </c>
      <c r="D652" s="31">
        <f>SetIndent(E652,(TR!C652-1)*2)</f>
        <v>4</v>
      </c>
      <c r="E652" s="35" t="str">
        <f>IF(ISERROR(FIND("-",TR!B652)),TR!B652&amp;" "&amp;TR!D652,TR!D652)</f>
        <v>The product SHALL begin reconstructing Line 21, Field 1 and Field 2, of the VBI within three (3) seconds of a transition from Fast Rewind playback to Normal Speed playback of Retained content.</v>
      </c>
      <c r="F652" s="31" t="str">
        <f>TR!E652</f>
        <v>Req</v>
      </c>
      <c r="G652" s="31" t="str">
        <f>IF(ISERROR(FIND("Adara",TR!F652)),"","Adara ")</f>
        <v xml:space="preserve">Adara </v>
      </c>
      <c r="H652" s="31" t="str">
        <f>IF(ISERROR(FIND("Copernicus",TR!F652)),"","Copernicus ")</f>
        <v xml:space="preserve">Copernicus </v>
      </c>
      <c r="I652" s="31" t="str">
        <f>IF(ISERROR(FIND("Deneb",TR!F652)),"","Deneb ")</f>
        <v xml:space="preserve">Deneb </v>
      </c>
      <c r="J652" s="37" t="str">
        <f t="shared" si="11"/>
        <v xml:space="preserve">Adara Copernicus Deneb </v>
      </c>
      <c r="K652" s="31" t="str">
        <f>IF(ISBLANK(TR!G652),"",TR!G652)</f>
        <v/>
      </c>
      <c r="L652" s="31" t="str">
        <f>IF(ISBLANK(TR!H652),"",TR!H652)</f>
        <v>FR-DSRSW-1417</v>
      </c>
      <c r="M652" s="30" t="str">
        <f>TR!J652</f>
        <v>Approved</v>
      </c>
      <c r="N652" s="31" t="str">
        <f>IF(OR(M652="Modified",M652="Cosmetic"),VLOOKUP(B652,PrevPFS!B$1:E$833,4,FALSE),"")</f>
        <v/>
      </c>
    </row>
    <row r="653" spans="1:14" ht="45" x14ac:dyDescent="0.25">
      <c r="A653" s="31" t="str">
        <f>IF(ISNONTEXT(TR!K653),"",TR!K653)</f>
        <v>TR-0-CC-REG-1149</v>
      </c>
      <c r="B653" s="32" t="str">
        <f>TR!A653</f>
        <v>TR-DSRSW-1973</v>
      </c>
      <c r="C653" s="31" t="b">
        <f>ISERROR(FIND("-",TR!B653))</f>
        <v>0</v>
      </c>
      <c r="D653" s="31">
        <f>SetIndent(E653,(TR!C653-1)*2)</f>
        <v>4</v>
      </c>
      <c r="E653" s="35" t="str">
        <f>IF(ISERROR(FIND("-",TR!B653)),TR!B653&amp;" "&amp;TR!D653,TR!D653)</f>
        <v>The product SHALL begin rendering closed caption data within three (3) seconds of a transition from Fast Rewind playback to Normal Speed playback of Retained content.</v>
      </c>
      <c r="F653" s="31" t="str">
        <f>TR!E653</f>
        <v>Req</v>
      </c>
      <c r="G653" s="31" t="str">
        <f>IF(ISERROR(FIND("Adara",TR!F653)),"","Adara ")</f>
        <v xml:space="preserve">Adara </v>
      </c>
      <c r="H653" s="31" t="str">
        <f>IF(ISERROR(FIND("Copernicus",TR!F653)),"","Copernicus ")</f>
        <v xml:space="preserve">Copernicus </v>
      </c>
      <c r="I653" s="31" t="str">
        <f>IF(ISERROR(FIND("Deneb",TR!F653)),"","Deneb ")</f>
        <v xml:space="preserve">Deneb </v>
      </c>
      <c r="J653" s="37" t="str">
        <f t="shared" si="11"/>
        <v xml:space="preserve">Adara Copernicus Deneb </v>
      </c>
      <c r="K653" s="31" t="str">
        <f>IF(ISBLANK(TR!G653),"",TR!G653)</f>
        <v/>
      </c>
      <c r="L653" s="31" t="str">
        <f>IF(ISBLANK(TR!H653),"",TR!H653)</f>
        <v>FR-DSRSW-1417</v>
      </c>
      <c r="M653" s="30" t="str">
        <f>TR!J653</f>
        <v>Approved</v>
      </c>
      <c r="N653" s="31" t="str">
        <f>IF(OR(M653="Modified",M653="Cosmetic"),VLOOKUP(B653,PrevPFS!B$1:E$833,4,FALSE),"")</f>
        <v/>
      </c>
    </row>
    <row r="654" spans="1:14" ht="45" x14ac:dyDescent="0.25">
      <c r="A654" s="31" t="str">
        <f>IF(ISNONTEXT(TR!K654),"",TR!K654)</f>
        <v>TR-0-CC-REG-1150</v>
      </c>
      <c r="B654" s="32" t="str">
        <f>TR!A654</f>
        <v>TR-DSRSW-1974</v>
      </c>
      <c r="C654" s="31" t="b">
        <f>ISERROR(FIND("-",TR!B654))</f>
        <v>0</v>
      </c>
      <c r="D654" s="31">
        <f>SetIndent(E654,(TR!C654-1)*2)</f>
        <v>4</v>
      </c>
      <c r="E654" s="35" t="str">
        <f>IF(ISERROR(FIND("-",TR!B654)),TR!B654&amp;" "&amp;TR!D654,TR!D654)</f>
        <v>The product SHALL begin reconstructing Line 21, Field 1 and Field 2, of the VBI within three (3) seconds of a transition from Paused playback to Normal Speed playback of Retained content.</v>
      </c>
      <c r="F654" s="31" t="str">
        <f>TR!E654</f>
        <v>Req</v>
      </c>
      <c r="G654" s="31" t="str">
        <f>IF(ISERROR(FIND("Adara",TR!F654)),"","Adara ")</f>
        <v xml:space="preserve">Adara </v>
      </c>
      <c r="H654" s="31" t="str">
        <f>IF(ISERROR(FIND("Copernicus",TR!F654)),"","Copernicus ")</f>
        <v xml:space="preserve">Copernicus </v>
      </c>
      <c r="I654" s="31" t="str">
        <f>IF(ISERROR(FIND("Deneb",TR!F654)),"","Deneb ")</f>
        <v xml:space="preserve">Deneb </v>
      </c>
      <c r="J654" s="37" t="str">
        <f t="shared" si="11"/>
        <v xml:space="preserve">Adara Copernicus Deneb </v>
      </c>
      <c r="K654" s="31" t="str">
        <f>IF(ISBLANK(TR!G654),"",TR!G654)</f>
        <v/>
      </c>
      <c r="L654" s="31" t="str">
        <f>IF(ISBLANK(TR!H654),"",TR!H654)</f>
        <v>FR-DSRSW-1417</v>
      </c>
      <c r="M654" s="30" t="str">
        <f>TR!J654</f>
        <v>Approved</v>
      </c>
      <c r="N654" s="31" t="str">
        <f>IF(OR(M654="Modified",M654="Cosmetic"),VLOOKUP(B654,PrevPFS!B$1:E$833,4,FALSE),"")</f>
        <v/>
      </c>
    </row>
    <row r="655" spans="1:14" ht="45" x14ac:dyDescent="0.25">
      <c r="A655" s="31" t="str">
        <f>IF(ISNONTEXT(TR!K655),"",TR!K655)</f>
        <v>TR-0-CC-REG-1151</v>
      </c>
      <c r="B655" s="32" t="str">
        <f>TR!A655</f>
        <v>TR-DSRSW-1975</v>
      </c>
      <c r="C655" s="31" t="b">
        <f>ISERROR(FIND("-",TR!B655))</f>
        <v>0</v>
      </c>
      <c r="D655" s="31">
        <f>SetIndent(E655,(TR!C655-1)*2)</f>
        <v>4</v>
      </c>
      <c r="E655" s="35" t="str">
        <f>IF(ISERROR(FIND("-",TR!B655)),TR!B655&amp;" "&amp;TR!D655,TR!D655)</f>
        <v>The product SHALL begin rendering closed caption data within three (3) seconds of a transition from Paused playback to Normal Speed playback of Retained content.</v>
      </c>
      <c r="F655" s="31" t="str">
        <f>TR!E655</f>
        <v>Req</v>
      </c>
      <c r="G655" s="31" t="str">
        <f>IF(ISERROR(FIND("Adara",TR!F655)),"","Adara ")</f>
        <v xml:space="preserve">Adara </v>
      </c>
      <c r="H655" s="31" t="str">
        <f>IF(ISERROR(FIND("Copernicus",TR!F655)),"","Copernicus ")</f>
        <v xml:space="preserve">Copernicus </v>
      </c>
      <c r="I655" s="31" t="str">
        <f>IF(ISERROR(FIND("Deneb",TR!F655)),"","Deneb ")</f>
        <v xml:space="preserve">Deneb </v>
      </c>
      <c r="J655" s="37" t="str">
        <f t="shared" si="11"/>
        <v xml:space="preserve">Adara Copernicus Deneb </v>
      </c>
      <c r="K655" s="31" t="str">
        <f>IF(ISBLANK(TR!G655),"",TR!G655)</f>
        <v/>
      </c>
      <c r="L655" s="31" t="str">
        <f>IF(ISBLANK(TR!H655),"",TR!H655)</f>
        <v>FR-DSRSW-1417</v>
      </c>
      <c r="M655" s="30" t="str">
        <f>TR!J655</f>
        <v>Approved</v>
      </c>
      <c r="N655" s="31" t="str">
        <f>IF(OR(M655="Modified",M655="Cosmetic"),VLOOKUP(B655,PrevPFS!B$1:E$833,4,FALSE),"")</f>
        <v/>
      </c>
    </row>
    <row r="656" spans="1:14" ht="45" x14ac:dyDescent="0.25">
      <c r="A656" s="31" t="str">
        <f>IF(ISNONTEXT(TR!K656),"",TR!K656)</f>
        <v>TR-0-CC-REG-1152</v>
      </c>
      <c r="B656" s="32" t="str">
        <f>TR!A656</f>
        <v>TR-DSRSW-1976</v>
      </c>
      <c r="C656" s="31" t="b">
        <f>ISERROR(FIND("-",TR!B656))</f>
        <v>0</v>
      </c>
      <c r="D656" s="31">
        <f>SetIndent(E656,(TR!C656-1)*2)</f>
        <v>4</v>
      </c>
      <c r="E656" s="35" t="str">
        <f>IF(ISERROR(FIND("-",TR!B656)),TR!B656&amp;" "&amp;TR!D656,TR!D656)</f>
        <v>The product SHALL reconstruct Line 21, Field 1 and Field 2, of the VBI during playback of Recorded content if playback is at Normal Speed.</v>
      </c>
      <c r="F656" s="31" t="str">
        <f>TR!E656</f>
        <v>Req</v>
      </c>
      <c r="G656" s="31" t="str">
        <f>IF(ISERROR(FIND("Adara",TR!F656)),"","Adara ")</f>
        <v xml:space="preserve">Adara </v>
      </c>
      <c r="H656" s="31" t="str">
        <f>IF(ISERROR(FIND("Copernicus",TR!F656)),"","Copernicus ")</f>
        <v xml:space="preserve">Copernicus </v>
      </c>
      <c r="I656" s="31" t="str">
        <f>IF(ISERROR(FIND("Deneb",TR!F656)),"","Deneb ")</f>
        <v xml:space="preserve">Deneb </v>
      </c>
      <c r="J656" s="37" t="str">
        <f t="shared" si="11"/>
        <v xml:space="preserve">Adara Copernicus Deneb </v>
      </c>
      <c r="K656" s="31" t="str">
        <f>IF(ISBLANK(TR!G656),"",TR!G656)</f>
        <v/>
      </c>
      <c r="L656" s="31" t="str">
        <f>IF(ISBLANK(TR!H656),"",TR!H656)</f>
        <v>FR-DSRSW-1417</v>
      </c>
      <c r="M656" s="30" t="str">
        <f>TR!J656</f>
        <v>Approved</v>
      </c>
      <c r="N656" s="31" t="str">
        <f>IF(OR(M656="Modified",M656="Cosmetic"),VLOOKUP(B656,PrevPFS!B$1:E$833,4,FALSE),"")</f>
        <v/>
      </c>
    </row>
    <row r="657" spans="1:14" ht="45" x14ac:dyDescent="0.25">
      <c r="A657" s="31" t="str">
        <f>IF(ISNONTEXT(TR!K657),"",TR!K657)</f>
        <v>TR-0-CC-REG-1153</v>
      </c>
      <c r="B657" s="32" t="str">
        <f>TR!A657</f>
        <v>TR-DSRSW-1977</v>
      </c>
      <c r="C657" s="31" t="b">
        <f>ISERROR(FIND("-",TR!B657))</f>
        <v>0</v>
      </c>
      <c r="D657" s="31">
        <f>SetIndent(E657,(TR!C657-1)*2)</f>
        <v>4</v>
      </c>
      <c r="E657" s="35" t="str">
        <f>IF(ISERROR(FIND("-",TR!B657)),TR!B657&amp;" "&amp;TR!D657,TR!D657)</f>
        <v>The product SHALL render closed captions during playback of Recorded content if playback is at Normal Speed.</v>
      </c>
      <c r="F657" s="31" t="str">
        <f>TR!E657</f>
        <v>Req</v>
      </c>
      <c r="G657" s="31" t="str">
        <f>IF(ISERROR(FIND("Adara",TR!F657)),"","Adara ")</f>
        <v xml:space="preserve">Adara </v>
      </c>
      <c r="H657" s="31" t="str">
        <f>IF(ISERROR(FIND("Copernicus",TR!F657)),"","Copernicus ")</f>
        <v xml:space="preserve">Copernicus </v>
      </c>
      <c r="I657" s="31" t="str">
        <f>IF(ISERROR(FIND("Deneb",TR!F657)),"","Deneb ")</f>
        <v xml:space="preserve">Deneb </v>
      </c>
      <c r="J657" s="37" t="str">
        <f t="shared" si="11"/>
        <v xml:space="preserve">Adara Copernicus Deneb </v>
      </c>
      <c r="K657" s="31" t="str">
        <f>IF(ISBLANK(TR!G657),"",TR!G657)</f>
        <v/>
      </c>
      <c r="L657" s="31" t="str">
        <f>IF(ISBLANK(TR!H657),"",TR!H657)</f>
        <v>FR-DSRSW-1417</v>
      </c>
      <c r="M657" s="30" t="str">
        <f>TR!J657</f>
        <v>Approved</v>
      </c>
      <c r="N657" s="31" t="str">
        <f>IF(OR(M657="Modified",M657="Cosmetic"),VLOOKUP(B657,PrevPFS!B$1:E$833,4,FALSE),"")</f>
        <v/>
      </c>
    </row>
    <row r="658" spans="1:14" ht="45" x14ac:dyDescent="0.25">
      <c r="A658" s="31" t="str">
        <f>IF(ISNONTEXT(TR!K658),"",TR!K658)</f>
        <v>TR-0-CC-REG-1154</v>
      </c>
      <c r="B658" s="32" t="str">
        <f>TR!A658</f>
        <v>TR-DSRSW-1978</v>
      </c>
      <c r="C658" s="31" t="b">
        <f>ISERROR(FIND("-",TR!B658))</f>
        <v>0</v>
      </c>
      <c r="D658" s="31">
        <f>SetIndent(E658,(TR!C658-1)*2)</f>
        <v>4</v>
      </c>
      <c r="E658" s="35" t="str">
        <f>IF(ISERROR(FIND("-",TR!B658)),TR!B658&amp;" "&amp;TR!D658,TR!D658)</f>
        <v>The product SHALL disable the reconstruction of Line 21, Field 1 and Field 2, of the VBI if the selection to Slow Forward Recorded content is enabled.</v>
      </c>
      <c r="F658" s="31" t="str">
        <f>TR!E658</f>
        <v>Req</v>
      </c>
      <c r="G658" s="31" t="str">
        <f>IF(ISERROR(FIND("Adara",TR!F658)),"","Adara ")</f>
        <v xml:space="preserve">Adara </v>
      </c>
      <c r="H658" s="31" t="str">
        <f>IF(ISERROR(FIND("Copernicus",TR!F658)),"","Copernicus ")</f>
        <v xml:space="preserve">Copernicus </v>
      </c>
      <c r="I658" s="31" t="str">
        <f>IF(ISERROR(FIND("Deneb",TR!F658)),"","Deneb ")</f>
        <v xml:space="preserve">Deneb </v>
      </c>
      <c r="J658" s="37" t="str">
        <f t="shared" si="11"/>
        <v xml:space="preserve">Adara Copernicus Deneb </v>
      </c>
      <c r="K658" s="31" t="str">
        <f>IF(ISBLANK(TR!G658),"",TR!G658)</f>
        <v/>
      </c>
      <c r="L658" s="31" t="str">
        <f>IF(ISBLANK(TR!H658),"",TR!H658)</f>
        <v>FR-DSRSW-1417</v>
      </c>
      <c r="M658" s="30" t="str">
        <f>TR!J658</f>
        <v>Approved</v>
      </c>
      <c r="N658" s="31" t="str">
        <f>IF(OR(M658="Modified",M658="Cosmetic"),VLOOKUP(B658,PrevPFS!B$1:E$833,4,FALSE),"")</f>
        <v/>
      </c>
    </row>
    <row r="659" spans="1:14" ht="45" x14ac:dyDescent="0.25">
      <c r="A659" s="31" t="str">
        <f>IF(ISNONTEXT(TR!K659),"",TR!K659)</f>
        <v>TR-0-CC-REG-1155</v>
      </c>
      <c r="B659" s="32" t="str">
        <f>TR!A659</f>
        <v>TR-DSRSW-1979</v>
      </c>
      <c r="C659" s="31" t="b">
        <f>ISERROR(FIND("-",TR!B659))</f>
        <v>0</v>
      </c>
      <c r="D659" s="31">
        <f>SetIndent(E659,(TR!C659-1)*2)</f>
        <v>4</v>
      </c>
      <c r="E659" s="35" t="str">
        <f>IF(ISERROR(FIND("-",TR!B659)),TR!B659&amp;" "&amp;TR!D659,TR!D659)</f>
        <v>The product SHALL disable the rendering of closed captions if the selection to Slow Forward Recorded content is enabled.</v>
      </c>
      <c r="F659" s="31" t="str">
        <f>TR!E659</f>
        <v>Req</v>
      </c>
      <c r="G659" s="31" t="str">
        <f>IF(ISERROR(FIND("Adara",TR!F659)),"","Adara ")</f>
        <v xml:space="preserve">Adara </v>
      </c>
      <c r="H659" s="31" t="str">
        <f>IF(ISERROR(FIND("Copernicus",TR!F659)),"","Copernicus ")</f>
        <v xml:space="preserve">Copernicus </v>
      </c>
      <c r="I659" s="31" t="str">
        <f>IF(ISERROR(FIND("Deneb",TR!F659)),"","Deneb ")</f>
        <v xml:space="preserve">Deneb </v>
      </c>
      <c r="J659" s="37" t="str">
        <f t="shared" si="11"/>
        <v xml:space="preserve">Adara Copernicus Deneb </v>
      </c>
      <c r="K659" s="31" t="str">
        <f>IF(ISBLANK(TR!G659),"",TR!G659)</f>
        <v/>
      </c>
      <c r="L659" s="31" t="str">
        <f>IF(ISBLANK(TR!H659),"",TR!H659)</f>
        <v>FR-DSRSW-1417</v>
      </c>
      <c r="M659" s="30" t="str">
        <f>TR!J659</f>
        <v>Approved</v>
      </c>
      <c r="N659" s="31" t="str">
        <f>IF(OR(M659="Modified",M659="Cosmetic"),VLOOKUP(B659,PrevPFS!B$1:E$833,4,FALSE),"")</f>
        <v/>
      </c>
    </row>
    <row r="660" spans="1:14" ht="45" x14ac:dyDescent="0.25">
      <c r="A660" s="31" t="str">
        <f>IF(ISNONTEXT(TR!K660),"",TR!K660)</f>
        <v>TR-0-CC-REG-1156</v>
      </c>
      <c r="B660" s="32" t="str">
        <f>TR!A660</f>
        <v>TR-DSRSW-1980</v>
      </c>
      <c r="C660" s="31" t="b">
        <f>ISERROR(FIND("-",TR!B660))</f>
        <v>0</v>
      </c>
      <c r="D660" s="31">
        <f>SetIndent(E660,(TR!C660-1)*2)</f>
        <v>4</v>
      </c>
      <c r="E660" s="35" t="str">
        <f>IF(ISERROR(FIND("-",TR!B660)),TR!B660&amp;" "&amp;TR!D660,TR!D660)</f>
        <v>The product SHALL disable the reconstruction of Line 21, Field 1 and Field 2, of the VBI if the selection to Fast Forward Recorded content is enabled.</v>
      </c>
      <c r="F660" s="31" t="str">
        <f>TR!E660</f>
        <v>Req</v>
      </c>
      <c r="G660" s="31" t="str">
        <f>IF(ISERROR(FIND("Adara",TR!F660)),"","Adara ")</f>
        <v xml:space="preserve">Adara </v>
      </c>
      <c r="H660" s="31" t="str">
        <f>IF(ISERROR(FIND("Copernicus",TR!F660)),"","Copernicus ")</f>
        <v xml:space="preserve">Copernicus </v>
      </c>
      <c r="I660" s="31" t="str">
        <f>IF(ISERROR(FIND("Deneb",TR!F660)),"","Deneb ")</f>
        <v xml:space="preserve">Deneb </v>
      </c>
      <c r="J660" s="37" t="str">
        <f t="shared" si="11"/>
        <v xml:space="preserve">Adara Copernicus Deneb </v>
      </c>
      <c r="K660" s="31" t="str">
        <f>IF(ISBLANK(TR!G660),"",TR!G660)</f>
        <v/>
      </c>
      <c r="L660" s="31" t="str">
        <f>IF(ISBLANK(TR!H660),"",TR!H660)</f>
        <v>FR-DSRSW-1417</v>
      </c>
      <c r="M660" s="30" t="str">
        <f>TR!J660</f>
        <v>Approved</v>
      </c>
      <c r="N660" s="31" t="str">
        <f>IF(OR(M660="Modified",M660="Cosmetic"),VLOOKUP(B660,PrevPFS!B$1:E$833,4,FALSE),"")</f>
        <v/>
      </c>
    </row>
    <row r="661" spans="1:14" ht="45" x14ac:dyDescent="0.25">
      <c r="A661" s="31" t="str">
        <f>IF(ISNONTEXT(TR!K661),"",TR!K661)</f>
        <v>TR-0-CC-REG-1157</v>
      </c>
      <c r="B661" s="32" t="str">
        <f>TR!A661</f>
        <v>TR-DSRSW-1981</v>
      </c>
      <c r="C661" s="31" t="b">
        <f>ISERROR(FIND("-",TR!B661))</f>
        <v>0</v>
      </c>
      <c r="D661" s="31">
        <f>SetIndent(E661,(TR!C661-1)*2)</f>
        <v>4</v>
      </c>
      <c r="E661" s="35" t="str">
        <f>IF(ISERROR(FIND("-",TR!B661)),TR!B661&amp;" "&amp;TR!D661,TR!D661)</f>
        <v>The product SHALL disable the rendering of closed captions if the selection to Fast Forward Recorded content is enabled.</v>
      </c>
      <c r="F661" s="31" t="str">
        <f>TR!E661</f>
        <v>Req</v>
      </c>
      <c r="G661" s="31" t="str">
        <f>IF(ISERROR(FIND("Adara",TR!F661)),"","Adara ")</f>
        <v xml:space="preserve">Adara </v>
      </c>
      <c r="H661" s="31" t="str">
        <f>IF(ISERROR(FIND("Copernicus",TR!F661)),"","Copernicus ")</f>
        <v xml:space="preserve">Copernicus </v>
      </c>
      <c r="I661" s="31" t="str">
        <f>IF(ISERROR(FIND("Deneb",TR!F661)),"","Deneb ")</f>
        <v xml:space="preserve">Deneb </v>
      </c>
      <c r="J661" s="37" t="str">
        <f t="shared" si="11"/>
        <v xml:space="preserve">Adara Copernicus Deneb </v>
      </c>
      <c r="K661" s="31" t="str">
        <f>IF(ISBLANK(TR!G661),"",TR!G661)</f>
        <v/>
      </c>
      <c r="L661" s="31" t="str">
        <f>IF(ISBLANK(TR!H661),"",TR!H661)</f>
        <v>FR-DSRSW-1417</v>
      </c>
      <c r="M661" s="30" t="str">
        <f>TR!J661</f>
        <v>Approved</v>
      </c>
      <c r="N661" s="31" t="str">
        <f>IF(OR(M661="Modified",M661="Cosmetic"),VLOOKUP(B661,PrevPFS!B$1:E$833,4,FALSE),"")</f>
        <v/>
      </c>
    </row>
    <row r="662" spans="1:14" ht="45" x14ac:dyDescent="0.25">
      <c r="A662" s="31" t="str">
        <f>IF(ISNONTEXT(TR!K662),"",TR!K662)</f>
        <v>TR-0-CC-REG-1158</v>
      </c>
      <c r="B662" s="32" t="str">
        <f>TR!A662</f>
        <v>TR-DSRSW-1982</v>
      </c>
      <c r="C662" s="31" t="b">
        <f>ISERROR(FIND("-",TR!B662))</f>
        <v>0</v>
      </c>
      <c r="D662" s="31">
        <f>SetIndent(E662,(TR!C662-1)*2)</f>
        <v>4</v>
      </c>
      <c r="E662" s="35" t="str">
        <f>IF(ISERROR(FIND("-",TR!B662)),TR!B662&amp;" "&amp;TR!D662,TR!D662)</f>
        <v>The product SHALL disable the reconstruction of Line 21, Field 1 and Field 2, of the VBI if the selection to Slow Rewind Recorded content is enabled.</v>
      </c>
      <c r="F662" s="31" t="str">
        <f>TR!E662</f>
        <v>Req</v>
      </c>
      <c r="G662" s="31" t="str">
        <f>IF(ISERROR(FIND("Adara",TR!F662)),"","Adara ")</f>
        <v xml:space="preserve">Adara </v>
      </c>
      <c r="H662" s="31" t="str">
        <f>IF(ISERROR(FIND("Copernicus",TR!F662)),"","Copernicus ")</f>
        <v xml:space="preserve">Copernicus </v>
      </c>
      <c r="I662" s="31" t="str">
        <f>IF(ISERROR(FIND("Deneb",TR!F662)),"","Deneb ")</f>
        <v xml:space="preserve">Deneb </v>
      </c>
      <c r="J662" s="37" t="str">
        <f t="shared" si="11"/>
        <v xml:space="preserve">Adara Copernicus Deneb </v>
      </c>
      <c r="K662" s="31" t="str">
        <f>IF(ISBLANK(TR!G662),"",TR!G662)</f>
        <v/>
      </c>
      <c r="L662" s="31" t="str">
        <f>IF(ISBLANK(TR!H662),"",TR!H662)</f>
        <v>FR-DSRSW-1417</v>
      </c>
      <c r="M662" s="30" t="str">
        <f>TR!J662</f>
        <v>Approved</v>
      </c>
      <c r="N662" s="31" t="str">
        <f>IF(OR(M662="Modified",M662="Cosmetic"),VLOOKUP(B662,PrevPFS!B$1:E$833,4,FALSE),"")</f>
        <v/>
      </c>
    </row>
    <row r="663" spans="1:14" ht="45" x14ac:dyDescent="0.25">
      <c r="A663" s="31" t="str">
        <f>IF(ISNONTEXT(TR!K663),"",TR!K663)</f>
        <v>TR-0-CC-REG-1159</v>
      </c>
      <c r="B663" s="32" t="str">
        <f>TR!A663</f>
        <v>TR-DSRSW-1983</v>
      </c>
      <c r="C663" s="31" t="b">
        <f>ISERROR(FIND("-",TR!B663))</f>
        <v>0</v>
      </c>
      <c r="D663" s="31">
        <f>SetIndent(E663,(TR!C663-1)*2)</f>
        <v>4</v>
      </c>
      <c r="E663" s="35" t="str">
        <f>IF(ISERROR(FIND("-",TR!B663)),TR!B663&amp;" "&amp;TR!D663,TR!D663)</f>
        <v>The product SHALL disable the rendering of closed captions if the selection to Slow Rewind Recorded content is enabled.</v>
      </c>
      <c r="F663" s="31" t="str">
        <f>TR!E663</f>
        <v>Req</v>
      </c>
      <c r="G663" s="31" t="str">
        <f>IF(ISERROR(FIND("Adara",TR!F663)),"","Adara ")</f>
        <v xml:space="preserve">Adara </v>
      </c>
      <c r="H663" s="31" t="str">
        <f>IF(ISERROR(FIND("Copernicus",TR!F663)),"","Copernicus ")</f>
        <v xml:space="preserve">Copernicus </v>
      </c>
      <c r="I663" s="31" t="str">
        <f>IF(ISERROR(FIND("Deneb",TR!F663)),"","Deneb ")</f>
        <v xml:space="preserve">Deneb </v>
      </c>
      <c r="J663" s="37" t="str">
        <f t="shared" si="11"/>
        <v xml:space="preserve">Adara Copernicus Deneb </v>
      </c>
      <c r="K663" s="31" t="str">
        <f>IF(ISBLANK(TR!G663),"",TR!G663)</f>
        <v/>
      </c>
      <c r="L663" s="31" t="str">
        <f>IF(ISBLANK(TR!H663),"",TR!H663)</f>
        <v>FR-DSRSW-1417</v>
      </c>
      <c r="M663" s="30" t="str">
        <f>TR!J663</f>
        <v>Approved</v>
      </c>
      <c r="N663" s="31" t="str">
        <f>IF(OR(M663="Modified",M663="Cosmetic"),VLOOKUP(B663,PrevPFS!B$1:E$833,4,FALSE),"")</f>
        <v/>
      </c>
    </row>
    <row r="664" spans="1:14" ht="45" x14ac:dyDescent="0.25">
      <c r="A664" s="31" t="str">
        <f>IF(ISNONTEXT(TR!K664),"",TR!K664)</f>
        <v>TR-0-CC-REG-1160</v>
      </c>
      <c r="B664" s="32" t="str">
        <f>TR!A664</f>
        <v>TR-DSRSW-1984</v>
      </c>
      <c r="C664" s="31" t="b">
        <f>ISERROR(FIND("-",TR!B664))</f>
        <v>0</v>
      </c>
      <c r="D664" s="31">
        <f>SetIndent(E664,(TR!C664-1)*2)</f>
        <v>4</v>
      </c>
      <c r="E664" s="35" t="str">
        <f>IF(ISERROR(FIND("-",TR!B664)),TR!B664&amp;" "&amp;TR!D664,TR!D664)</f>
        <v>The product SHALL disable the reconstruction of Line 21, Field 1 and Field 2, of the VBI if the selection to Fast Rewind Recorded content is enabled.</v>
      </c>
      <c r="F664" s="31" t="str">
        <f>TR!E664</f>
        <v>Req</v>
      </c>
      <c r="G664" s="31" t="str">
        <f>IF(ISERROR(FIND("Adara",TR!F664)),"","Adara ")</f>
        <v xml:space="preserve">Adara </v>
      </c>
      <c r="H664" s="31" t="str">
        <f>IF(ISERROR(FIND("Copernicus",TR!F664)),"","Copernicus ")</f>
        <v xml:space="preserve">Copernicus </v>
      </c>
      <c r="I664" s="31" t="str">
        <f>IF(ISERROR(FIND("Deneb",TR!F664)),"","Deneb ")</f>
        <v xml:space="preserve">Deneb </v>
      </c>
      <c r="J664" s="37" t="str">
        <f t="shared" si="11"/>
        <v xml:space="preserve">Adara Copernicus Deneb </v>
      </c>
      <c r="K664" s="31" t="str">
        <f>IF(ISBLANK(TR!G664),"",TR!G664)</f>
        <v/>
      </c>
      <c r="L664" s="31" t="str">
        <f>IF(ISBLANK(TR!H664),"",TR!H664)</f>
        <v>FR-DSRSW-1417</v>
      </c>
      <c r="M664" s="30" t="str">
        <f>TR!J664</f>
        <v>Approved</v>
      </c>
      <c r="N664" s="31" t="str">
        <f>IF(OR(M664="Modified",M664="Cosmetic"),VLOOKUP(B664,PrevPFS!B$1:E$833,4,FALSE),"")</f>
        <v/>
      </c>
    </row>
    <row r="665" spans="1:14" ht="45" x14ac:dyDescent="0.25">
      <c r="A665" s="31" t="str">
        <f>IF(ISNONTEXT(TR!K665),"",TR!K665)</f>
        <v>TR-0-CC-REG-1161</v>
      </c>
      <c r="B665" s="32" t="str">
        <f>TR!A665</f>
        <v>TR-DSRSW-1985</v>
      </c>
      <c r="C665" s="31" t="b">
        <f>ISERROR(FIND("-",TR!B665))</f>
        <v>0</v>
      </c>
      <c r="D665" s="31">
        <f>SetIndent(E665,(TR!C665-1)*2)</f>
        <v>4</v>
      </c>
      <c r="E665" s="35" t="str">
        <f>IF(ISERROR(FIND("-",TR!B665)),TR!B665&amp;" "&amp;TR!D665,TR!D665)</f>
        <v>The product SHALL disable the rendering of closed captions if the selection to Fast Rewind Recorded content is enabled.</v>
      </c>
      <c r="F665" s="31" t="str">
        <f>TR!E665</f>
        <v>Req</v>
      </c>
      <c r="G665" s="31" t="str">
        <f>IF(ISERROR(FIND("Adara",TR!F665)),"","Adara ")</f>
        <v xml:space="preserve">Adara </v>
      </c>
      <c r="H665" s="31" t="str">
        <f>IF(ISERROR(FIND("Copernicus",TR!F665)),"","Copernicus ")</f>
        <v xml:space="preserve">Copernicus </v>
      </c>
      <c r="I665" s="31" t="str">
        <f>IF(ISERROR(FIND("Deneb",TR!F665)),"","Deneb ")</f>
        <v xml:space="preserve">Deneb </v>
      </c>
      <c r="J665" s="37" t="str">
        <f t="shared" si="11"/>
        <v xml:space="preserve">Adara Copernicus Deneb </v>
      </c>
      <c r="K665" s="31" t="str">
        <f>IF(ISBLANK(TR!G665),"",TR!G665)</f>
        <v/>
      </c>
      <c r="L665" s="31" t="str">
        <f>IF(ISBLANK(TR!H665),"",TR!H665)</f>
        <v>FR-DSRSW-1417</v>
      </c>
      <c r="M665" s="30" t="str">
        <f>TR!J665</f>
        <v>Approved</v>
      </c>
      <c r="N665" s="31" t="str">
        <f>IF(OR(M665="Modified",M665="Cosmetic"),VLOOKUP(B665,PrevPFS!B$1:E$833,4,FALSE),"")</f>
        <v/>
      </c>
    </row>
    <row r="666" spans="1:14" ht="45" x14ac:dyDescent="0.25">
      <c r="A666" s="31" t="str">
        <f>IF(ISNONTEXT(TR!K666),"",TR!K666)</f>
        <v>TR-0-CC-REG-1162</v>
      </c>
      <c r="B666" s="32" t="str">
        <f>TR!A666</f>
        <v>TR-DSRSW-1986</v>
      </c>
      <c r="C666" s="31" t="b">
        <f>ISERROR(FIND("-",TR!B666))</f>
        <v>0</v>
      </c>
      <c r="D666" s="31">
        <f>SetIndent(E666,(TR!C666-1)*2)</f>
        <v>4</v>
      </c>
      <c r="E666" s="35" t="str">
        <f>IF(ISERROR(FIND("-",TR!B666)),TR!B666&amp;" "&amp;TR!D666,TR!D666)</f>
        <v>The product SHALL disable the reconstruction of Line 21, Field 1 and Field 2, of the VBI if the selection to Pause Recorded content is enabled.</v>
      </c>
      <c r="F666" s="31" t="str">
        <f>TR!E666</f>
        <v>Req</v>
      </c>
      <c r="G666" s="31" t="str">
        <f>IF(ISERROR(FIND("Adara",TR!F666)),"","Adara ")</f>
        <v xml:space="preserve">Adara </v>
      </c>
      <c r="H666" s="31" t="str">
        <f>IF(ISERROR(FIND("Copernicus",TR!F666)),"","Copernicus ")</f>
        <v xml:space="preserve">Copernicus </v>
      </c>
      <c r="I666" s="31" t="str">
        <f>IF(ISERROR(FIND("Deneb",TR!F666)),"","Deneb ")</f>
        <v xml:space="preserve">Deneb </v>
      </c>
      <c r="J666" s="37" t="str">
        <f t="shared" si="11"/>
        <v xml:space="preserve">Adara Copernicus Deneb </v>
      </c>
      <c r="K666" s="31" t="str">
        <f>IF(ISBLANK(TR!G666),"",TR!G666)</f>
        <v/>
      </c>
      <c r="L666" s="31" t="str">
        <f>IF(ISBLANK(TR!H666),"",TR!H666)</f>
        <v>FR-DSRSW-1417</v>
      </c>
      <c r="M666" s="30" t="str">
        <f>TR!J666</f>
        <v>Approved</v>
      </c>
      <c r="N666" s="31" t="str">
        <f>IF(OR(M666="Modified",M666="Cosmetic"),VLOOKUP(B666,PrevPFS!B$1:E$833,4,FALSE),"")</f>
        <v/>
      </c>
    </row>
    <row r="667" spans="1:14" ht="45" x14ac:dyDescent="0.25">
      <c r="A667" s="31" t="str">
        <f>IF(ISNONTEXT(TR!K667),"",TR!K667)</f>
        <v>TR-0-CC-REG-1163</v>
      </c>
      <c r="B667" s="32" t="str">
        <f>TR!A667</f>
        <v>TR-DSRSW-1987</v>
      </c>
      <c r="C667" s="31" t="b">
        <f>ISERROR(FIND("-",TR!B667))</f>
        <v>0</v>
      </c>
      <c r="D667" s="31">
        <f>SetIndent(E667,(TR!C667-1)*2)</f>
        <v>4</v>
      </c>
      <c r="E667" s="35" t="str">
        <f>IF(ISERROR(FIND("-",TR!B667)),TR!B667&amp;" "&amp;TR!D667,TR!D667)</f>
        <v>The product SHALL disable the rendering of closed captions if the selection to Pause Recorded content is enabled.</v>
      </c>
      <c r="F667" s="31" t="str">
        <f>TR!E667</f>
        <v>Req</v>
      </c>
      <c r="G667" s="31" t="str">
        <f>IF(ISERROR(FIND("Adara",TR!F667)),"","Adara ")</f>
        <v xml:space="preserve">Adara </v>
      </c>
      <c r="H667" s="31" t="str">
        <f>IF(ISERROR(FIND("Copernicus",TR!F667)),"","Copernicus ")</f>
        <v xml:space="preserve">Copernicus </v>
      </c>
      <c r="I667" s="31" t="str">
        <f>IF(ISERROR(FIND("Deneb",TR!F667)),"","Deneb ")</f>
        <v xml:space="preserve">Deneb </v>
      </c>
      <c r="J667" s="37" t="str">
        <f t="shared" si="11"/>
        <v xml:space="preserve">Adara Copernicus Deneb </v>
      </c>
      <c r="K667" s="31" t="str">
        <f>IF(ISBLANK(TR!G667),"",TR!G667)</f>
        <v/>
      </c>
      <c r="L667" s="31" t="str">
        <f>IF(ISBLANK(TR!H667),"",TR!H667)</f>
        <v>FR-DSRSW-1417</v>
      </c>
      <c r="M667" s="30" t="str">
        <f>TR!J667</f>
        <v>Approved</v>
      </c>
      <c r="N667" s="31" t="str">
        <f>IF(OR(M667="Modified",M667="Cosmetic"),VLOOKUP(B667,PrevPFS!B$1:E$833,4,FALSE),"")</f>
        <v/>
      </c>
    </row>
    <row r="668" spans="1:14" ht="45" x14ac:dyDescent="0.25">
      <c r="A668" s="31" t="str">
        <f>IF(ISNONTEXT(TR!K668),"",TR!K668)</f>
        <v>TR-0-CC-REG-1164</v>
      </c>
      <c r="B668" s="32" t="str">
        <f>TR!A668</f>
        <v>TR-DSRSW-1988</v>
      </c>
      <c r="C668" s="31" t="b">
        <f>ISERROR(FIND("-",TR!B668))</f>
        <v>0</v>
      </c>
      <c r="D668" s="31">
        <f>SetIndent(E668,(TR!C668-1)*2)</f>
        <v>4</v>
      </c>
      <c r="E668" s="35" t="str">
        <f>IF(ISERROR(FIND("-",TR!B668)),TR!B668&amp;" "&amp;TR!D668,TR!D668)</f>
        <v>The product SHALL begin reconstructing Line 21, Field 1 and Field 2, of the VBI within three (3) seconds of a transition from Slow Forward playback to Normal Speed playback of Recorded content.</v>
      </c>
      <c r="F668" s="31" t="str">
        <f>TR!E668</f>
        <v>Req</v>
      </c>
      <c r="G668" s="31" t="str">
        <f>IF(ISERROR(FIND("Adara",TR!F668)),"","Adara ")</f>
        <v xml:space="preserve">Adara </v>
      </c>
      <c r="H668" s="31" t="str">
        <f>IF(ISERROR(FIND("Copernicus",TR!F668)),"","Copernicus ")</f>
        <v xml:space="preserve">Copernicus </v>
      </c>
      <c r="I668" s="31" t="str">
        <f>IF(ISERROR(FIND("Deneb",TR!F668)),"","Deneb ")</f>
        <v xml:space="preserve">Deneb </v>
      </c>
      <c r="J668" s="37" t="str">
        <f t="shared" si="11"/>
        <v xml:space="preserve">Adara Copernicus Deneb </v>
      </c>
      <c r="K668" s="31" t="str">
        <f>IF(ISBLANK(TR!G668),"",TR!G668)</f>
        <v/>
      </c>
      <c r="L668" s="31" t="str">
        <f>IF(ISBLANK(TR!H668),"",TR!H668)</f>
        <v>FR-DSRSW-1417</v>
      </c>
      <c r="M668" s="30" t="str">
        <f>TR!J668</f>
        <v>Approved</v>
      </c>
      <c r="N668" s="31" t="str">
        <f>IF(OR(M668="Modified",M668="Cosmetic"),VLOOKUP(B668,PrevPFS!B$1:E$833,4,FALSE),"")</f>
        <v/>
      </c>
    </row>
    <row r="669" spans="1:14" ht="45" x14ac:dyDescent="0.25">
      <c r="A669" s="31" t="str">
        <f>IF(ISNONTEXT(TR!K669),"",TR!K669)</f>
        <v>TR-0-CC-REG-1165</v>
      </c>
      <c r="B669" s="32" t="str">
        <f>TR!A669</f>
        <v>TR-DSRSW-1989</v>
      </c>
      <c r="C669" s="31" t="b">
        <f>ISERROR(FIND("-",TR!B669))</f>
        <v>0</v>
      </c>
      <c r="D669" s="31">
        <f>SetIndent(E669,(TR!C669-1)*2)</f>
        <v>4</v>
      </c>
      <c r="E669" s="35" t="str">
        <f>IF(ISERROR(FIND("-",TR!B669)),TR!B669&amp;" "&amp;TR!D669,TR!D669)</f>
        <v>The product SHALL begin rendering closed caption data within three (3) seconds of a transition from Slow Forward playback to Normal Speed playback of Recorded content.</v>
      </c>
      <c r="F669" s="31" t="str">
        <f>TR!E669</f>
        <v>Req</v>
      </c>
      <c r="G669" s="31" t="str">
        <f>IF(ISERROR(FIND("Adara",TR!F669)),"","Adara ")</f>
        <v xml:space="preserve">Adara </v>
      </c>
      <c r="H669" s="31" t="str">
        <f>IF(ISERROR(FIND("Copernicus",TR!F669)),"","Copernicus ")</f>
        <v xml:space="preserve">Copernicus </v>
      </c>
      <c r="I669" s="31" t="str">
        <f>IF(ISERROR(FIND("Deneb",TR!F669)),"","Deneb ")</f>
        <v xml:space="preserve">Deneb </v>
      </c>
      <c r="J669" s="37" t="str">
        <f t="shared" si="11"/>
        <v xml:space="preserve">Adara Copernicus Deneb </v>
      </c>
      <c r="K669" s="31" t="str">
        <f>IF(ISBLANK(TR!G669),"",TR!G669)</f>
        <v/>
      </c>
      <c r="L669" s="31" t="str">
        <f>IF(ISBLANK(TR!H669),"",TR!H669)</f>
        <v>FR-DSRSW-1417</v>
      </c>
      <c r="M669" s="30" t="str">
        <f>TR!J669</f>
        <v>Approved</v>
      </c>
      <c r="N669" s="31" t="str">
        <f>IF(OR(M669="Modified",M669="Cosmetic"),VLOOKUP(B669,PrevPFS!B$1:E$833,4,FALSE),"")</f>
        <v/>
      </c>
    </row>
    <row r="670" spans="1:14" ht="45" x14ac:dyDescent="0.25">
      <c r="A670" s="31" t="str">
        <f>IF(ISNONTEXT(TR!K670),"",TR!K670)</f>
        <v>TR-0-CC-REG-1166</v>
      </c>
      <c r="B670" s="32" t="str">
        <f>TR!A670</f>
        <v>TR-DSRSW-1990</v>
      </c>
      <c r="C670" s="31" t="b">
        <f>ISERROR(FIND("-",TR!B670))</f>
        <v>0</v>
      </c>
      <c r="D670" s="31">
        <f>SetIndent(E670,(TR!C670-1)*2)</f>
        <v>4</v>
      </c>
      <c r="E670" s="35" t="str">
        <f>IF(ISERROR(FIND("-",TR!B670)),TR!B670&amp;" "&amp;TR!D670,TR!D670)</f>
        <v>The product SHALL begin reconstructing Line 21, Field 1 and Field 2, of the VBI within three (3) seconds of a transition from Fast Forward playback to Normal Speed playback of Recorded content.</v>
      </c>
      <c r="F670" s="31" t="str">
        <f>TR!E670</f>
        <v>Req</v>
      </c>
      <c r="G670" s="31" t="str">
        <f>IF(ISERROR(FIND("Adara",TR!F670)),"","Adara ")</f>
        <v xml:space="preserve">Adara </v>
      </c>
      <c r="H670" s="31" t="str">
        <f>IF(ISERROR(FIND("Copernicus",TR!F670)),"","Copernicus ")</f>
        <v xml:space="preserve">Copernicus </v>
      </c>
      <c r="I670" s="31" t="str">
        <f>IF(ISERROR(FIND("Deneb",TR!F670)),"","Deneb ")</f>
        <v xml:space="preserve">Deneb </v>
      </c>
      <c r="J670" s="37" t="str">
        <f t="shared" si="11"/>
        <v xml:space="preserve">Adara Copernicus Deneb </v>
      </c>
      <c r="K670" s="31" t="str">
        <f>IF(ISBLANK(TR!G670),"",TR!G670)</f>
        <v/>
      </c>
      <c r="L670" s="31" t="str">
        <f>IF(ISBLANK(TR!H670),"",TR!H670)</f>
        <v>FR-DSRSW-1417</v>
      </c>
      <c r="M670" s="30" t="str">
        <f>TR!J670</f>
        <v>Approved</v>
      </c>
      <c r="N670" s="31" t="str">
        <f>IF(OR(M670="Modified",M670="Cosmetic"),VLOOKUP(B670,PrevPFS!B$1:E$833,4,FALSE),"")</f>
        <v/>
      </c>
    </row>
    <row r="671" spans="1:14" ht="45" x14ac:dyDescent="0.25">
      <c r="A671" s="31" t="str">
        <f>IF(ISNONTEXT(TR!K671),"",TR!K671)</f>
        <v>TR-0-CC-REG-1167</v>
      </c>
      <c r="B671" s="32" t="str">
        <f>TR!A671</f>
        <v>TR-DSRSW-1991</v>
      </c>
      <c r="C671" s="31" t="b">
        <f>ISERROR(FIND("-",TR!B671))</f>
        <v>0</v>
      </c>
      <c r="D671" s="31">
        <f>SetIndent(E671,(TR!C671-1)*2)</f>
        <v>4</v>
      </c>
      <c r="E671" s="35" t="str">
        <f>IF(ISERROR(FIND("-",TR!B671)),TR!B671&amp;" "&amp;TR!D671,TR!D671)</f>
        <v>The product SHALL begin rendering closed caption data within three (3) seconds of a transition from Fast Forward playback to Normal Speed playback of Recorded content.</v>
      </c>
      <c r="F671" s="31" t="str">
        <f>TR!E671</f>
        <v>Req</v>
      </c>
      <c r="G671" s="31" t="str">
        <f>IF(ISERROR(FIND("Adara",TR!F671)),"","Adara ")</f>
        <v xml:space="preserve">Adara </v>
      </c>
      <c r="H671" s="31" t="str">
        <f>IF(ISERROR(FIND("Copernicus",TR!F671)),"","Copernicus ")</f>
        <v xml:space="preserve">Copernicus </v>
      </c>
      <c r="I671" s="31" t="str">
        <f>IF(ISERROR(FIND("Deneb",TR!F671)),"","Deneb ")</f>
        <v xml:space="preserve">Deneb </v>
      </c>
      <c r="J671" s="37" t="str">
        <f t="shared" si="11"/>
        <v xml:space="preserve">Adara Copernicus Deneb </v>
      </c>
      <c r="K671" s="31" t="str">
        <f>IF(ISBLANK(TR!G671),"",TR!G671)</f>
        <v/>
      </c>
      <c r="L671" s="31" t="str">
        <f>IF(ISBLANK(TR!H671),"",TR!H671)</f>
        <v>FR-DSRSW-1417</v>
      </c>
      <c r="M671" s="30" t="str">
        <f>TR!J671</f>
        <v>Approved</v>
      </c>
      <c r="N671" s="31" t="str">
        <f>IF(OR(M671="Modified",M671="Cosmetic"),VLOOKUP(B671,PrevPFS!B$1:E$833,4,FALSE),"")</f>
        <v/>
      </c>
    </row>
    <row r="672" spans="1:14" ht="45" x14ac:dyDescent="0.25">
      <c r="A672" s="31" t="str">
        <f>IF(ISNONTEXT(TR!K672),"",TR!K672)</f>
        <v>TR-0-CC-REG-1168</v>
      </c>
      <c r="B672" s="32" t="str">
        <f>TR!A672</f>
        <v>TR-DSRSW-1992</v>
      </c>
      <c r="C672" s="31" t="b">
        <f>ISERROR(FIND("-",TR!B672))</f>
        <v>0</v>
      </c>
      <c r="D672" s="31">
        <f>SetIndent(E672,(TR!C672-1)*2)</f>
        <v>4</v>
      </c>
      <c r="E672" s="35" t="str">
        <f>IF(ISERROR(FIND("-",TR!B672)),TR!B672&amp;" "&amp;TR!D672,TR!D672)</f>
        <v>The product SHALL begin reconstructing Line 21, Field 1 and Field 2, of the VBI within three (3) seconds of a transition from Slow Rewind playback to Normal Speed playback of Recorded content.</v>
      </c>
      <c r="F672" s="31" t="str">
        <f>TR!E672</f>
        <v>Req</v>
      </c>
      <c r="G672" s="31" t="str">
        <f>IF(ISERROR(FIND("Adara",TR!F672)),"","Adara ")</f>
        <v xml:space="preserve">Adara </v>
      </c>
      <c r="H672" s="31" t="str">
        <f>IF(ISERROR(FIND("Copernicus",TR!F672)),"","Copernicus ")</f>
        <v xml:space="preserve">Copernicus </v>
      </c>
      <c r="I672" s="31" t="str">
        <f>IF(ISERROR(FIND("Deneb",TR!F672)),"","Deneb ")</f>
        <v xml:space="preserve">Deneb </v>
      </c>
      <c r="J672" s="37" t="str">
        <f t="shared" si="11"/>
        <v xml:space="preserve">Adara Copernicus Deneb </v>
      </c>
      <c r="K672" s="31" t="str">
        <f>IF(ISBLANK(TR!G672),"",TR!G672)</f>
        <v/>
      </c>
      <c r="L672" s="31" t="str">
        <f>IF(ISBLANK(TR!H672),"",TR!H672)</f>
        <v>FR-DSRSW-1417</v>
      </c>
      <c r="M672" s="30" t="str">
        <f>TR!J672</f>
        <v>Approved</v>
      </c>
      <c r="N672" s="31" t="str">
        <f>IF(OR(M672="Modified",M672="Cosmetic"),VLOOKUP(B672,PrevPFS!B$1:E$833,4,FALSE),"")</f>
        <v/>
      </c>
    </row>
    <row r="673" spans="1:14" ht="45" x14ac:dyDescent="0.25">
      <c r="A673" s="31" t="str">
        <f>IF(ISNONTEXT(TR!K673),"",TR!K673)</f>
        <v>TR-0-CC-REG-1169</v>
      </c>
      <c r="B673" s="32" t="str">
        <f>TR!A673</f>
        <v>TR-DSRSW-1993</v>
      </c>
      <c r="C673" s="31" t="b">
        <f>ISERROR(FIND("-",TR!B673))</f>
        <v>0</v>
      </c>
      <c r="D673" s="31">
        <f>SetIndent(E673,(TR!C673-1)*2)</f>
        <v>4</v>
      </c>
      <c r="E673" s="35" t="str">
        <f>IF(ISERROR(FIND("-",TR!B673)),TR!B673&amp;" "&amp;TR!D673,TR!D673)</f>
        <v>The product SHALL begin rendering closed caption data within three (3) seconds of a transition from Slow Rewind playback to Normal Speed playback of Recorded content.</v>
      </c>
      <c r="F673" s="31" t="str">
        <f>TR!E673</f>
        <v>Req</v>
      </c>
      <c r="G673" s="31" t="str">
        <f>IF(ISERROR(FIND("Adara",TR!F673)),"","Adara ")</f>
        <v xml:space="preserve">Adara </v>
      </c>
      <c r="H673" s="31" t="str">
        <f>IF(ISERROR(FIND("Copernicus",TR!F673)),"","Copernicus ")</f>
        <v xml:space="preserve">Copernicus </v>
      </c>
      <c r="I673" s="31" t="str">
        <f>IF(ISERROR(FIND("Deneb",TR!F673)),"","Deneb ")</f>
        <v xml:space="preserve">Deneb </v>
      </c>
      <c r="J673" s="37" t="str">
        <f t="shared" si="11"/>
        <v xml:space="preserve">Adara Copernicus Deneb </v>
      </c>
      <c r="K673" s="31" t="str">
        <f>IF(ISBLANK(TR!G673),"",TR!G673)</f>
        <v/>
      </c>
      <c r="L673" s="31" t="str">
        <f>IF(ISBLANK(TR!H673),"",TR!H673)</f>
        <v>FR-DSRSW-1417</v>
      </c>
      <c r="M673" s="30" t="str">
        <f>TR!J673</f>
        <v>Approved</v>
      </c>
      <c r="N673" s="31" t="str">
        <f>IF(OR(M673="Modified",M673="Cosmetic"),VLOOKUP(B673,PrevPFS!B$1:E$833,4,FALSE),"")</f>
        <v/>
      </c>
    </row>
    <row r="674" spans="1:14" ht="45" x14ac:dyDescent="0.25">
      <c r="A674" s="31" t="str">
        <f>IF(ISNONTEXT(TR!K674),"",TR!K674)</f>
        <v>TR-0-CC-REG-1170</v>
      </c>
      <c r="B674" s="32" t="str">
        <f>TR!A674</f>
        <v>TR-DSRSW-1994</v>
      </c>
      <c r="C674" s="31" t="b">
        <f>ISERROR(FIND("-",TR!B674))</f>
        <v>0</v>
      </c>
      <c r="D674" s="31">
        <f>SetIndent(E674,(TR!C674-1)*2)</f>
        <v>4</v>
      </c>
      <c r="E674" s="35" t="str">
        <f>IF(ISERROR(FIND("-",TR!B674)),TR!B674&amp;" "&amp;TR!D674,TR!D674)</f>
        <v>The product SHALL begin reconstructing Line 21, Field 1 and Field 2, of the VBI within three (3) seconds of a transition from Fast Rewind playback to Normal Speed playback of Recorded content.</v>
      </c>
      <c r="F674" s="31" t="str">
        <f>TR!E674</f>
        <v>Req</v>
      </c>
      <c r="G674" s="31" t="str">
        <f>IF(ISERROR(FIND("Adara",TR!F674)),"","Adara ")</f>
        <v xml:space="preserve">Adara </v>
      </c>
      <c r="H674" s="31" t="str">
        <f>IF(ISERROR(FIND("Copernicus",TR!F674)),"","Copernicus ")</f>
        <v xml:space="preserve">Copernicus </v>
      </c>
      <c r="I674" s="31" t="str">
        <f>IF(ISERROR(FIND("Deneb",TR!F674)),"","Deneb ")</f>
        <v xml:space="preserve">Deneb </v>
      </c>
      <c r="J674" s="37" t="str">
        <f t="shared" si="11"/>
        <v xml:space="preserve">Adara Copernicus Deneb </v>
      </c>
      <c r="K674" s="31" t="str">
        <f>IF(ISBLANK(TR!G674),"",TR!G674)</f>
        <v/>
      </c>
      <c r="L674" s="31" t="str">
        <f>IF(ISBLANK(TR!H674),"",TR!H674)</f>
        <v>FR-DSRSW-1417</v>
      </c>
      <c r="M674" s="30" t="str">
        <f>TR!J674</f>
        <v>Approved</v>
      </c>
      <c r="N674" s="31" t="str">
        <f>IF(OR(M674="Modified",M674="Cosmetic"),VLOOKUP(B674,PrevPFS!B$1:E$833,4,FALSE),"")</f>
        <v/>
      </c>
    </row>
    <row r="675" spans="1:14" ht="45" x14ac:dyDescent="0.25">
      <c r="A675" s="31" t="str">
        <f>IF(ISNONTEXT(TR!K675),"",TR!K675)</f>
        <v>TR-0-CC-REG-1171</v>
      </c>
      <c r="B675" s="32" t="str">
        <f>TR!A675</f>
        <v>TR-DSRSW-1995</v>
      </c>
      <c r="C675" s="31" t="b">
        <f>ISERROR(FIND("-",TR!B675))</f>
        <v>0</v>
      </c>
      <c r="D675" s="31">
        <f>SetIndent(E675,(TR!C675-1)*2)</f>
        <v>4</v>
      </c>
      <c r="E675" s="35" t="str">
        <f>IF(ISERROR(FIND("-",TR!B675)),TR!B675&amp;" "&amp;TR!D675,TR!D675)</f>
        <v>The product SHALL begin rendering closed caption data within three (3) seconds of a transition from Fast Rewind playback to Normal Speed playback of Recorded content.</v>
      </c>
      <c r="F675" s="31" t="str">
        <f>TR!E675</f>
        <v>Req</v>
      </c>
      <c r="G675" s="31" t="str">
        <f>IF(ISERROR(FIND("Adara",TR!F675)),"","Adara ")</f>
        <v xml:space="preserve">Adara </v>
      </c>
      <c r="H675" s="31" t="str">
        <f>IF(ISERROR(FIND("Copernicus",TR!F675)),"","Copernicus ")</f>
        <v xml:space="preserve">Copernicus </v>
      </c>
      <c r="I675" s="31" t="str">
        <f>IF(ISERROR(FIND("Deneb",TR!F675)),"","Deneb ")</f>
        <v xml:space="preserve">Deneb </v>
      </c>
      <c r="J675" s="37" t="str">
        <f t="shared" si="11"/>
        <v xml:space="preserve">Adara Copernicus Deneb </v>
      </c>
      <c r="K675" s="31" t="str">
        <f>IF(ISBLANK(TR!G675),"",TR!G675)</f>
        <v/>
      </c>
      <c r="L675" s="31" t="str">
        <f>IF(ISBLANK(TR!H675),"",TR!H675)</f>
        <v>FR-DSRSW-1417</v>
      </c>
      <c r="M675" s="30" t="str">
        <f>TR!J675</f>
        <v>Approved</v>
      </c>
      <c r="N675" s="31" t="str">
        <f>IF(OR(M675="Modified",M675="Cosmetic"),VLOOKUP(B675,PrevPFS!B$1:E$833,4,FALSE),"")</f>
        <v/>
      </c>
    </row>
    <row r="676" spans="1:14" ht="45" x14ac:dyDescent="0.25">
      <c r="A676" s="31" t="str">
        <f>IF(ISNONTEXT(TR!K676),"",TR!K676)</f>
        <v>TR-0-CC-REG-1172</v>
      </c>
      <c r="B676" s="32" t="str">
        <f>TR!A676</f>
        <v>TR-DSRSW-1996</v>
      </c>
      <c r="C676" s="31" t="b">
        <f>ISERROR(FIND("-",TR!B676))</f>
        <v>0</v>
      </c>
      <c r="D676" s="31">
        <f>SetIndent(E676,(TR!C676-1)*2)</f>
        <v>4</v>
      </c>
      <c r="E676" s="35" t="str">
        <f>IF(ISERROR(FIND("-",TR!B676)),TR!B676&amp;" "&amp;TR!D676,TR!D676)</f>
        <v>The product SHALL begin reconstructing Line 21, Field 1 and Field 2, of the VBI within three (3) seconds of a transition from Paused playback to Normal Speed playback of Recorded content.</v>
      </c>
      <c r="F676" s="31" t="str">
        <f>TR!E676</f>
        <v>Req</v>
      </c>
      <c r="G676" s="31" t="str">
        <f>IF(ISERROR(FIND("Adara",TR!F676)),"","Adara ")</f>
        <v xml:space="preserve">Adara </v>
      </c>
      <c r="H676" s="31" t="str">
        <f>IF(ISERROR(FIND("Copernicus",TR!F676)),"","Copernicus ")</f>
        <v xml:space="preserve">Copernicus </v>
      </c>
      <c r="I676" s="31" t="str">
        <f>IF(ISERROR(FIND("Deneb",TR!F676)),"","Deneb ")</f>
        <v xml:space="preserve">Deneb </v>
      </c>
      <c r="J676" s="37" t="str">
        <f t="shared" si="11"/>
        <v xml:space="preserve">Adara Copernicus Deneb </v>
      </c>
      <c r="K676" s="31" t="str">
        <f>IF(ISBLANK(TR!G676),"",TR!G676)</f>
        <v/>
      </c>
      <c r="L676" s="31" t="str">
        <f>IF(ISBLANK(TR!H676),"",TR!H676)</f>
        <v>FR-DSRSW-1417</v>
      </c>
      <c r="M676" s="30" t="str">
        <f>TR!J676</f>
        <v>Approved</v>
      </c>
      <c r="N676" s="31" t="str">
        <f>IF(OR(M676="Modified",M676="Cosmetic"),VLOOKUP(B676,PrevPFS!B$1:E$833,4,FALSE),"")</f>
        <v/>
      </c>
    </row>
    <row r="677" spans="1:14" ht="45" x14ac:dyDescent="0.25">
      <c r="A677" s="31" t="str">
        <f>IF(ISNONTEXT(TR!K677),"",TR!K677)</f>
        <v>TR-0-CC-REG-1173</v>
      </c>
      <c r="B677" s="32" t="str">
        <f>TR!A677</f>
        <v>TR-DSRSW-1997</v>
      </c>
      <c r="C677" s="31" t="b">
        <f>ISERROR(FIND("-",TR!B677))</f>
        <v>0</v>
      </c>
      <c r="D677" s="31">
        <f>SetIndent(E677,(TR!C677-1)*2)</f>
        <v>4</v>
      </c>
      <c r="E677" s="35" t="str">
        <f>IF(ISERROR(FIND("-",TR!B677)),TR!B677&amp;" "&amp;TR!D677,TR!D677)</f>
        <v>The product SHALL begin rendering closed caption data within three (3) seconds of a transition from Paused playback to Normal Speed playback of Recorded content.</v>
      </c>
      <c r="F677" s="31" t="str">
        <f>TR!E677</f>
        <v>Req</v>
      </c>
      <c r="G677" s="31" t="str">
        <f>IF(ISERROR(FIND("Adara",TR!F677)),"","Adara ")</f>
        <v xml:space="preserve">Adara </v>
      </c>
      <c r="H677" s="31" t="str">
        <f>IF(ISERROR(FIND("Copernicus",TR!F677)),"","Copernicus ")</f>
        <v xml:space="preserve">Copernicus </v>
      </c>
      <c r="I677" s="31" t="str">
        <f>IF(ISERROR(FIND("Deneb",TR!F677)),"","Deneb ")</f>
        <v xml:space="preserve">Deneb </v>
      </c>
      <c r="J677" s="37" t="str">
        <f t="shared" si="11"/>
        <v xml:space="preserve">Adara Copernicus Deneb </v>
      </c>
      <c r="K677" s="31" t="str">
        <f>IF(ISBLANK(TR!G677),"",TR!G677)</f>
        <v/>
      </c>
      <c r="L677" s="31" t="str">
        <f>IF(ISBLANK(TR!H677),"",TR!H677)</f>
        <v>FR-DSRSW-1417</v>
      </c>
      <c r="M677" s="30" t="str">
        <f>TR!J677</f>
        <v>Approved</v>
      </c>
      <c r="N677" s="31" t="str">
        <f>IF(OR(M677="Modified",M677="Cosmetic"),VLOOKUP(B677,PrevPFS!B$1:E$833,4,FALSE),"")</f>
        <v/>
      </c>
    </row>
    <row r="678" spans="1:14" ht="45" x14ac:dyDescent="0.25">
      <c r="A678" s="31" t="str">
        <f>IF(ISNONTEXT(TR!K678),"",TR!K678)</f>
        <v>FR-CC-1024</v>
      </c>
      <c r="B678" s="32" t="str">
        <f>TR!A678</f>
        <v>TR-DSRSW-1998</v>
      </c>
      <c r="C678" s="31" t="b">
        <f>ISERROR(FIND("-",TR!B678))</f>
        <v>1</v>
      </c>
      <c r="D678" s="31">
        <f>SetIndent(E678,(TR!C678-1)*2)</f>
        <v>2</v>
      </c>
      <c r="E678" s="34" t="str">
        <f>IF(ISERROR(FIND("-",TR!B678)),TR!B678&amp;" "&amp;TR!D678,TR!D678)</f>
        <v>25.3 MPEG-4 and HEVC Closed Captions</v>
      </c>
      <c r="F678" s="31" t="str">
        <f>TR!E678</f>
        <v>Hdr</v>
      </c>
      <c r="G678" s="31" t="str">
        <f>IF(ISERROR(FIND("Adara",TR!F678)),"","Adara ")</f>
        <v xml:space="preserve">Adara </v>
      </c>
      <c r="H678" s="31" t="str">
        <f>IF(ISERROR(FIND("Copernicus",TR!F678)),"","Copernicus ")</f>
        <v xml:space="preserve">Copernicus </v>
      </c>
      <c r="I678" s="31" t="str">
        <f>IF(ISERROR(FIND("Deneb",TR!F678)),"","Deneb ")</f>
        <v xml:space="preserve">Deneb </v>
      </c>
      <c r="J678" s="37" t="str">
        <f t="shared" si="11"/>
        <v xml:space="preserve">Adara Copernicus Deneb </v>
      </c>
      <c r="K678" s="31" t="str">
        <f>IF(ISBLANK(TR!G678),"",TR!G678)</f>
        <v/>
      </c>
      <c r="L678" s="31" t="str">
        <f>IF(ISBLANK(TR!H678),"",TR!H678)</f>
        <v>FR-DSRSW-1418</v>
      </c>
      <c r="M678" s="30" t="str">
        <f>TR!J678</f>
        <v>Approved</v>
      </c>
      <c r="N678" s="31" t="str">
        <f>IF(OR(M678="Modified",M678="Cosmetic"),VLOOKUP(B678,PrevPFS!B$1:E$833,4,FALSE),"")</f>
        <v/>
      </c>
    </row>
    <row r="679" spans="1:14" ht="45" x14ac:dyDescent="0.25">
      <c r="A679" s="31" t="str">
        <f>IF(ISNONTEXT(TR!K679),"",TR!K679)</f>
        <v/>
      </c>
      <c r="B679" s="32" t="str">
        <f>TR!A679</f>
        <v>TR-DSRSW-1999</v>
      </c>
      <c r="C679" s="31" t="b">
        <f>ISERROR(FIND("-",TR!B679))</f>
        <v>0</v>
      </c>
      <c r="D679" s="31">
        <f>SetIndent(E679,(TR!C679-1)*2)</f>
        <v>4</v>
      </c>
      <c r="E679" s="35" t="str">
        <f>IF(ISERROR(FIND("-",TR!B679)),TR!B679&amp;" "&amp;TR!D679,TR!D679)</f>
        <v xml:space="preserve">Following requirements describe the extraction of SCTE-21 closed captions from the transport. The actual rendering and pass-through requirements for 608/708 captions is defined in the closed caption module. </v>
      </c>
      <c r="F679" s="31" t="str">
        <f>TR!E679</f>
        <v>Com</v>
      </c>
      <c r="G679" s="31" t="str">
        <f>IF(ISERROR(FIND("Adara",TR!F679)),"","Adara ")</f>
        <v xml:space="preserve">Adara </v>
      </c>
      <c r="H679" s="31" t="str">
        <f>IF(ISERROR(FIND("Copernicus",TR!F679)),"","Copernicus ")</f>
        <v xml:space="preserve">Copernicus </v>
      </c>
      <c r="I679" s="31" t="str">
        <f>IF(ISERROR(FIND("Deneb",TR!F679)),"","Deneb ")</f>
        <v xml:space="preserve">Deneb </v>
      </c>
      <c r="J679" s="37" t="str">
        <f t="shared" si="11"/>
        <v xml:space="preserve">Adara Copernicus Deneb </v>
      </c>
      <c r="K679" s="31" t="str">
        <f>IF(ISBLANK(TR!G679),"",TR!G679)</f>
        <v/>
      </c>
      <c r="L679" s="31" t="str">
        <f>IF(ISBLANK(TR!H679),"",TR!H679)</f>
        <v>FR-DSRSW-1418</v>
      </c>
      <c r="M679" s="30" t="str">
        <f>TR!J679</f>
        <v>Approved</v>
      </c>
      <c r="N679" s="31" t="str">
        <f>IF(OR(M679="Modified",M679="Cosmetic"),VLOOKUP(B679,PrevPFS!B$1:E$833,4,FALSE),"")</f>
        <v/>
      </c>
    </row>
    <row r="680" spans="1:14" ht="45" x14ac:dyDescent="0.25">
      <c r="A680" s="31" t="str">
        <f>IF(ISNONTEXT(TR!K680),"",TR!K680)</f>
        <v>TR-0-VDFVIDD4-FPR-1021</v>
      </c>
      <c r="B680" s="32" t="str">
        <f>TR!A680</f>
        <v>TR-DSRSW-2000</v>
      </c>
      <c r="C680" s="31" t="b">
        <f>ISERROR(FIND("-",TR!B680))</f>
        <v>0</v>
      </c>
      <c r="D680" s="31">
        <f>SetIndent(E680,(TR!C680-1)*2)</f>
        <v>4</v>
      </c>
      <c r="E680" s="35" t="str">
        <f>IF(ISERROR(FIND("-",TR!B680)),TR!B680&amp;" "&amp;TR!D680,TR!D680)</f>
        <v xml:space="preserve">The product SHALL access the  Supplemental Enhancement Information NAL units in each AVC access unit with payloadType=4, and extract the user_data_registered_itu_t_t35 payload as per syntax defined in [SCTE-128]. </v>
      </c>
      <c r="F680" s="31" t="str">
        <f>TR!E680</f>
        <v>Req</v>
      </c>
      <c r="G680" s="31" t="str">
        <f>IF(ISERROR(FIND("Adara",TR!F680)),"","Adara ")</f>
        <v xml:space="preserve">Adara </v>
      </c>
      <c r="H680" s="31" t="str">
        <f>IF(ISERROR(FIND("Copernicus",TR!F680)),"","Copernicus ")</f>
        <v xml:space="preserve">Copernicus </v>
      </c>
      <c r="I680" s="31" t="str">
        <f>IF(ISERROR(FIND("Deneb",TR!F680)),"","Deneb ")</f>
        <v xml:space="preserve">Deneb </v>
      </c>
      <c r="J680" s="37" t="str">
        <f t="shared" si="11"/>
        <v xml:space="preserve">Adara Copernicus Deneb </v>
      </c>
      <c r="K680" s="31" t="str">
        <f>IF(ISBLANK(TR!G680),"",TR!G680)</f>
        <v/>
      </c>
      <c r="L680" s="31" t="str">
        <f>IF(ISBLANK(TR!H680),"",TR!H680)</f>
        <v>FR-DSRSW-1418</v>
      </c>
      <c r="M680" s="30" t="str">
        <f>TR!J680</f>
        <v>Approved</v>
      </c>
      <c r="N680" s="31" t="str">
        <f>IF(OR(M680="Modified",M680="Cosmetic"),VLOOKUP(B680,PrevPFS!B$1:E$833,4,FALSE),"")</f>
        <v/>
      </c>
    </row>
    <row r="681" spans="1:14" ht="45" x14ac:dyDescent="0.25">
      <c r="A681" s="31" t="str">
        <f>IF(ISNONTEXT(TR!K681),"",TR!K681)</f>
        <v>TR-0-VDFVIDD4-FPR-1022</v>
      </c>
      <c r="B681" s="32" t="str">
        <f>TR!A681</f>
        <v>TR-DSRSW-2001</v>
      </c>
      <c r="C681" s="31" t="b">
        <f>ISERROR(FIND("-",TR!B681))</f>
        <v>0</v>
      </c>
      <c r="D681" s="31">
        <f>SetIndent(E681,(TR!C681-1)*2)</f>
        <v>4</v>
      </c>
      <c r="E681" s="35" t="str">
        <f>IF(ISERROR(FIND("-",TR!B681)),TR!B681&amp;" "&amp;TR!D681,TR!D681)</f>
        <v>The product SHALL extract the [SCTE-21] compliant cc_data from the user_data_registered_itu_t_t35, if the user_identifier is indicated as ATSC (as per [SCTE-128]), and the  user_data_type_code is equal to 0x03.</v>
      </c>
      <c r="F681" s="31" t="str">
        <f>TR!E681</f>
        <v>Req</v>
      </c>
      <c r="G681" s="31" t="str">
        <f>IF(ISERROR(FIND("Adara",TR!F681)),"","Adara ")</f>
        <v xml:space="preserve">Adara </v>
      </c>
      <c r="H681" s="31" t="str">
        <f>IF(ISERROR(FIND("Copernicus",TR!F681)),"","Copernicus ")</f>
        <v xml:space="preserve">Copernicus </v>
      </c>
      <c r="I681" s="31" t="str">
        <f>IF(ISERROR(FIND("Deneb",TR!F681)),"","Deneb ")</f>
        <v xml:space="preserve">Deneb </v>
      </c>
      <c r="J681" s="37" t="str">
        <f t="shared" si="11"/>
        <v xml:space="preserve">Adara Copernicus Deneb </v>
      </c>
      <c r="K681" s="31" t="str">
        <f>IF(ISBLANK(TR!G681),"",TR!G681)</f>
        <v/>
      </c>
      <c r="L681" s="31" t="str">
        <f>IF(ISBLANK(TR!H681),"",TR!H681)</f>
        <v>FR-DSRSW-1418</v>
      </c>
      <c r="M681" s="30" t="str">
        <f>TR!J681</f>
        <v>Approved</v>
      </c>
      <c r="N681" s="31" t="str">
        <f>IF(OR(M681="Modified",M681="Cosmetic"),VLOOKUP(B681,PrevPFS!B$1:E$833,4,FALSE),"")</f>
        <v/>
      </c>
    </row>
    <row r="682" spans="1:14" ht="45" x14ac:dyDescent="0.25">
      <c r="A682" s="31" t="str">
        <f>IF(ISNONTEXT(TR!K682),"",TR!K682)</f>
        <v/>
      </c>
      <c r="B682" s="32" t="str">
        <f>TR!A682</f>
        <v>TR-DSRSW-2002</v>
      </c>
      <c r="C682" s="31" t="b">
        <f>ISERROR(FIND("-",TR!B682))</f>
        <v>0</v>
      </c>
      <c r="D682" s="31">
        <f>SetIndent(E682,(TR!C682-1)*2)</f>
        <v>4</v>
      </c>
      <c r="E682" s="35" t="str">
        <f>IF(ISERROR(FIND("-",TR!B682)),TR!B682&amp;" "&amp;TR!D682,TR!D682)</f>
        <v>The requirements for rendering of 608 and 708 captions, and the pass-through of the 608 captions to an NTSC output are defined in [EIA-608], [EIA-708] and [FCC-00259] (along with [47CFR15.119])</v>
      </c>
      <c r="F682" s="31" t="str">
        <f>TR!E682</f>
        <v>Com</v>
      </c>
      <c r="G682" s="31" t="str">
        <f>IF(ISERROR(FIND("Adara",TR!F682)),"","Adara ")</f>
        <v xml:space="preserve">Adara </v>
      </c>
      <c r="H682" s="31" t="str">
        <f>IF(ISERROR(FIND("Copernicus",TR!F682)),"","Copernicus ")</f>
        <v xml:space="preserve">Copernicus </v>
      </c>
      <c r="I682" s="31" t="str">
        <f>IF(ISERROR(FIND("Deneb",TR!F682)),"","Deneb ")</f>
        <v xml:space="preserve">Deneb </v>
      </c>
      <c r="J682" s="37" t="str">
        <f t="shared" si="11"/>
        <v xml:space="preserve">Adara Copernicus Deneb </v>
      </c>
      <c r="K682" s="31" t="str">
        <f>IF(ISBLANK(TR!G682),"",TR!G682)</f>
        <v/>
      </c>
      <c r="L682" s="31" t="str">
        <f>IF(ISBLANK(TR!H682),"",TR!H682)</f>
        <v>FR-DSRSW-1418</v>
      </c>
      <c r="M682" s="30" t="str">
        <f>TR!J682</f>
        <v>Approved</v>
      </c>
      <c r="N682" s="31" t="str">
        <f>IF(OR(M682="Modified",M682="Cosmetic"),VLOOKUP(B682,PrevPFS!B$1:E$833,4,FALSE),"")</f>
        <v/>
      </c>
    </row>
    <row r="683" spans="1:14" ht="45" x14ac:dyDescent="0.25">
      <c r="A683" s="31" t="str">
        <f>IF(ISNONTEXT(TR!K683),"",TR!K683)</f>
        <v>TR-0-VDFVIDD4-FPR-1023</v>
      </c>
      <c r="B683" s="32" t="str">
        <f>TR!A683</f>
        <v>TR-DSRSW-2003</v>
      </c>
      <c r="C683" s="31" t="b">
        <f>ISERROR(FIND("-",TR!B683))</f>
        <v>0</v>
      </c>
      <c r="D683" s="31">
        <f>SetIndent(E683,(TR!C683-1)*2)</f>
        <v>4</v>
      </c>
      <c r="E683" s="35" t="str">
        <f>IF(ISERROR(FIND("-",TR!B683)),TR!B683&amp;" "&amp;TR!D683,TR!D683)</f>
        <v>The product SHALL extract the [EIA-608] and [EIA-708] captions from the [SCTE-21] data as defined in closed caption requirements, and process the rendering of the captions in compliance with [FCC00259] and the User Settings Menu.</v>
      </c>
      <c r="F683" s="31" t="str">
        <f>TR!E683</f>
        <v>Req</v>
      </c>
      <c r="G683" s="31" t="str">
        <f>IF(ISERROR(FIND("Adara",TR!F683)),"","Adara ")</f>
        <v xml:space="preserve">Adara </v>
      </c>
      <c r="H683" s="31" t="str">
        <f>IF(ISERROR(FIND("Copernicus",TR!F683)),"","Copernicus ")</f>
        <v xml:space="preserve">Copernicus </v>
      </c>
      <c r="I683" s="31" t="str">
        <f>IF(ISERROR(FIND("Deneb",TR!F683)),"","Deneb ")</f>
        <v xml:space="preserve">Deneb </v>
      </c>
      <c r="J683" s="37" t="str">
        <f t="shared" ref="J683:J746" si="12">G683&amp;H683&amp;I683</f>
        <v xml:space="preserve">Adara Copernicus Deneb </v>
      </c>
      <c r="K683" s="31" t="str">
        <f>IF(ISBLANK(TR!G683),"",TR!G683)</f>
        <v/>
      </c>
      <c r="L683" s="31" t="str">
        <f>IF(ISBLANK(TR!H683),"",TR!H683)</f>
        <v>FR-DSRSW-1418</v>
      </c>
      <c r="M683" s="30" t="str">
        <f>TR!J683</f>
        <v>Approved</v>
      </c>
      <c r="N683" s="31" t="str">
        <f>IF(OR(M683="Modified",M683="Cosmetic"),VLOOKUP(B683,PrevPFS!B$1:E$833,4,FALSE),"")</f>
        <v/>
      </c>
    </row>
    <row r="684" spans="1:14" ht="45" x14ac:dyDescent="0.25">
      <c r="A684" s="31" t="str">
        <f>IF(ISNONTEXT(TR!K684),"",TR!K684)</f>
        <v>TR-0-VDFVIDD4-FPR-1024</v>
      </c>
      <c r="B684" s="32" t="str">
        <f>TR!A684</f>
        <v>TR-DSRSW-2004</v>
      </c>
      <c r="C684" s="31" t="b">
        <f>ISERROR(FIND("-",TR!B684))</f>
        <v>0</v>
      </c>
      <c r="D684" s="31">
        <f>SetIndent(E684,(TR!C684-1)*2)</f>
        <v>4</v>
      </c>
      <c r="E684" s="35" t="str">
        <f>IF(ISERROR(FIND("-",TR!B684)),TR!B684&amp;" "&amp;TR!D684,TR!D684)</f>
        <v>The product SHALL pass-through the [EIA-608] captions to an NTSC output, if exists, in compliance with [FCC00259].</v>
      </c>
      <c r="F684" s="31" t="str">
        <f>TR!E684</f>
        <v>Req</v>
      </c>
      <c r="G684" s="31" t="str">
        <f>IF(ISERROR(FIND("Adara",TR!F684)),"","Adara ")</f>
        <v xml:space="preserve">Adara </v>
      </c>
      <c r="H684" s="31" t="str">
        <f>IF(ISERROR(FIND("Copernicus",TR!F684)),"","Copernicus ")</f>
        <v xml:space="preserve">Copernicus </v>
      </c>
      <c r="I684" s="31" t="str">
        <f>IF(ISERROR(FIND("Deneb",TR!F684)),"","Deneb ")</f>
        <v xml:space="preserve">Deneb </v>
      </c>
      <c r="J684" s="37" t="str">
        <f t="shared" si="12"/>
        <v xml:space="preserve">Adara Copernicus Deneb </v>
      </c>
      <c r="K684" s="31" t="str">
        <f>IF(ISBLANK(TR!G684),"",TR!G684)</f>
        <v/>
      </c>
      <c r="L684" s="31" t="str">
        <f>IF(ISBLANK(TR!H684),"",TR!H684)</f>
        <v>FR-DSRSW-1418</v>
      </c>
      <c r="M684" s="30" t="str">
        <f>TR!J684</f>
        <v>Approved</v>
      </c>
      <c r="N684" s="31" t="str">
        <f>IF(OR(M684="Modified",M684="Cosmetic"),VLOOKUP(B684,PrevPFS!B$1:E$833,4,FALSE),"")</f>
        <v/>
      </c>
    </row>
    <row r="685" spans="1:14" ht="45" x14ac:dyDescent="0.25">
      <c r="A685" s="31" t="str">
        <f>IF(ISNONTEXT(TR!K685),"",TR!K685)</f>
        <v/>
      </c>
      <c r="B685" s="32" t="str">
        <f>TR!A685</f>
        <v>TR-DSRSW-2005</v>
      </c>
      <c r="C685" s="31" t="b">
        <f>ISERROR(FIND("-",TR!B685))</f>
        <v>1</v>
      </c>
      <c r="D685" s="31">
        <f>SetIndent(E685,(TR!C685-1)*2)</f>
        <v>0</v>
      </c>
      <c r="E685" s="33" t="str">
        <f>IF(ISERROR(FIND("-",TR!B685)),TR!B685&amp;" "&amp;TR!D685,TR!D685)</f>
        <v>26 Video Control</v>
      </c>
      <c r="F685" s="31" t="str">
        <f>TR!E685</f>
        <v>Hdr</v>
      </c>
      <c r="G685" s="31" t="str">
        <f>IF(ISERROR(FIND("Adara",TR!F685)),"","Adara ")</f>
        <v xml:space="preserve">Adara </v>
      </c>
      <c r="H685" s="31" t="str">
        <f>IF(ISERROR(FIND("Copernicus",TR!F685)),"","Copernicus ")</f>
        <v xml:space="preserve">Copernicus </v>
      </c>
      <c r="I685" s="31" t="str">
        <f>IF(ISERROR(FIND("Deneb",TR!F685)),"","Deneb ")</f>
        <v xml:space="preserve">Deneb </v>
      </c>
      <c r="J685" s="37" t="str">
        <f t="shared" si="12"/>
        <v xml:space="preserve">Adara Copernicus Deneb </v>
      </c>
      <c r="K685" s="31" t="str">
        <f>IF(ISBLANK(TR!G685),"",TR!G685)</f>
        <v/>
      </c>
      <c r="L685" s="31" t="str">
        <f>IF(ISBLANK(TR!H685),"",TR!H685)</f>
        <v>FR-DSRSW-1419</v>
      </c>
      <c r="M685" s="30" t="str">
        <f>TR!J685</f>
        <v>Approved</v>
      </c>
      <c r="N685" s="31" t="str">
        <f>IF(OR(M685="Modified",M685="Cosmetic"),VLOOKUP(B685,PrevPFS!B$1:E$833,4,FALSE),"")</f>
        <v/>
      </c>
    </row>
    <row r="686" spans="1:14" ht="45" x14ac:dyDescent="0.25">
      <c r="A686" s="31" t="str">
        <f>IF(ISNONTEXT(TR!K686),"",TR!K686)</f>
        <v/>
      </c>
      <c r="B686" s="32" t="str">
        <f>TR!A686</f>
        <v>TR-DSRSW-2006</v>
      </c>
      <c r="C686" s="31" t="b">
        <f>ISERROR(FIND("-",TR!B686))</f>
        <v>1</v>
      </c>
      <c r="D686" s="31">
        <f>SetIndent(E686,(TR!C686-1)*2)</f>
        <v>2</v>
      </c>
      <c r="E686" s="34" t="str">
        <f>IF(ISERROR(FIND("-",TR!B686)),TR!B686&amp;" "&amp;TR!D686,TR!D686)</f>
        <v>26.1 Picture in Graphics (PIG)</v>
      </c>
      <c r="F686" s="31" t="str">
        <f>TR!E686</f>
        <v>Hdr</v>
      </c>
      <c r="G686" s="31" t="str">
        <f>IF(ISERROR(FIND("Adara",TR!F686)),"","Adara ")</f>
        <v xml:space="preserve">Adara </v>
      </c>
      <c r="H686" s="31" t="str">
        <f>IF(ISERROR(FIND("Copernicus",TR!F686)),"","Copernicus ")</f>
        <v xml:space="preserve">Copernicus </v>
      </c>
      <c r="I686" s="31" t="str">
        <f>IF(ISERROR(FIND("Deneb",TR!F686)),"","Deneb ")</f>
        <v xml:space="preserve">Deneb </v>
      </c>
      <c r="J686" s="37" t="str">
        <f t="shared" si="12"/>
        <v xml:space="preserve">Adara Copernicus Deneb </v>
      </c>
      <c r="K686" s="31" t="str">
        <f>IF(ISBLANK(TR!G686),"",TR!G686)</f>
        <v/>
      </c>
      <c r="L686" s="31" t="str">
        <f>IF(ISBLANK(TR!H686),"",TR!H686)</f>
        <v>FR-DSRSW-1420</v>
      </c>
      <c r="M686" s="30" t="str">
        <f>TR!J686</f>
        <v>Approved</v>
      </c>
      <c r="N686" s="31" t="str">
        <f>IF(OR(M686="Modified",M686="Cosmetic"),VLOOKUP(B686,PrevPFS!B$1:E$833,4,FALSE),"")</f>
        <v/>
      </c>
    </row>
    <row r="687" spans="1:14" ht="45" x14ac:dyDescent="0.25">
      <c r="A687" s="31" t="str">
        <f>IF(ISNONTEXT(TR!K687),"",TR!K687)</f>
        <v/>
      </c>
      <c r="B687" s="32" t="str">
        <f>TR!A687</f>
        <v>TR-DSRSW-2506</v>
      </c>
      <c r="C687" s="31" t="b">
        <f>ISERROR(FIND("-",TR!B687))</f>
        <v>1</v>
      </c>
      <c r="D687" s="31">
        <f>SetIndent(E687,(TR!C687-1)*2)</f>
        <v>4</v>
      </c>
      <c r="E687" s="35" t="str">
        <f>IF(ISERROR(FIND("-",TR!B687)),TR!B687&amp;" "&amp;TR!D687,TR!D687)</f>
        <v>26.1.1 Video Format Conversion</v>
      </c>
      <c r="F687" s="31" t="str">
        <f>TR!E687</f>
        <v>Hdr</v>
      </c>
      <c r="G687" s="31" t="str">
        <f>IF(ISERROR(FIND("Adara",TR!F687)),"","Adara ")</f>
        <v xml:space="preserve">Adara </v>
      </c>
      <c r="H687" s="31" t="str">
        <f>IF(ISERROR(FIND("Copernicus",TR!F687)),"","Copernicus ")</f>
        <v xml:space="preserve">Copernicus </v>
      </c>
      <c r="I687" s="31" t="str">
        <f>IF(ISERROR(FIND("Deneb",TR!F687)),"","Deneb ")</f>
        <v xml:space="preserve">Deneb </v>
      </c>
      <c r="J687" s="37" t="str">
        <f t="shared" si="12"/>
        <v xml:space="preserve">Adara Copernicus Deneb </v>
      </c>
      <c r="K687" s="31" t="str">
        <f>IF(ISBLANK(TR!G687),"",TR!G687)</f>
        <v/>
      </c>
      <c r="L687" s="31" t="str">
        <f>IF(ISBLANK(TR!H687),"",TR!H687)</f>
        <v/>
      </c>
      <c r="M687" s="30" t="str">
        <f>TR!J687</f>
        <v>Approved</v>
      </c>
      <c r="N687" s="31" t="str">
        <f>IF(OR(M687="Modified",M687="Cosmetic"),VLOOKUP(B687,PrevPFS!B$1:E$833,4,FALSE),"")</f>
        <v/>
      </c>
    </row>
    <row r="688" spans="1:14" ht="45" x14ac:dyDescent="0.25">
      <c r="A688" s="31" t="str">
        <f>IF(ISNONTEXT(TR!K688),"",TR!K688)</f>
        <v/>
      </c>
      <c r="B688" s="32" t="str">
        <f>TR!A688</f>
        <v>TR-DSRSW-2507</v>
      </c>
      <c r="C688" s="31" t="b">
        <f>ISERROR(FIND("-",TR!B688))</f>
        <v>0</v>
      </c>
      <c r="D688" s="31">
        <f>SetIndent(E688,(TR!C688-1)*2)</f>
        <v>6</v>
      </c>
      <c r="E688" s="38" t="str">
        <f>IF(ISERROR(FIND("-",TR!B688)),TR!B688&amp;" "&amp;TR!D688,TR!D688)</f>
        <v xml:space="preserve">The product SHALL be capable of converting any video format supported by the decoder to the 480i format/resolution on the HDMI output. </v>
      </c>
      <c r="F688" s="31" t="str">
        <f>TR!E688</f>
        <v>Req</v>
      </c>
      <c r="G688" s="31" t="str">
        <f>IF(ISERROR(FIND("Adara",TR!F688)),"","Adara ")</f>
        <v xml:space="preserve">Adara </v>
      </c>
      <c r="H688" s="31" t="str">
        <f>IF(ISERROR(FIND("Copernicus",TR!F688)),"","Copernicus ")</f>
        <v xml:space="preserve">Copernicus </v>
      </c>
      <c r="I688" s="31" t="str">
        <f>IF(ISERROR(FIND("Deneb",TR!F688)),"","Deneb ")</f>
        <v xml:space="preserve">Deneb </v>
      </c>
      <c r="J688" s="37" t="str">
        <f t="shared" si="12"/>
        <v xml:space="preserve">Adara Copernicus Deneb </v>
      </c>
      <c r="K688" s="31" t="str">
        <f>IF(ISBLANK(TR!G688),"",TR!G688)</f>
        <v/>
      </c>
      <c r="L688" s="31" t="str">
        <f>IF(ISBLANK(TR!H688),"",TR!H688)</f>
        <v/>
      </c>
      <c r="M688" s="30" t="str">
        <f>TR!J688</f>
        <v>Approved</v>
      </c>
      <c r="N688" s="31" t="str">
        <f>IF(OR(M688="Modified",M688="Cosmetic"),VLOOKUP(B688,PrevPFS!B$1:E$833,4,FALSE),"")</f>
        <v/>
      </c>
    </row>
    <row r="689" spans="1:14" ht="45" x14ac:dyDescent="0.25">
      <c r="A689" s="31" t="str">
        <f>IF(ISNONTEXT(TR!K689),"",TR!K689)</f>
        <v/>
      </c>
      <c r="B689" s="32" t="str">
        <f>TR!A689</f>
        <v>TR-DSRSW-2508</v>
      </c>
      <c r="C689" s="31" t="b">
        <f>ISERROR(FIND("-",TR!B689))</f>
        <v>0</v>
      </c>
      <c r="D689" s="31">
        <f>SetIndent(E689,(TR!C689-1)*2)</f>
        <v>6</v>
      </c>
      <c r="E689" s="38" t="str">
        <f>IF(ISERROR(FIND("-",TR!B689)),TR!B689&amp;" "&amp;TR!D689,TR!D689)</f>
        <v xml:space="preserve">The product SHALL be capable of converting any video format supported by the decoder to the 480p format/resolution on the HDMI output. </v>
      </c>
      <c r="F689" s="31" t="str">
        <f>TR!E689</f>
        <v>Req</v>
      </c>
      <c r="G689" s="31" t="str">
        <f>IF(ISERROR(FIND("Adara",TR!F689)),"","Adara ")</f>
        <v xml:space="preserve">Adara </v>
      </c>
      <c r="H689" s="31" t="str">
        <f>IF(ISERROR(FIND("Copernicus",TR!F689)),"","Copernicus ")</f>
        <v xml:space="preserve">Copernicus </v>
      </c>
      <c r="I689" s="31" t="str">
        <f>IF(ISERROR(FIND("Deneb",TR!F689)),"","Deneb ")</f>
        <v xml:space="preserve">Deneb </v>
      </c>
      <c r="J689" s="37" t="str">
        <f t="shared" si="12"/>
        <v xml:space="preserve">Adara Copernicus Deneb </v>
      </c>
      <c r="K689" s="31" t="str">
        <f>IF(ISBLANK(TR!G689),"",TR!G689)</f>
        <v/>
      </c>
      <c r="L689" s="31" t="str">
        <f>IF(ISBLANK(TR!H689),"",TR!H689)</f>
        <v/>
      </c>
      <c r="M689" s="30" t="str">
        <f>TR!J689</f>
        <v>Approved</v>
      </c>
      <c r="N689" s="31" t="str">
        <f>IF(OR(M689="Modified",M689="Cosmetic"),VLOOKUP(B689,PrevPFS!B$1:E$833,4,FALSE),"")</f>
        <v/>
      </c>
    </row>
    <row r="690" spans="1:14" ht="45" x14ac:dyDescent="0.25">
      <c r="A690" s="31" t="str">
        <f>IF(ISNONTEXT(TR!K690),"",TR!K690)</f>
        <v/>
      </c>
      <c r="B690" s="32" t="str">
        <f>TR!A690</f>
        <v>TR-DSRSW-2509</v>
      </c>
      <c r="C690" s="31" t="b">
        <f>ISERROR(FIND("-",TR!B690))</f>
        <v>0</v>
      </c>
      <c r="D690" s="31">
        <f>SetIndent(E690,(TR!C690-1)*2)</f>
        <v>6</v>
      </c>
      <c r="E690" s="38" t="str">
        <f>IF(ISERROR(FIND("-",TR!B690)),TR!B690&amp;" "&amp;TR!D690,TR!D690)</f>
        <v xml:space="preserve">The product SHALL be capable of converting any video format supported by the decoder to the 720p format/resolution on the HDMI output. </v>
      </c>
      <c r="F690" s="31" t="str">
        <f>TR!E690</f>
        <v>Req</v>
      </c>
      <c r="G690" s="31" t="str">
        <f>IF(ISERROR(FIND("Adara",TR!F690)),"","Adara ")</f>
        <v xml:space="preserve">Adara </v>
      </c>
      <c r="H690" s="31" t="str">
        <f>IF(ISERROR(FIND("Copernicus",TR!F690)),"","Copernicus ")</f>
        <v xml:space="preserve">Copernicus </v>
      </c>
      <c r="I690" s="31" t="str">
        <f>IF(ISERROR(FIND("Deneb",TR!F690)),"","Deneb ")</f>
        <v xml:space="preserve">Deneb </v>
      </c>
      <c r="J690" s="37" t="str">
        <f t="shared" si="12"/>
        <v xml:space="preserve">Adara Copernicus Deneb </v>
      </c>
      <c r="K690" s="31" t="str">
        <f>IF(ISBLANK(TR!G690),"",TR!G690)</f>
        <v/>
      </c>
      <c r="L690" s="31" t="str">
        <f>IF(ISBLANK(TR!H690),"",TR!H690)</f>
        <v/>
      </c>
      <c r="M690" s="30" t="str">
        <f>TR!J690</f>
        <v>Approved</v>
      </c>
      <c r="N690" s="31" t="str">
        <f>IF(OR(M690="Modified",M690="Cosmetic"),VLOOKUP(B690,PrevPFS!B$1:E$833,4,FALSE),"")</f>
        <v/>
      </c>
    </row>
    <row r="691" spans="1:14" ht="45" x14ac:dyDescent="0.25">
      <c r="A691" s="31" t="str">
        <f>IF(ISNONTEXT(TR!K691),"",TR!K691)</f>
        <v/>
      </c>
      <c r="B691" s="32" t="str">
        <f>TR!A691</f>
        <v>TR-DSRSW-2510</v>
      </c>
      <c r="C691" s="31" t="b">
        <f>ISERROR(FIND("-",TR!B691))</f>
        <v>0</v>
      </c>
      <c r="D691" s="31">
        <f>SetIndent(E691,(TR!C691-1)*2)</f>
        <v>6</v>
      </c>
      <c r="E691" s="38" t="str">
        <f>IF(ISERROR(FIND("-",TR!B691)),TR!B691&amp;" "&amp;TR!D691,TR!D691)</f>
        <v xml:space="preserve">The product SHALL be capable of converting any video format supported by the decoder to the 1080i format/resolution on the HDMI output. </v>
      </c>
      <c r="F691" s="31" t="str">
        <f>TR!E691</f>
        <v>Req</v>
      </c>
      <c r="G691" s="31" t="str">
        <f>IF(ISERROR(FIND("Adara",TR!F691)),"","Adara ")</f>
        <v xml:space="preserve">Adara </v>
      </c>
      <c r="H691" s="31" t="str">
        <f>IF(ISERROR(FIND("Copernicus",TR!F691)),"","Copernicus ")</f>
        <v xml:space="preserve">Copernicus </v>
      </c>
      <c r="I691" s="31" t="str">
        <f>IF(ISERROR(FIND("Deneb",TR!F691)),"","Deneb ")</f>
        <v xml:space="preserve">Deneb </v>
      </c>
      <c r="J691" s="37" t="str">
        <f t="shared" si="12"/>
        <v xml:space="preserve">Adara Copernicus Deneb </v>
      </c>
      <c r="K691" s="31" t="str">
        <f>IF(ISBLANK(TR!G691),"",TR!G691)</f>
        <v/>
      </c>
      <c r="L691" s="31" t="str">
        <f>IF(ISBLANK(TR!H691),"",TR!H691)</f>
        <v/>
      </c>
      <c r="M691" s="30" t="str">
        <f>TR!J691</f>
        <v>Approved</v>
      </c>
      <c r="N691" s="31" t="str">
        <f>IF(OR(M691="Modified",M691="Cosmetic"),VLOOKUP(B691,PrevPFS!B$1:E$833,4,FALSE),"")</f>
        <v/>
      </c>
    </row>
    <row r="692" spans="1:14" ht="45" x14ac:dyDescent="0.25">
      <c r="A692" s="31" t="str">
        <f>IF(ISNONTEXT(TR!K692),"",TR!K692)</f>
        <v/>
      </c>
      <c r="B692" s="32" t="str">
        <f>TR!A692</f>
        <v>TR-DSRSW-2511</v>
      </c>
      <c r="C692" s="31" t="b">
        <f>ISERROR(FIND("-",TR!B692))</f>
        <v>0</v>
      </c>
      <c r="D692" s="31">
        <f>SetIndent(E692,(TR!C692-1)*2)</f>
        <v>6</v>
      </c>
      <c r="E692" s="38" t="str">
        <f>IF(ISERROR(FIND("-",TR!B692)),TR!B692&amp;" "&amp;TR!D692,TR!D692)</f>
        <v>The product SHALL be capable of converting any video format supported by the decoder to the 1080p 60fps format/resolution on the HDMI output.</v>
      </c>
      <c r="F692" s="31" t="str">
        <f>TR!E692</f>
        <v>Req</v>
      </c>
      <c r="G692" s="31" t="str">
        <f>IF(ISERROR(FIND("Adara",TR!F692)),"","Adara ")</f>
        <v xml:space="preserve">Adara </v>
      </c>
      <c r="H692" s="31" t="str">
        <f>IF(ISERROR(FIND("Copernicus",TR!F692)),"","Copernicus ")</f>
        <v xml:space="preserve">Copernicus </v>
      </c>
      <c r="I692" s="31" t="str">
        <f>IF(ISERROR(FIND("Deneb",TR!F692)),"","Deneb ")</f>
        <v xml:space="preserve">Deneb </v>
      </c>
      <c r="J692" s="37" t="str">
        <f t="shared" si="12"/>
        <v xml:space="preserve">Adara Copernicus Deneb </v>
      </c>
      <c r="K692" s="31" t="str">
        <f>IF(ISBLANK(TR!G692),"",TR!G692)</f>
        <v/>
      </c>
      <c r="L692" s="31" t="str">
        <f>IF(ISBLANK(TR!H692),"",TR!H692)</f>
        <v/>
      </c>
      <c r="M692" s="30" t="str">
        <f>TR!J692</f>
        <v>Approved</v>
      </c>
      <c r="N692" s="31" t="str">
        <f>IF(OR(M692="Modified",M692="Cosmetic"),VLOOKUP(B692,PrevPFS!B$1:E$833,4,FALSE),"")</f>
        <v/>
      </c>
    </row>
    <row r="693" spans="1:14" ht="45" x14ac:dyDescent="0.25">
      <c r="A693" s="31" t="str">
        <f>IF(ISNONTEXT(TR!K693),"",TR!K693)</f>
        <v>FR-VDCVD-1056</v>
      </c>
      <c r="B693" s="32" t="str">
        <f>TR!A693</f>
        <v>TR-DSRSW-2007</v>
      </c>
      <c r="C693" s="31" t="b">
        <f>ISERROR(FIND("-",TR!B693))</f>
        <v>1</v>
      </c>
      <c r="D693" s="31">
        <f>SetIndent(E693,(TR!C693-1)*2)</f>
        <v>4</v>
      </c>
      <c r="E693" s="35" t="str">
        <f>IF(ISERROR(FIND("-",TR!B693)),TR!B693&amp;" "&amp;TR!D693,TR!D693)</f>
        <v>26.1.2 Picture in Graphics functionality.</v>
      </c>
      <c r="F693" s="31" t="str">
        <f>TR!E693</f>
        <v>Hdr</v>
      </c>
      <c r="G693" s="31" t="str">
        <f>IF(ISERROR(FIND("Adara",TR!F693)),"","Adara ")</f>
        <v xml:space="preserve">Adara </v>
      </c>
      <c r="H693" s="31" t="str">
        <f>IF(ISERROR(FIND("Copernicus",TR!F693)),"","Copernicus ")</f>
        <v xml:space="preserve">Copernicus </v>
      </c>
      <c r="I693" s="31" t="str">
        <f>IF(ISERROR(FIND("Deneb",TR!F693)),"","Deneb ")</f>
        <v xml:space="preserve">Deneb </v>
      </c>
      <c r="J693" s="37" t="str">
        <f t="shared" si="12"/>
        <v xml:space="preserve">Adara Copernicus Deneb </v>
      </c>
      <c r="K693" s="31" t="str">
        <f>IF(ISBLANK(TR!G693),"",TR!G693)</f>
        <v/>
      </c>
      <c r="L693" s="31" t="str">
        <f>IF(ISBLANK(TR!H693),"",TR!H693)</f>
        <v>FR-DSRSW-1421</v>
      </c>
      <c r="M693" s="30" t="str">
        <f>TR!J693</f>
        <v>Approved</v>
      </c>
      <c r="N693" s="31" t="str">
        <f>IF(OR(M693="Modified",M693="Cosmetic"),VLOOKUP(B693,PrevPFS!B$1:E$833,4,FALSE),"")</f>
        <v/>
      </c>
    </row>
    <row r="694" spans="1:14" ht="45" x14ac:dyDescent="0.25">
      <c r="A694" s="31" t="str">
        <f>IF(ISNONTEXT(TR!K694),"",TR!K694)</f>
        <v>TR-0-VCPIG-FPR-1023</v>
      </c>
      <c r="B694" s="32" t="str">
        <f>TR!A694</f>
        <v>TR-DSRSW-2008</v>
      </c>
      <c r="C694" s="31" t="b">
        <f>ISERROR(FIND("-",TR!B694))</f>
        <v>0</v>
      </c>
      <c r="D694" s="31">
        <f>SetIndent(E694,(TR!C694-1)*2)</f>
        <v>4</v>
      </c>
      <c r="E694" s="35" t="str">
        <f>IF(ISERROR(FIND("-",TR!B694)),TR!B694&amp;" "&amp;TR!D694,TR!D694)</f>
        <v>The product SHALL be capable of generating full-screen OSD graphics in combination with the active scaling of the video service from a decoder.</v>
      </c>
      <c r="F694" s="31" t="str">
        <f>TR!E694</f>
        <v>Req</v>
      </c>
      <c r="G694" s="31" t="str">
        <f>IF(ISERROR(FIND("Adara",TR!F694)),"","Adara ")</f>
        <v xml:space="preserve">Adara </v>
      </c>
      <c r="H694" s="31" t="str">
        <f>IF(ISERROR(FIND("Copernicus",TR!F694)),"","Copernicus ")</f>
        <v xml:space="preserve">Copernicus </v>
      </c>
      <c r="I694" s="31" t="str">
        <f>IF(ISERROR(FIND("Deneb",TR!F694)),"","Deneb ")</f>
        <v xml:space="preserve">Deneb </v>
      </c>
      <c r="J694" s="37" t="str">
        <f t="shared" si="12"/>
        <v xml:space="preserve">Adara Copernicus Deneb </v>
      </c>
      <c r="K694" s="31" t="str">
        <f>IF(ISBLANK(TR!G694),"",TR!G694)</f>
        <v/>
      </c>
      <c r="L694" s="31" t="str">
        <f>IF(ISBLANK(TR!H694),"",TR!H694)</f>
        <v>FR-DSRSW-1421</v>
      </c>
      <c r="M694" s="30" t="str">
        <f>TR!J694</f>
        <v>Approved</v>
      </c>
      <c r="N694" s="31" t="str">
        <f>IF(OR(M694="Modified",M694="Cosmetic"),VLOOKUP(B694,PrevPFS!B$1:E$833,4,FALSE),"")</f>
        <v/>
      </c>
    </row>
    <row r="695" spans="1:14" ht="45" x14ac:dyDescent="0.25">
      <c r="A695" s="31" t="str">
        <f>IF(ISNONTEXT(TR!K695),"",TR!K695)</f>
        <v>TR-0-VCPIG-FPR-1019</v>
      </c>
      <c r="B695" s="32" t="str">
        <f>TR!A695</f>
        <v>TR-DSRSW-2009</v>
      </c>
      <c r="C695" s="31" t="b">
        <f>ISERROR(FIND("-",TR!B695))</f>
        <v>0</v>
      </c>
      <c r="D695" s="31">
        <f>SetIndent(E695,(TR!C695-1)*2)</f>
        <v>4</v>
      </c>
      <c r="E695" s="35" t="str">
        <f>IF(ISERROR(FIND("-",TR!B695)),TR!B695&amp;" "&amp;TR!D695,TR!D695)</f>
        <v>The product SHALL be capable of generating full-screen OSD graphics in combination with the active scaling of video from an application.</v>
      </c>
      <c r="F695" s="31" t="str">
        <f>TR!E695</f>
        <v>Req</v>
      </c>
      <c r="G695" s="31" t="str">
        <f>IF(ISERROR(FIND("Adara",TR!F695)),"","Adara ")</f>
        <v xml:space="preserve">Adara </v>
      </c>
      <c r="H695" s="31" t="str">
        <f>IF(ISERROR(FIND("Copernicus",TR!F695)),"","Copernicus ")</f>
        <v xml:space="preserve">Copernicus </v>
      </c>
      <c r="I695" s="31" t="str">
        <f>IF(ISERROR(FIND("Deneb",TR!F695)),"","Deneb ")</f>
        <v xml:space="preserve">Deneb </v>
      </c>
      <c r="J695" s="37" t="str">
        <f t="shared" si="12"/>
        <v xml:space="preserve">Adara Copernicus Deneb </v>
      </c>
      <c r="K695" s="31" t="str">
        <f>IF(ISBLANK(TR!G695),"",TR!G695)</f>
        <v/>
      </c>
      <c r="L695" s="31" t="str">
        <f>IF(ISBLANK(TR!H695),"",TR!H695)</f>
        <v>FR-DSRSW-1421</v>
      </c>
      <c r="M695" s="30" t="str">
        <f>TR!J695</f>
        <v>Approved</v>
      </c>
      <c r="N695" s="31" t="str">
        <f>IF(OR(M695="Modified",M695="Cosmetic"),VLOOKUP(B695,PrevPFS!B$1:E$833,4,FALSE),"")</f>
        <v/>
      </c>
    </row>
    <row r="696" spans="1:14" ht="45" x14ac:dyDescent="0.25">
      <c r="A696" s="31" t="str">
        <f>IF(ISNONTEXT(TR!K696),"",TR!K696)</f>
        <v>TR-0-VCPIG-FPR-1006</v>
      </c>
      <c r="B696" s="32" t="str">
        <f>TR!A696</f>
        <v>TR-DSRSW-2010</v>
      </c>
      <c r="C696" s="31" t="b">
        <f>ISERROR(FIND("-",TR!B696))</f>
        <v>0</v>
      </c>
      <c r="D696" s="31">
        <f>SetIndent(E696,(TR!C696-1)*2)</f>
        <v>4</v>
      </c>
      <c r="E696" s="35" t="str">
        <f>IF(ISERROR(FIND("-",TR!B696)),TR!B696&amp;" "&amp;TR!D696,TR!D696)</f>
        <v>The product SHALL be capable of generating full-screen OSD graphics in combination with the active scaling of an MPEG still from RAM.</v>
      </c>
      <c r="F696" s="31" t="str">
        <f>TR!E696</f>
        <v>Req</v>
      </c>
      <c r="G696" s="31" t="str">
        <f>IF(ISERROR(FIND("Adara",TR!F696)),"","Adara ")</f>
        <v xml:space="preserve">Adara </v>
      </c>
      <c r="H696" s="31" t="str">
        <f>IF(ISERROR(FIND("Copernicus",TR!F696)),"","Copernicus ")</f>
        <v xml:space="preserve">Copernicus </v>
      </c>
      <c r="I696" s="31" t="str">
        <f>IF(ISERROR(FIND("Deneb",TR!F696)),"","Deneb ")</f>
        <v xml:space="preserve">Deneb </v>
      </c>
      <c r="J696" s="37" t="str">
        <f t="shared" si="12"/>
        <v xml:space="preserve">Adara Copernicus Deneb </v>
      </c>
      <c r="K696" s="31" t="str">
        <f>IF(ISBLANK(TR!G696),"",TR!G696)</f>
        <v/>
      </c>
      <c r="L696" s="31" t="str">
        <f>IF(ISBLANK(TR!H696),"",TR!H696)</f>
        <v>FR-DSRSW-1421</v>
      </c>
      <c r="M696" s="30" t="str">
        <f>TR!J696</f>
        <v>Approved</v>
      </c>
      <c r="N696" s="31" t="str">
        <f>IF(OR(M696="Modified",M696="Cosmetic"),VLOOKUP(B696,PrevPFS!B$1:E$833,4,FALSE),"")</f>
        <v/>
      </c>
    </row>
    <row r="697" spans="1:14" ht="45" x14ac:dyDescent="0.25">
      <c r="A697" s="31" t="str">
        <f>IF(ISNONTEXT(TR!K697),"",TR!K697)</f>
        <v>FR-VDCVD-1081</v>
      </c>
      <c r="B697" s="32" t="str">
        <f>TR!A697</f>
        <v>TR-DSRSW-2011</v>
      </c>
      <c r="C697" s="31" t="b">
        <f>ISERROR(FIND("-",TR!B697))</f>
        <v>1</v>
      </c>
      <c r="D697" s="31">
        <f>SetIndent(E697,(TR!C697-1)*2)</f>
        <v>4</v>
      </c>
      <c r="E697" s="35" t="str">
        <f>IF(ISERROR(FIND("-",TR!B697)),TR!B697&amp;" "&amp;TR!D697,TR!D697)</f>
        <v>26.1.3 Scaling for Picture in Graphics.</v>
      </c>
      <c r="F697" s="31" t="str">
        <f>TR!E697</f>
        <v>Hdr</v>
      </c>
      <c r="G697" s="31" t="str">
        <f>IF(ISERROR(FIND("Adara",TR!F697)),"","Adara ")</f>
        <v xml:space="preserve">Adara </v>
      </c>
      <c r="H697" s="31" t="str">
        <f>IF(ISERROR(FIND("Copernicus",TR!F697)),"","Copernicus ")</f>
        <v xml:space="preserve">Copernicus </v>
      </c>
      <c r="I697" s="31" t="str">
        <f>IF(ISERROR(FIND("Deneb",TR!F697)),"","Deneb ")</f>
        <v xml:space="preserve">Deneb </v>
      </c>
      <c r="J697" s="37" t="str">
        <f t="shared" si="12"/>
        <v xml:space="preserve">Adara Copernicus Deneb </v>
      </c>
      <c r="K697" s="31" t="str">
        <f>IF(ISBLANK(TR!G697),"",TR!G697)</f>
        <v/>
      </c>
      <c r="L697" s="31" t="str">
        <f>IF(ISBLANK(TR!H697),"",TR!H697)</f>
        <v>FR-DSRSW-1422</v>
      </c>
      <c r="M697" s="30" t="str">
        <f>TR!J697</f>
        <v>Approved</v>
      </c>
      <c r="N697" s="31" t="str">
        <f>IF(OR(M697="Modified",M697="Cosmetic"),VLOOKUP(B697,PrevPFS!B$1:E$833,4,FALSE),"")</f>
        <v/>
      </c>
    </row>
    <row r="698" spans="1:14" ht="45" x14ac:dyDescent="0.25">
      <c r="A698" s="31" t="str">
        <f>IF(ISNONTEXT(TR!K698),"",TR!K698)</f>
        <v>TR-0-VCPIG-FPR-1016</v>
      </c>
      <c r="B698" s="32" t="str">
        <f>TR!A698</f>
        <v>TR-DSRSW-2012</v>
      </c>
      <c r="C698" s="31" t="b">
        <f>ISERROR(FIND("-",TR!B698))</f>
        <v>0</v>
      </c>
      <c r="D698" s="31">
        <f>SetIndent(E698,(TR!C698-1)*2)</f>
        <v>4</v>
      </c>
      <c r="E698" s="35" t="str">
        <f>IF(ISERROR(FIND("-",TR!B698)),TR!B698&amp;" "&amp;TR!D698,TR!D698)</f>
        <v>The product SHALL support scaling the PIG graphics window in the horizontal and vertical dimensions in increments of (1/32) between zero (0) and one (1).</v>
      </c>
      <c r="F698" s="31" t="str">
        <f>TR!E698</f>
        <v>Req</v>
      </c>
      <c r="G698" s="31" t="str">
        <f>IF(ISERROR(FIND("Adara",TR!F698)),"","Adara ")</f>
        <v xml:space="preserve">Adara </v>
      </c>
      <c r="H698" s="31" t="str">
        <f>IF(ISERROR(FIND("Copernicus",TR!F698)),"","Copernicus ")</f>
        <v xml:space="preserve">Copernicus </v>
      </c>
      <c r="I698" s="31" t="str">
        <f>IF(ISERROR(FIND("Deneb",TR!F698)),"","Deneb ")</f>
        <v xml:space="preserve">Deneb </v>
      </c>
      <c r="J698" s="37" t="str">
        <f t="shared" si="12"/>
        <v xml:space="preserve">Adara Copernicus Deneb </v>
      </c>
      <c r="K698" s="31" t="str">
        <f>IF(ISBLANK(TR!G698),"",TR!G698)</f>
        <v/>
      </c>
      <c r="L698" s="31" t="str">
        <f>IF(ISBLANK(TR!H698),"",TR!H698)</f>
        <v>FR-DSRSW-1422</v>
      </c>
      <c r="M698" s="30" t="str">
        <f>TR!J698</f>
        <v>Approved</v>
      </c>
      <c r="N698" s="31" t="str">
        <f>IF(OR(M698="Modified",M698="Cosmetic"),VLOOKUP(B698,PrevPFS!B$1:E$833,4,FALSE),"")</f>
        <v/>
      </c>
    </row>
    <row r="699" spans="1:14" ht="45" x14ac:dyDescent="0.25">
      <c r="A699" s="31" t="str">
        <f>IF(ISNONTEXT(TR!K699),"",TR!K699)</f>
        <v>TR-0-VCPIG-FPR-1010</v>
      </c>
      <c r="B699" s="32" t="str">
        <f>TR!A699</f>
        <v>TR-DSRSW-2013</v>
      </c>
      <c r="C699" s="31" t="b">
        <f>ISERROR(FIND("-",TR!B699))</f>
        <v>0</v>
      </c>
      <c r="D699" s="31">
        <f>SetIndent(E699,(TR!C699-1)*2)</f>
        <v>4</v>
      </c>
      <c r="E699" s="35" t="str">
        <f>IF(ISERROR(FIND("-",TR!B699)),TR!B699&amp;" "&amp;TR!D699,TR!D699)</f>
        <v>The product SHALL be capable of maintaining the native aspect ratio of the scaled video service being displayed.</v>
      </c>
      <c r="F699" s="31" t="str">
        <f>TR!E699</f>
        <v>Req</v>
      </c>
      <c r="G699" s="31" t="str">
        <f>IF(ISERROR(FIND("Adara",TR!F699)),"","Adara ")</f>
        <v xml:space="preserve">Adara </v>
      </c>
      <c r="H699" s="31" t="str">
        <f>IF(ISERROR(FIND("Copernicus",TR!F699)),"","Copernicus ")</f>
        <v xml:space="preserve">Copernicus </v>
      </c>
      <c r="I699" s="31" t="str">
        <f>IF(ISERROR(FIND("Deneb",TR!F699)),"","Deneb ")</f>
        <v xml:space="preserve">Deneb </v>
      </c>
      <c r="J699" s="37" t="str">
        <f t="shared" si="12"/>
        <v xml:space="preserve">Adara Copernicus Deneb </v>
      </c>
      <c r="K699" s="31" t="str">
        <f>IF(ISBLANK(TR!G699),"",TR!G699)</f>
        <v/>
      </c>
      <c r="L699" s="31" t="str">
        <f>IF(ISBLANK(TR!H699),"",TR!H699)</f>
        <v>FR-DSRSW-1422</v>
      </c>
      <c r="M699" s="30" t="str">
        <f>TR!J699</f>
        <v>Approved</v>
      </c>
      <c r="N699" s="31" t="str">
        <f>IF(OR(M699="Modified",M699="Cosmetic"),VLOOKUP(B699,PrevPFS!B$1:E$833,4,FALSE),"")</f>
        <v/>
      </c>
    </row>
    <row r="700" spans="1:14" ht="45" x14ac:dyDescent="0.25">
      <c r="A700" s="31" t="str">
        <f>IF(ISNONTEXT(TR!K700),"",TR!K700)</f>
        <v>TR-0-VCPIG-FPR-1011</v>
      </c>
      <c r="B700" s="32" t="str">
        <f>TR!A700</f>
        <v>TR-DSRSW-2014</v>
      </c>
      <c r="C700" s="31" t="b">
        <f>ISERROR(FIND("-",TR!B700))</f>
        <v>0</v>
      </c>
      <c r="D700" s="31">
        <f>SetIndent(E700,(TR!C700-1)*2)</f>
        <v>4</v>
      </c>
      <c r="E700" s="35" t="str">
        <f>IF(ISERROR(FIND("-",TR!B700)),TR!B700&amp;" "&amp;TR!D700,TR!D700)</f>
        <v>The product SHALL be capable of altering the native aspect ratio of the scaled video service being displayed.</v>
      </c>
      <c r="F700" s="31" t="str">
        <f>TR!E700</f>
        <v>Req</v>
      </c>
      <c r="G700" s="31" t="str">
        <f>IF(ISERROR(FIND("Adara",TR!F700)),"","Adara ")</f>
        <v xml:space="preserve">Adara </v>
      </c>
      <c r="H700" s="31" t="str">
        <f>IF(ISERROR(FIND("Copernicus",TR!F700)),"","Copernicus ")</f>
        <v xml:space="preserve">Copernicus </v>
      </c>
      <c r="I700" s="31" t="str">
        <f>IF(ISERROR(FIND("Deneb",TR!F700)),"","Deneb ")</f>
        <v xml:space="preserve">Deneb </v>
      </c>
      <c r="J700" s="37" t="str">
        <f t="shared" si="12"/>
        <v xml:space="preserve">Adara Copernicus Deneb </v>
      </c>
      <c r="K700" s="31" t="str">
        <f>IF(ISBLANK(TR!G700),"",TR!G700)</f>
        <v/>
      </c>
      <c r="L700" s="31" t="str">
        <f>IF(ISBLANK(TR!H700),"",TR!H700)</f>
        <v>FR-DSRSW-1422</v>
      </c>
      <c r="M700" s="30" t="str">
        <f>TR!J700</f>
        <v>Approved</v>
      </c>
      <c r="N700" s="31" t="str">
        <f>IF(OR(M700="Modified",M700="Cosmetic"),VLOOKUP(B700,PrevPFS!B$1:E$833,4,FALSE),"")</f>
        <v/>
      </c>
    </row>
    <row r="701" spans="1:14" ht="45" x14ac:dyDescent="0.25">
      <c r="A701" s="31" t="str">
        <f>IF(ISNONTEXT(TR!K701),"",TR!K701)</f>
        <v>TR-0-VCPIG-FPR-1012</v>
      </c>
      <c r="B701" s="32" t="str">
        <f>TR!A701</f>
        <v>TR-DSRSW-2015</v>
      </c>
      <c r="C701" s="31" t="b">
        <f>ISERROR(FIND("-",TR!B701))</f>
        <v>0</v>
      </c>
      <c r="D701" s="31">
        <f>SetIndent(E701,(TR!C701-1)*2)</f>
        <v>4</v>
      </c>
      <c r="E701" s="35" t="str">
        <f>IF(ISERROR(FIND("-",TR!B701)),TR!B701&amp;" "&amp;TR!D701,TR!D701)</f>
        <v>The product SHALL be capable of placing the scaled video service at any location on the visible display surface such that no portion of the scaled video service is located outside of the visible display region.</v>
      </c>
      <c r="F701" s="31" t="str">
        <f>TR!E701</f>
        <v>Req</v>
      </c>
      <c r="G701" s="31" t="str">
        <f>IF(ISERROR(FIND("Adara",TR!F701)),"","Adara ")</f>
        <v xml:space="preserve">Adara </v>
      </c>
      <c r="H701" s="31" t="str">
        <f>IF(ISERROR(FIND("Copernicus",TR!F701)),"","Copernicus ")</f>
        <v xml:space="preserve">Copernicus </v>
      </c>
      <c r="I701" s="31" t="str">
        <f>IF(ISERROR(FIND("Deneb",TR!F701)),"","Deneb ")</f>
        <v xml:space="preserve">Deneb </v>
      </c>
      <c r="J701" s="37" t="str">
        <f t="shared" si="12"/>
        <v xml:space="preserve">Adara Copernicus Deneb </v>
      </c>
      <c r="K701" s="31" t="str">
        <f>IF(ISBLANK(TR!G701),"",TR!G701)</f>
        <v/>
      </c>
      <c r="L701" s="31" t="str">
        <f>IF(ISBLANK(TR!H701),"",TR!H701)</f>
        <v>FR-DSRSW-1422</v>
      </c>
      <c r="M701" s="30" t="str">
        <f>TR!J701</f>
        <v>Approved</v>
      </c>
      <c r="N701" s="31" t="str">
        <f>IF(OR(M701="Modified",M701="Cosmetic"),VLOOKUP(B701,PrevPFS!B$1:E$833,4,FALSE),"")</f>
        <v/>
      </c>
    </row>
    <row r="702" spans="1:14" ht="45" x14ac:dyDescent="0.25">
      <c r="A702" s="31" t="str">
        <f>IF(ISNONTEXT(TR!K702),"",TR!K702)</f>
        <v>TR-0-VCPIG-FPR-1013</v>
      </c>
      <c r="B702" s="32" t="str">
        <f>TR!A702</f>
        <v>TR-DSRSW-2016</v>
      </c>
      <c r="C702" s="31" t="b">
        <f>ISERROR(FIND("-",TR!B702))</f>
        <v>0</v>
      </c>
      <c r="D702" s="31">
        <f>SetIndent(E702,(TR!C702-1)*2)</f>
        <v>4</v>
      </c>
      <c r="E702" s="35" t="str">
        <f>IF(ISERROR(FIND("-",TR!B702)),TR!B702&amp;" "&amp;TR!D702,TR!D702)</f>
        <v>The product SHALL be capable of non-linear scaling to provide full screen display of 4:3 content on 16:9 TVs.</v>
      </c>
      <c r="F702" s="31" t="str">
        <f>TR!E702</f>
        <v>Req</v>
      </c>
      <c r="G702" s="31" t="str">
        <f>IF(ISERROR(FIND("Adara",TR!F702)),"","Adara ")</f>
        <v xml:space="preserve">Adara </v>
      </c>
      <c r="H702" s="31" t="str">
        <f>IF(ISERROR(FIND("Copernicus",TR!F702)),"","Copernicus ")</f>
        <v xml:space="preserve">Copernicus </v>
      </c>
      <c r="I702" s="31" t="str">
        <f>IF(ISERROR(FIND("Deneb",TR!F702)),"","Deneb ")</f>
        <v xml:space="preserve">Deneb </v>
      </c>
      <c r="J702" s="37" t="str">
        <f t="shared" si="12"/>
        <v xml:space="preserve">Adara Copernicus Deneb </v>
      </c>
      <c r="K702" s="31" t="str">
        <f>IF(ISBLANK(TR!G702),"",TR!G702)</f>
        <v/>
      </c>
      <c r="L702" s="31" t="str">
        <f>IF(ISBLANK(TR!H702),"",TR!H702)</f>
        <v>FR-DSRSW-1422</v>
      </c>
      <c r="M702" s="30" t="str">
        <f>TR!J702</f>
        <v>Approved</v>
      </c>
      <c r="N702" s="31" t="str">
        <f>IF(OR(M702="Modified",M702="Cosmetic"),VLOOKUP(B702,PrevPFS!B$1:E$833,4,FALSE),"")</f>
        <v/>
      </c>
    </row>
    <row r="703" spans="1:14" ht="45" x14ac:dyDescent="0.25">
      <c r="A703" s="31" t="str">
        <f>IF(ISNONTEXT(TR!K703),"",TR!K703)</f>
        <v>TR-0-VCPIG-FPR-1018</v>
      </c>
      <c r="B703" s="32" t="str">
        <f>TR!A703</f>
        <v>TR-DSRSW-2017</v>
      </c>
      <c r="C703" s="31" t="b">
        <f>ISERROR(FIND("-",TR!B703))</f>
        <v>0</v>
      </c>
      <c r="D703" s="31">
        <f>SetIndent(E703,(TR!C703-1)*2)</f>
        <v>4</v>
      </c>
      <c r="E703" s="35" t="str">
        <f>IF(ISERROR(FIND("-",TR!B703)),TR!B703&amp;" "&amp;TR!D703,TR!D703)</f>
        <v>The product SHALL be capable of setting the scaling factor of the PIG video service under control of the platform software.</v>
      </c>
      <c r="F703" s="31" t="str">
        <f>TR!E703</f>
        <v>Req</v>
      </c>
      <c r="G703" s="31" t="str">
        <f>IF(ISERROR(FIND("Adara",TR!F703)),"","Adara ")</f>
        <v xml:space="preserve">Adara </v>
      </c>
      <c r="H703" s="31" t="str">
        <f>IF(ISERROR(FIND("Copernicus",TR!F703)),"","Copernicus ")</f>
        <v xml:space="preserve">Copernicus </v>
      </c>
      <c r="I703" s="31" t="str">
        <f>IF(ISERROR(FIND("Deneb",TR!F703)),"","Deneb ")</f>
        <v xml:space="preserve">Deneb </v>
      </c>
      <c r="J703" s="37" t="str">
        <f t="shared" si="12"/>
        <v xml:space="preserve">Adara Copernicus Deneb </v>
      </c>
      <c r="K703" s="31" t="str">
        <f>IF(ISBLANK(TR!G703),"",TR!G703)</f>
        <v/>
      </c>
      <c r="L703" s="31" t="str">
        <f>IF(ISBLANK(TR!H703),"",TR!H703)</f>
        <v>FR-DSRSW-1422</v>
      </c>
      <c r="M703" s="30" t="str">
        <f>TR!J703</f>
        <v>Approved</v>
      </c>
      <c r="N703" s="31" t="str">
        <f>IF(OR(M703="Modified",M703="Cosmetic"),VLOOKUP(B703,PrevPFS!B$1:E$833,4,FALSE),"")</f>
        <v/>
      </c>
    </row>
    <row r="704" spans="1:14" ht="45" x14ac:dyDescent="0.25">
      <c r="A704" s="31" t="str">
        <f>IF(ISNONTEXT(TR!K704),"",TR!K704)</f>
        <v>TR-0-VCPIG-FPR-1026</v>
      </c>
      <c r="B704" s="32" t="str">
        <f>TR!A704</f>
        <v>TR-DSRSW-2018</v>
      </c>
      <c r="C704" s="31" t="b">
        <f>ISERROR(FIND("-",TR!B704))</f>
        <v>0</v>
      </c>
      <c r="D704" s="31">
        <f>SetIndent(E704,(TR!C704-1)*2)</f>
        <v>4</v>
      </c>
      <c r="E704" s="35" t="str">
        <f>IF(ISERROR(FIND("-",TR!B704)),TR!B704&amp;" "&amp;TR!D704,TR!D704)</f>
        <v>The product SHALL be capable of setting the location of the PIG video service under control of the platform software.</v>
      </c>
      <c r="F704" s="31" t="str">
        <f>TR!E704</f>
        <v>Req</v>
      </c>
      <c r="G704" s="31" t="str">
        <f>IF(ISERROR(FIND("Adara",TR!F704)),"","Adara ")</f>
        <v xml:space="preserve">Adara </v>
      </c>
      <c r="H704" s="31" t="str">
        <f>IF(ISERROR(FIND("Copernicus",TR!F704)),"","Copernicus ")</f>
        <v xml:space="preserve">Copernicus </v>
      </c>
      <c r="I704" s="31" t="str">
        <f>IF(ISERROR(FIND("Deneb",TR!F704)),"","Deneb ")</f>
        <v xml:space="preserve">Deneb </v>
      </c>
      <c r="J704" s="37" t="str">
        <f t="shared" si="12"/>
        <v xml:space="preserve">Adara Copernicus Deneb </v>
      </c>
      <c r="K704" s="31" t="str">
        <f>IF(ISBLANK(TR!G704),"",TR!G704)</f>
        <v/>
      </c>
      <c r="L704" s="31" t="str">
        <f>IF(ISBLANK(TR!H704),"",TR!H704)</f>
        <v>FR-DSRSW-1422</v>
      </c>
      <c r="M704" s="30" t="str">
        <f>TR!J704</f>
        <v>Approved</v>
      </c>
      <c r="N704" s="31" t="str">
        <f>IF(OR(M704="Modified",M704="Cosmetic"),VLOOKUP(B704,PrevPFS!B$1:E$833,4,FALSE),"")</f>
        <v/>
      </c>
    </row>
    <row r="705" spans="1:14" ht="45" x14ac:dyDescent="0.25">
      <c r="A705" s="31" t="str">
        <f>IF(ISNONTEXT(TR!K705),"",TR!K705)</f>
        <v/>
      </c>
      <c r="B705" s="32" t="str">
        <f>TR!A705</f>
        <v>TR-DSRSW-2019</v>
      </c>
      <c r="C705" s="31" t="b">
        <f>ISERROR(FIND("-",TR!B705))</f>
        <v>1</v>
      </c>
      <c r="D705" s="31">
        <f>SetIndent(E705,(TR!C705-1)*2)</f>
        <v>2</v>
      </c>
      <c r="E705" s="34" t="str">
        <f>IF(ISERROR(FIND("-",TR!B705)),TR!B705&amp;" "&amp;TR!D705,TR!D705)</f>
        <v>26.2 Stretch and Zoom Control</v>
      </c>
      <c r="F705" s="31" t="str">
        <f>TR!E705</f>
        <v>Hdr</v>
      </c>
      <c r="G705" s="31" t="str">
        <f>IF(ISERROR(FIND("Adara",TR!F705)),"","Adara ")</f>
        <v xml:space="preserve">Adara </v>
      </c>
      <c r="H705" s="31" t="str">
        <f>IF(ISERROR(FIND("Copernicus",TR!F705)),"","Copernicus ")</f>
        <v xml:space="preserve">Copernicus </v>
      </c>
      <c r="I705" s="31" t="str">
        <f>IF(ISERROR(FIND("Deneb",TR!F705)),"","Deneb ")</f>
        <v xml:space="preserve">Deneb </v>
      </c>
      <c r="J705" s="37" t="str">
        <f t="shared" si="12"/>
        <v xml:space="preserve">Adara Copernicus Deneb </v>
      </c>
      <c r="K705" s="31" t="str">
        <f>IF(ISBLANK(TR!G705),"",TR!G705)</f>
        <v/>
      </c>
      <c r="L705" s="31" t="str">
        <f>IF(ISBLANK(TR!H705),"",TR!H705)</f>
        <v>FR-DSRSW-1424</v>
      </c>
      <c r="M705" s="30" t="str">
        <f>TR!J705</f>
        <v>Approved</v>
      </c>
      <c r="N705" s="31" t="str">
        <f>IF(OR(M705="Modified",M705="Cosmetic"),VLOOKUP(B705,PrevPFS!B$1:E$833,4,FALSE),"")</f>
        <v/>
      </c>
    </row>
    <row r="706" spans="1:14" ht="75" x14ac:dyDescent="0.25">
      <c r="A706" s="31" t="str">
        <f>IF(ISNONTEXT(TR!K706),"",TR!K706)</f>
        <v/>
      </c>
      <c r="B706" s="32" t="str">
        <f>TR!A706</f>
        <v>TR-DSRSW-2021</v>
      </c>
      <c r="C706" s="31" t="b">
        <f>ISERROR(FIND("-",TR!B706))</f>
        <v>0</v>
      </c>
      <c r="D706" s="31">
        <f>SetIndent(E706,(TR!C706-1)*2)</f>
        <v>4</v>
      </c>
      <c r="E706" s="35" t="str">
        <f>IF(ISERROR(FIND("-",TR!B706)),TR!B706&amp;" "&amp;TR!D706,TR!D706)</f>
        <v>The 4:3 Stretch feature is associated with 4:3 source content.   
The 16:9 Zoom feature is associated with 16:9 source content.  
Likewise:
"Stretch Mode" refers to manipulation of 4:3 source video.
"Zoom Mode" refers to manipulation of 16:9 source video.</v>
      </c>
      <c r="F706" s="31" t="str">
        <f>TR!E706</f>
        <v>Com</v>
      </c>
      <c r="G706" s="31" t="str">
        <f>IF(ISERROR(FIND("Adara",TR!F706)),"","Adara ")</f>
        <v xml:space="preserve">Adara </v>
      </c>
      <c r="H706" s="31" t="str">
        <f>IF(ISERROR(FIND("Copernicus",TR!F706)),"","Copernicus ")</f>
        <v xml:space="preserve">Copernicus </v>
      </c>
      <c r="I706" s="31" t="str">
        <f>IF(ISERROR(FIND("Deneb",TR!F706)),"","Deneb ")</f>
        <v xml:space="preserve">Deneb </v>
      </c>
      <c r="J706" s="37" t="str">
        <f t="shared" si="12"/>
        <v xml:space="preserve">Adara Copernicus Deneb </v>
      </c>
      <c r="K706" s="31" t="str">
        <f>IF(ISBLANK(TR!G706),"",TR!G706)</f>
        <v/>
      </c>
      <c r="L706" s="31" t="str">
        <f>IF(ISBLANK(TR!H706),"",TR!H706)</f>
        <v>FR-DSRSW-1424</v>
      </c>
      <c r="M706" s="30" t="str">
        <f>TR!J706</f>
        <v>Approved</v>
      </c>
      <c r="N706" s="31" t="str">
        <f>IF(OR(M706="Modified",M706="Cosmetic"),VLOOKUP(B706,PrevPFS!B$1:E$833,4,FALSE),"")</f>
        <v/>
      </c>
    </row>
    <row r="707" spans="1:14" ht="45" x14ac:dyDescent="0.25">
      <c r="A707" s="31" t="str">
        <f>IF(ISNONTEXT(TR!K707),"",TR!K707)</f>
        <v/>
      </c>
      <c r="B707" s="32" t="str">
        <f>TR!A707</f>
        <v>TR-DSRSW-2023</v>
      </c>
      <c r="C707" s="31" t="b">
        <f>ISERROR(FIND("-",TR!B707))</f>
        <v>1</v>
      </c>
      <c r="D707" s="31">
        <f>SetIndent(E707,(TR!C707-1)*2)</f>
        <v>4</v>
      </c>
      <c r="E707" s="35" t="str">
        <f>IF(ISERROR(FIND("-",TR!B707)),TR!B707&amp;" "&amp;TR!D707,TR!D707)</f>
        <v>26.2.1 4:3 Source Stretch UI</v>
      </c>
      <c r="F707" s="31" t="str">
        <f>TR!E707</f>
        <v>Hdr</v>
      </c>
      <c r="G707" s="31" t="str">
        <f>IF(ISERROR(FIND("Adara",TR!F707)),"","Adara ")</f>
        <v xml:space="preserve">Adara </v>
      </c>
      <c r="H707" s="31" t="str">
        <f>IF(ISERROR(FIND("Copernicus",TR!F707)),"","Copernicus ")</f>
        <v xml:space="preserve">Copernicus </v>
      </c>
      <c r="I707" s="31" t="str">
        <f>IF(ISERROR(FIND("Deneb",TR!F707)),"","Deneb ")</f>
        <v xml:space="preserve">Deneb </v>
      </c>
      <c r="J707" s="37" t="str">
        <f t="shared" si="12"/>
        <v xml:space="preserve">Adara Copernicus Deneb </v>
      </c>
      <c r="K707" s="31" t="str">
        <f>IF(ISBLANK(TR!G707),"",TR!G707)</f>
        <v/>
      </c>
      <c r="L707" s="31" t="str">
        <f>IF(ISBLANK(TR!H707),"",TR!H707)</f>
        <v>FR-DSRSW-1424</v>
      </c>
      <c r="M707" s="30" t="str">
        <f>TR!J707</f>
        <v>Approved</v>
      </c>
      <c r="N707" s="31" t="str">
        <f>IF(OR(M707="Modified",M707="Cosmetic"),VLOOKUP(B707,PrevPFS!B$1:E$833,4,FALSE),"")</f>
        <v/>
      </c>
    </row>
    <row r="708" spans="1:14" ht="45" x14ac:dyDescent="0.25">
      <c r="A708" s="31" t="str">
        <f>IF(ISNONTEXT(TR!K708),"",TR!K708)</f>
        <v/>
      </c>
      <c r="B708" s="32" t="str">
        <f>TR!A708</f>
        <v>TR-DSRSW-2492</v>
      </c>
      <c r="C708" s="31" t="b">
        <f>ISERROR(FIND("-",TR!B708))</f>
        <v>0</v>
      </c>
      <c r="D708" s="31">
        <f>SetIndent(E708,(TR!C708-1)*2)</f>
        <v>6</v>
      </c>
      <c r="E708" s="38" t="str">
        <f>IF(ISERROR(FIND("-",TR!B708)),TR!B708&amp;" "&amp;TR!D708,TR!D708)</f>
        <v>The following requirements are associated with the user interface for the 4:3 Stretch Feature</v>
      </c>
      <c r="F708" s="31" t="str">
        <f>TR!E708</f>
        <v>Com</v>
      </c>
      <c r="G708" s="31" t="str">
        <f>IF(ISERROR(FIND("Adara",TR!F708)),"","Adara ")</f>
        <v xml:space="preserve">Adara </v>
      </c>
      <c r="H708" s="31" t="str">
        <f>IF(ISERROR(FIND("Copernicus",TR!F708)),"","Copernicus ")</f>
        <v xml:space="preserve">Copernicus </v>
      </c>
      <c r="I708" s="31" t="str">
        <f>IF(ISERROR(FIND("Deneb",TR!F708)),"","Deneb ")</f>
        <v xml:space="preserve">Deneb </v>
      </c>
      <c r="J708" s="37" t="str">
        <f t="shared" si="12"/>
        <v xml:space="preserve">Adara Copernicus Deneb </v>
      </c>
      <c r="K708" s="31" t="str">
        <f>IF(ISBLANK(TR!G708),"",TR!G708)</f>
        <v/>
      </c>
      <c r="L708" s="31" t="str">
        <f>IF(ISBLANK(TR!H708),"",TR!H708)</f>
        <v/>
      </c>
      <c r="M708" s="30" t="str">
        <f>TR!J708</f>
        <v>Approved</v>
      </c>
      <c r="N708" s="31" t="str">
        <f>IF(OR(M708="Modified",M708="Cosmetic"),VLOOKUP(B708,PrevPFS!B$1:E$833,4,FALSE),"")</f>
        <v/>
      </c>
    </row>
    <row r="709" spans="1:14" ht="45" x14ac:dyDescent="0.25">
      <c r="A709" s="31" t="str">
        <f>IF(ISNONTEXT(TR!K709),"",TR!K709)</f>
        <v>TR-0-VCST_ZM-FPR-1024</v>
      </c>
      <c r="B709" s="32" t="str">
        <f>TR!A709</f>
        <v>TR-DSRSW-2024</v>
      </c>
      <c r="C709" s="31" t="b">
        <f>ISERROR(FIND("-",TR!B709))</f>
        <v>0</v>
      </c>
      <c r="D709" s="31">
        <f>SetIndent(E709,(TR!C709-1)*2)</f>
        <v>6</v>
      </c>
      <c r="E709" s="38" t="str">
        <f>IF(ISERROR(FIND("-",TR!B709)),TR!B709&amp;" "&amp;TR!D709,TR!D709)</f>
        <v>The product SHALL provide a mechanism for an IR remote control unit to cycle through the available stretch/zoom modes, using a dedicated button with a unique IR keycode that is identical for 4:3 stretch and 16:9 Zoom.</v>
      </c>
      <c r="F709" s="31" t="str">
        <f>TR!E709</f>
        <v>Req</v>
      </c>
      <c r="G709" s="31" t="str">
        <f>IF(ISERROR(FIND("Adara",TR!F709)),"","Adara ")</f>
        <v xml:space="preserve">Adara </v>
      </c>
      <c r="H709" s="31" t="str">
        <f>IF(ISERROR(FIND("Copernicus",TR!F709)),"","Copernicus ")</f>
        <v xml:space="preserve">Copernicus </v>
      </c>
      <c r="I709" s="31" t="str">
        <f>IF(ISERROR(FIND("Deneb",TR!F709)),"","Deneb ")</f>
        <v xml:space="preserve">Deneb </v>
      </c>
      <c r="J709" s="37" t="str">
        <f t="shared" si="12"/>
        <v xml:space="preserve">Adara Copernicus Deneb </v>
      </c>
      <c r="K709" s="31" t="str">
        <f>IF(ISBLANK(TR!G709),"",TR!G709)</f>
        <v/>
      </c>
      <c r="L709" s="31" t="str">
        <f>IF(ISBLANK(TR!H709),"",TR!H709)</f>
        <v>FR-DSRSW-1424</v>
      </c>
      <c r="M709" s="30" t="str">
        <f>TR!J709</f>
        <v>Approved</v>
      </c>
      <c r="N709" s="31" t="str">
        <f>IF(OR(M709="Modified",M709="Cosmetic"),VLOOKUP(B709,PrevPFS!B$1:E$833,4,FALSE),"")</f>
        <v/>
      </c>
    </row>
    <row r="710" spans="1:14" ht="45" x14ac:dyDescent="0.25">
      <c r="A710" s="31" t="str">
        <f>IF(ISNONTEXT(TR!K710),"",TR!K710)</f>
        <v/>
      </c>
      <c r="B710" s="32" t="str">
        <f>TR!A710</f>
        <v>TR-DSRSW-2025</v>
      </c>
      <c r="C710" s="31" t="b">
        <f>ISERROR(FIND("-",TR!B710))</f>
        <v>1</v>
      </c>
      <c r="D710" s="31">
        <f>SetIndent(E710,(TR!C710-1)*2)</f>
        <v>4</v>
      </c>
      <c r="E710" s="35" t="str">
        <f>IF(ISERROR(FIND("-",TR!B710)),TR!B710&amp;" "&amp;TR!D710,TR!D710)</f>
        <v>26.2.2 4:3 Source Stretch Presentation</v>
      </c>
      <c r="F710" s="31" t="str">
        <f>TR!E710</f>
        <v>Hdr</v>
      </c>
      <c r="G710" s="31" t="str">
        <f>IF(ISERROR(FIND("Adara",TR!F710)),"","Adara ")</f>
        <v xml:space="preserve">Adara </v>
      </c>
      <c r="H710" s="31" t="str">
        <f>IF(ISERROR(FIND("Copernicus",TR!F710)),"","Copernicus ")</f>
        <v xml:space="preserve">Copernicus </v>
      </c>
      <c r="I710" s="31" t="str">
        <f>IF(ISERROR(FIND("Deneb",TR!F710)),"","Deneb ")</f>
        <v xml:space="preserve">Deneb </v>
      </c>
      <c r="J710" s="37" t="str">
        <f t="shared" si="12"/>
        <v xml:space="preserve">Adara Copernicus Deneb </v>
      </c>
      <c r="K710" s="31" t="str">
        <f>IF(ISBLANK(TR!G710),"",TR!G710)</f>
        <v/>
      </c>
      <c r="L710" s="31" t="str">
        <f>IF(ISBLANK(TR!H710),"",TR!H710)</f>
        <v>FR-DSRSW-1424</v>
      </c>
      <c r="M710" s="30" t="str">
        <f>TR!J710</f>
        <v>Approved</v>
      </c>
      <c r="N710" s="31" t="str">
        <f>IF(OR(M710="Modified",M710="Cosmetic"),VLOOKUP(B710,PrevPFS!B$1:E$833,4,FALSE),"")</f>
        <v/>
      </c>
    </row>
    <row r="711" spans="1:14" ht="45" x14ac:dyDescent="0.25">
      <c r="A711" s="31" t="str">
        <f>IF(ISNONTEXT(TR!K711),"",TR!K711)</f>
        <v>TR-0-VCST_ZM-FPR-1032</v>
      </c>
      <c r="B711" s="32" t="str">
        <f>TR!A711</f>
        <v>TR-DSRSW-2026</v>
      </c>
      <c r="C711" s="31" t="b">
        <f>ISERROR(FIND("-",TR!B711))</f>
        <v>0</v>
      </c>
      <c r="D711" s="31">
        <f>SetIndent(E711,(TR!C711-1)*2)</f>
        <v>6</v>
      </c>
      <c r="E711" s="38" t="str">
        <f>IF(ISERROR(FIND("-",TR!B711)),TR!B711&amp;" "&amp;TR!D711,TR!D711)</f>
        <v>The product SHALL retain any graphics overlaid upon the stretched video in an as-is condition, without stretching the graphics. Note: The said graphics includes flip bars, program listings, closed captions, or other rendered graphical attributes.</v>
      </c>
      <c r="F711" s="31" t="str">
        <f>TR!E711</f>
        <v>Req</v>
      </c>
      <c r="G711" s="31" t="str">
        <f>IF(ISERROR(FIND("Adara",TR!F711)),"","Adara ")</f>
        <v xml:space="preserve">Adara </v>
      </c>
      <c r="H711" s="31" t="str">
        <f>IF(ISERROR(FIND("Copernicus",TR!F711)),"","Copernicus ")</f>
        <v xml:space="preserve">Copernicus </v>
      </c>
      <c r="I711" s="31" t="str">
        <f>IF(ISERROR(FIND("Deneb",TR!F711)),"","Deneb ")</f>
        <v xml:space="preserve">Deneb </v>
      </c>
      <c r="J711" s="37" t="str">
        <f t="shared" si="12"/>
        <v xml:space="preserve">Adara Copernicus Deneb </v>
      </c>
      <c r="K711" s="31" t="str">
        <f>IF(ISBLANK(TR!G711),"",TR!G711)</f>
        <v/>
      </c>
      <c r="L711" s="31" t="str">
        <f>IF(ISBLANK(TR!H711),"",TR!H711)</f>
        <v>FR-DSRSW-1424</v>
      </c>
      <c r="M711" s="30" t="str">
        <f>TR!J711</f>
        <v>Approved</v>
      </c>
      <c r="N711" s="31" t="str">
        <f>IF(OR(M711="Modified",M711="Cosmetic"),VLOOKUP(B711,PrevPFS!B$1:E$833,4,FALSE),"")</f>
        <v/>
      </c>
    </row>
    <row r="712" spans="1:14" ht="45" x14ac:dyDescent="0.25">
      <c r="A712" s="31" t="str">
        <f>IF(ISNONTEXT(TR!K712),"",TR!K712)</f>
        <v/>
      </c>
      <c r="B712" s="32" t="str">
        <f>TR!A712</f>
        <v>TR-DSRSW-2029</v>
      </c>
      <c r="C712" s="31" t="b">
        <f>ISERROR(FIND("-",TR!B712))</f>
        <v>1</v>
      </c>
      <c r="D712" s="31">
        <f>SetIndent(E712,(TR!C712-1)*2)</f>
        <v>4</v>
      </c>
      <c r="E712" s="35" t="str">
        <f>IF(ISERROR(FIND("-",TR!B712)),TR!B712&amp;" "&amp;TR!D712,TR!D712)</f>
        <v>26.2.3 4:3 Source Stretch Modes</v>
      </c>
      <c r="F712" s="31" t="str">
        <f>TR!E712</f>
        <v>Hdr</v>
      </c>
      <c r="G712" s="31" t="str">
        <f>IF(ISERROR(FIND("Adara",TR!F712)),"","Adara ")</f>
        <v xml:space="preserve">Adara </v>
      </c>
      <c r="H712" s="31" t="str">
        <f>IF(ISERROR(FIND("Copernicus",TR!F712)),"","Copernicus ")</f>
        <v xml:space="preserve">Copernicus </v>
      </c>
      <c r="I712" s="31" t="str">
        <f>IF(ISERROR(FIND("Deneb",TR!F712)),"","Deneb ")</f>
        <v xml:space="preserve">Deneb </v>
      </c>
      <c r="J712" s="37" t="str">
        <f t="shared" si="12"/>
        <v xml:space="preserve">Adara Copernicus Deneb </v>
      </c>
      <c r="K712" s="31" t="str">
        <f>IF(ISBLANK(TR!G712),"",TR!G712)</f>
        <v/>
      </c>
      <c r="L712" s="31" t="str">
        <f>IF(ISBLANK(TR!H712),"",TR!H712)</f>
        <v>FR-DSRSW-1424</v>
      </c>
      <c r="M712" s="30" t="str">
        <f>TR!J712</f>
        <v>Approved</v>
      </c>
      <c r="N712" s="31" t="str">
        <f>IF(OR(M712="Modified",M712="Cosmetic"),VLOOKUP(B712,PrevPFS!B$1:E$833,4,FALSE),"")</f>
        <v/>
      </c>
    </row>
    <row r="713" spans="1:14" ht="90" x14ac:dyDescent="0.25">
      <c r="A713" s="31" t="str">
        <f>IF(ISNONTEXT(TR!K713),"",TR!K713)</f>
        <v/>
      </c>
      <c r="B713" s="32" t="str">
        <f>TR!A713</f>
        <v>TR-DSRSW-2493</v>
      </c>
      <c r="C713" s="31" t="b">
        <f>ISERROR(FIND("-",TR!B713))</f>
        <v>0</v>
      </c>
      <c r="D713" s="31">
        <f>SetIndent(E713,(TR!C713-1)*2)</f>
        <v>6</v>
      </c>
      <c r="E713" s="38" t="str">
        <f>IF(ISERROR(FIND("-",TR!B713)),TR!B713&amp;" "&amp;TR!D713,TR!D713)</f>
        <v>The following requirements are associated with the various stretch modes that are available to be applied to native 4:3 SD video as part of the ASTB 4:3 Stretch Feature. The requirement is to offer "incremental" modes tied to an "aspect" key press. The same user interface of "aspect" key is valid for both stretch and zoom features. The product shall provide the following unique stretch modes that may be applied to native 4:3 video content.</v>
      </c>
      <c r="F713" s="31" t="str">
        <f>TR!E713</f>
        <v>Com</v>
      </c>
      <c r="G713" s="31" t="str">
        <f>IF(ISERROR(FIND("Adara",TR!F713)),"","Adara ")</f>
        <v xml:space="preserve">Adara </v>
      </c>
      <c r="H713" s="31" t="str">
        <f>IF(ISERROR(FIND("Copernicus",TR!F713)),"","Copernicus ")</f>
        <v xml:space="preserve">Copernicus </v>
      </c>
      <c r="I713" s="31" t="str">
        <f>IF(ISERROR(FIND("Deneb",TR!F713)),"","Deneb ")</f>
        <v xml:space="preserve">Deneb </v>
      </c>
      <c r="J713" s="37" t="str">
        <f t="shared" si="12"/>
        <v xml:space="preserve">Adara Copernicus Deneb </v>
      </c>
      <c r="K713" s="31" t="str">
        <f>IF(ISBLANK(TR!G713),"",TR!G713)</f>
        <v/>
      </c>
      <c r="L713" s="31" t="str">
        <f>IF(ISBLANK(TR!H713),"",TR!H713)</f>
        <v/>
      </c>
      <c r="M713" s="30" t="str">
        <f>TR!J713</f>
        <v>Approved</v>
      </c>
      <c r="N713" s="31" t="str">
        <f>IF(OR(M713="Modified",M713="Cosmetic"),VLOOKUP(B713,PrevPFS!B$1:E$833,4,FALSE),"")</f>
        <v/>
      </c>
    </row>
    <row r="714" spans="1:14" ht="45" x14ac:dyDescent="0.25">
      <c r="A714" s="31" t="str">
        <f>IF(ISNONTEXT(TR!K714),"",TR!K714)</f>
        <v>TR-0-VCST_ZM-FPR-1186</v>
      </c>
      <c r="B714" s="32" t="str">
        <f>TR!A714</f>
        <v>TR-DSRSW-2030</v>
      </c>
      <c r="C714" s="31" t="b">
        <f>ISERROR(FIND("-",TR!B714))</f>
        <v>0</v>
      </c>
      <c r="D714" s="31">
        <f>SetIndent(E714,(TR!C714-1)*2)</f>
        <v>6</v>
      </c>
      <c r="E714" s="38" t="str">
        <f>IF(ISERROR(FIND("-",TR!B714)),TR!B714&amp;" "&amp;TR!D714,TR!D714)</f>
        <v xml:space="preserve">The product SHALL provide Stretch Mode #1: No Stretch. This mode produces a 16:9 output by creating a pillarbox display using the tuned (or otherwise presented) 4:3 video. The default screen-friendly name for this mode shall be "Normal." </v>
      </c>
      <c r="F714" s="31" t="str">
        <f>TR!E714</f>
        <v>Req</v>
      </c>
      <c r="G714" s="31" t="str">
        <f>IF(ISERROR(FIND("Adara",TR!F714)),"","Adara ")</f>
        <v xml:space="preserve">Adara </v>
      </c>
      <c r="H714" s="31" t="str">
        <f>IF(ISERROR(FIND("Copernicus",TR!F714)),"","Copernicus ")</f>
        <v xml:space="preserve">Copernicus </v>
      </c>
      <c r="I714" s="31" t="str">
        <f>IF(ISERROR(FIND("Deneb",TR!F714)),"","Deneb ")</f>
        <v xml:space="preserve">Deneb </v>
      </c>
      <c r="J714" s="37" t="str">
        <f t="shared" si="12"/>
        <v xml:space="preserve">Adara Copernicus Deneb </v>
      </c>
      <c r="K714" s="31" t="str">
        <f>IF(ISBLANK(TR!G714),"",TR!G714)</f>
        <v/>
      </c>
      <c r="L714" s="31" t="str">
        <f>IF(ISBLANK(TR!H714),"",TR!H714)</f>
        <v>FR-DSRSW-1424</v>
      </c>
      <c r="M714" s="30" t="str">
        <f>TR!J714</f>
        <v>Approved</v>
      </c>
      <c r="N714" s="31" t="str">
        <f>IF(OR(M714="Modified",M714="Cosmetic"),VLOOKUP(B714,PrevPFS!B$1:E$833,4,FALSE),"")</f>
        <v/>
      </c>
    </row>
    <row r="715" spans="1:14" ht="45" x14ac:dyDescent="0.25">
      <c r="A715" s="31" t="str">
        <f>IF(ISNONTEXT(TR!K715),"",TR!K715)</f>
        <v/>
      </c>
      <c r="B715" s="32" t="str">
        <f>TR!A715</f>
        <v>TR-DSRSW-2031</v>
      </c>
      <c r="C715" s="31" t="b">
        <f>ISERROR(FIND("-",TR!B715))</f>
        <v>0</v>
      </c>
      <c r="D715" s="31">
        <f>SetIndent(E715,(TR!C715-1)*2)</f>
        <v>6</v>
      </c>
      <c r="E715" s="38" t="str">
        <f>IF(ISERROR(FIND("-",TR!B715)),TR!B715&amp;" "&amp;TR!D715,TR!D715)</f>
        <v>NOTE: This product does not provide Stretch Mode #2</v>
      </c>
      <c r="F715" s="31" t="str">
        <f>TR!E715</f>
        <v>Com</v>
      </c>
      <c r="G715" s="31" t="str">
        <f>IF(ISERROR(FIND("Adara",TR!F715)),"","Adara ")</f>
        <v xml:space="preserve">Adara </v>
      </c>
      <c r="H715" s="31" t="str">
        <f>IF(ISERROR(FIND("Copernicus",TR!F715)),"","Copernicus ")</f>
        <v xml:space="preserve">Copernicus </v>
      </c>
      <c r="I715" s="31" t="str">
        <f>IF(ISERROR(FIND("Deneb",TR!F715)),"","Deneb ")</f>
        <v xml:space="preserve">Deneb </v>
      </c>
      <c r="J715" s="37" t="str">
        <f t="shared" si="12"/>
        <v xml:space="preserve">Adara Copernicus Deneb </v>
      </c>
      <c r="K715" s="31" t="str">
        <f>IF(ISBLANK(TR!G715),"",TR!G715)</f>
        <v/>
      </c>
      <c r="L715" s="31" t="str">
        <f>IF(ISBLANK(TR!H715),"",TR!H715)</f>
        <v>FR-DSRSW-1424</v>
      </c>
      <c r="M715" s="30" t="str">
        <f>TR!J715</f>
        <v>Approved</v>
      </c>
      <c r="N715" s="31" t="str">
        <f>IF(OR(M715="Modified",M715="Cosmetic"),VLOOKUP(B715,PrevPFS!B$1:E$833,4,FALSE),"")</f>
        <v/>
      </c>
    </row>
    <row r="716" spans="1:14" ht="75" x14ac:dyDescent="0.25">
      <c r="A716" s="31" t="str">
        <f>IF(ISNONTEXT(TR!K716),"",TR!K716)</f>
        <v>TR-0-VCST_ZM-FPR-1187</v>
      </c>
      <c r="B716" s="32" t="str">
        <f>TR!A716</f>
        <v>TR-DSRSW-2032</v>
      </c>
      <c r="C716" s="31" t="b">
        <f>ISERROR(FIND("-",TR!B716))</f>
        <v>0</v>
      </c>
      <c r="D716" s="31">
        <f>SetIndent(E716,(TR!C716-1)*2)</f>
        <v>6</v>
      </c>
      <c r="E716" s="38" t="str">
        <f>IF(ISERROR(FIND("-",TR!B716)),TR!B716&amp;" "&amp;TR!D716,TR!D716)</f>
        <v xml:space="preserve">The product SHALL provide Stretch Mode #3: Linear Stretch. This mode produces a 16:9 output by linearly stretching the 4:3 video in the horizontal direction only until it has an aspect ratio of 16:9.  Linear stretching introduces and equal amount of distortion across the entire width of the video.  The default screen-friendly name for this mode shall be "Stretch." </v>
      </c>
      <c r="F716" s="31" t="str">
        <f>TR!E716</f>
        <v>Req</v>
      </c>
      <c r="G716" s="31" t="str">
        <f>IF(ISERROR(FIND("Adara",TR!F716)),"","Adara ")</f>
        <v xml:space="preserve">Adara </v>
      </c>
      <c r="H716" s="31" t="str">
        <f>IF(ISERROR(FIND("Copernicus",TR!F716)),"","Copernicus ")</f>
        <v xml:space="preserve">Copernicus </v>
      </c>
      <c r="I716" s="31" t="str">
        <f>IF(ISERROR(FIND("Deneb",TR!F716)),"","Deneb ")</f>
        <v xml:space="preserve">Deneb </v>
      </c>
      <c r="J716" s="37" t="str">
        <f t="shared" si="12"/>
        <v xml:space="preserve">Adara Copernicus Deneb </v>
      </c>
      <c r="K716" s="31" t="str">
        <f>IF(ISBLANK(TR!G716),"",TR!G716)</f>
        <v/>
      </c>
      <c r="L716" s="31" t="str">
        <f>IF(ISBLANK(TR!H716),"",TR!H716)</f>
        <v>FR-DSRSW-1424</v>
      </c>
      <c r="M716" s="30" t="str">
        <f>TR!J716</f>
        <v>Approved</v>
      </c>
      <c r="N716" s="31" t="str">
        <f>IF(OR(M716="Modified",M716="Cosmetic"),VLOOKUP(B716,PrevPFS!B$1:E$833,4,FALSE),"")</f>
        <v/>
      </c>
    </row>
    <row r="717" spans="1:14" ht="105" x14ac:dyDescent="0.25">
      <c r="A717" s="31" t="str">
        <f>IF(ISNONTEXT(TR!K717),"",TR!K717)</f>
        <v>TR-0-VCST_ZM-FPR-1051</v>
      </c>
      <c r="B717" s="32" t="str">
        <f>TR!A717</f>
        <v>TR-DSRSW-2033</v>
      </c>
      <c r="C717" s="31" t="b">
        <f>ISERROR(FIND("-",TR!B717))</f>
        <v>0</v>
      </c>
      <c r="D717" s="31">
        <f>SetIndent(E717,(TR!C717-1)*2)</f>
        <v>6</v>
      </c>
      <c r="E717" s="38" t="str">
        <f>IF(ISERROR(FIND("-",TR!B717)),TR!B717&amp;" "&amp;TR!D717,TR!D717)</f>
        <v>The product SHALL provide Stretch Mode #4: Linear Zoom. This mode creates a 16:9 output by first linearly stretching the 4:3 video in the horizontal direction until the video has an aspect ratio of 16:9 and then linearly stretches the video in the vertical direction by the same amount.  The two-dimensional stretching of the original 4:3 video creates a "zoom effect" that creates no distortion in the processed video but does introduce cropping of the top and bottom of the original video.  The default screen-friendly name for this mode shall be "Zoom."</v>
      </c>
      <c r="F717" s="31" t="str">
        <f>TR!E717</f>
        <v>Req</v>
      </c>
      <c r="G717" s="31" t="str">
        <f>IF(ISERROR(FIND("Adara",TR!F717)),"","Adara ")</f>
        <v xml:space="preserve">Adara </v>
      </c>
      <c r="H717" s="31" t="str">
        <f>IF(ISERROR(FIND("Copernicus",TR!F717)),"","Copernicus ")</f>
        <v xml:space="preserve">Copernicus </v>
      </c>
      <c r="I717" s="31" t="str">
        <f>IF(ISERROR(FIND("Deneb",TR!F717)),"","Deneb ")</f>
        <v xml:space="preserve">Deneb </v>
      </c>
      <c r="J717" s="37" t="str">
        <f t="shared" si="12"/>
        <v xml:space="preserve">Adara Copernicus Deneb </v>
      </c>
      <c r="K717" s="31" t="str">
        <f>IF(ISBLANK(TR!G717),"",TR!G717)</f>
        <v/>
      </c>
      <c r="L717" s="31" t="str">
        <f>IF(ISBLANK(TR!H717),"",TR!H717)</f>
        <v>FR-DSRSW-1424</v>
      </c>
      <c r="M717" s="30" t="str">
        <f>TR!J717</f>
        <v>Approved</v>
      </c>
      <c r="N717" s="31" t="str">
        <f>IF(OR(M717="Modified",M717="Cosmetic"),VLOOKUP(B717,PrevPFS!B$1:E$833,4,FALSE),"")</f>
        <v/>
      </c>
    </row>
    <row r="718" spans="1:14" ht="105" x14ac:dyDescent="0.25">
      <c r="A718" s="31" t="str">
        <f>IF(ISNONTEXT(TR!K718),"",TR!K718)</f>
        <v>TR-0-VCST_ZM-FPR-1183</v>
      </c>
      <c r="B718" s="32" t="str">
        <f>TR!A718</f>
        <v>TR-DSRSW-2034</v>
      </c>
      <c r="C718" s="31" t="b">
        <f>ISERROR(FIND("-",TR!B718))</f>
        <v>0</v>
      </c>
      <c r="D718" s="31">
        <f>SetIndent(E718,(TR!C718-1)*2)</f>
        <v>6</v>
      </c>
      <c r="E718" s="38" t="str">
        <f>IF(ISERROR(FIND("-",TR!B718)),TR!B718&amp;" "&amp;TR!D718,TR!D718)</f>
        <v>The product SHALL increment the Stretch Mode in the following order, wrapping back to Stretch Mode 1 at the end of the list:
Stretch Mode #1
Stretch Mode #3
Stretch Mode #4
(wrap)</v>
      </c>
      <c r="F718" s="31" t="str">
        <f>TR!E718</f>
        <v>Req</v>
      </c>
      <c r="G718" s="31" t="str">
        <f>IF(ISERROR(FIND("Adara",TR!F718)),"","Adara ")</f>
        <v xml:space="preserve">Adara </v>
      </c>
      <c r="H718" s="31" t="str">
        <f>IF(ISERROR(FIND("Copernicus",TR!F718)),"","Copernicus ")</f>
        <v xml:space="preserve">Copernicus </v>
      </c>
      <c r="I718" s="31" t="str">
        <f>IF(ISERROR(FIND("Deneb",TR!F718)),"","Deneb ")</f>
        <v xml:space="preserve">Deneb </v>
      </c>
      <c r="J718" s="37" t="str">
        <f t="shared" si="12"/>
        <v xml:space="preserve">Adara Copernicus Deneb </v>
      </c>
      <c r="K718" s="31" t="str">
        <f>IF(ISBLANK(TR!G718),"",TR!G718)</f>
        <v/>
      </c>
      <c r="L718" s="31" t="str">
        <f>IF(ISBLANK(TR!H718),"",TR!H718)</f>
        <v>FR-DSRSW-1424</v>
      </c>
      <c r="M718" s="30" t="str">
        <f>TR!J718</f>
        <v>Approved</v>
      </c>
      <c r="N718" s="31" t="str">
        <f>IF(OR(M718="Modified",M718="Cosmetic"),VLOOKUP(B718,PrevPFS!B$1:E$833,4,FALSE),"")</f>
        <v/>
      </c>
    </row>
    <row r="719" spans="1:14" ht="45" x14ac:dyDescent="0.25">
      <c r="A719" s="31" t="str">
        <f>IF(ISNONTEXT(TR!K719),"",TR!K719)</f>
        <v>TR-0-VCST_ZM-FPR-1193</v>
      </c>
      <c r="B719" s="32" t="str">
        <f>TR!A719</f>
        <v>TR-DSRSW-2039</v>
      </c>
      <c r="C719" s="31" t="b">
        <f>ISERROR(FIND("-",TR!B719))</f>
        <v>0</v>
      </c>
      <c r="D719" s="31">
        <f>SetIndent(E719,(TR!C719-1)*2)</f>
        <v>6</v>
      </c>
      <c r="E719" s="38" t="str">
        <f>IF(ISERROR(FIND("-",TR!B719)),TR!B719&amp;" "&amp;TR!D719,TR!D719)</f>
        <v>The product SHALL maintain the Stretch Mode between channel changes.</v>
      </c>
      <c r="F719" s="31" t="str">
        <f>TR!E719</f>
        <v>Req</v>
      </c>
      <c r="G719" s="31" t="str">
        <f>IF(ISERROR(FIND("Adara",TR!F719)),"","Adara ")</f>
        <v xml:space="preserve">Adara </v>
      </c>
      <c r="H719" s="31" t="str">
        <f>IF(ISERROR(FIND("Copernicus",TR!F719)),"","Copernicus ")</f>
        <v xml:space="preserve">Copernicus </v>
      </c>
      <c r="I719" s="31" t="str">
        <f>IF(ISERROR(FIND("Deneb",TR!F719)),"","Deneb ")</f>
        <v xml:space="preserve">Deneb </v>
      </c>
      <c r="J719" s="37" t="str">
        <f t="shared" si="12"/>
        <v xml:space="preserve">Adara Copernicus Deneb </v>
      </c>
      <c r="K719" s="31" t="str">
        <f>IF(ISBLANK(TR!G719),"",TR!G719)</f>
        <v/>
      </c>
      <c r="L719" s="31" t="str">
        <f>IF(ISBLANK(TR!H719),"",TR!H719)</f>
        <v>FR-DSRSW-1424</v>
      </c>
      <c r="M719" s="30" t="str">
        <f>TR!J719</f>
        <v>Approved</v>
      </c>
      <c r="N719" s="31" t="str">
        <f>IF(OR(M719="Modified",M719="Cosmetic"),VLOOKUP(B719,PrevPFS!B$1:E$833,4,FALSE),"")</f>
        <v/>
      </c>
    </row>
    <row r="720" spans="1:14" ht="45" x14ac:dyDescent="0.25">
      <c r="A720" s="31" t="str">
        <f>IF(ISNONTEXT(TR!K720),"",TR!K720)</f>
        <v/>
      </c>
      <c r="B720" s="32" t="str">
        <f>TR!A720</f>
        <v>TR-DSRSW-2196</v>
      </c>
      <c r="C720" s="31" t="b">
        <f>ISERROR(FIND("-",TR!B720))</f>
        <v>1</v>
      </c>
      <c r="D720" s="31">
        <f>SetIndent(E720,(TR!C720-1)*2)</f>
        <v>4</v>
      </c>
      <c r="E720" s="35" t="str">
        <f>IF(ISERROR(FIND("-",TR!B720)),TR!B720&amp;" "&amp;TR!D720,TR!D720)</f>
        <v>26.2.4 16:9 Source Zoom Presentation</v>
      </c>
      <c r="F720" s="31" t="str">
        <f>TR!E720</f>
        <v>Hdr</v>
      </c>
      <c r="G720" s="31" t="str">
        <f>IF(ISERROR(FIND("Adara",TR!F720)),"","Adara ")</f>
        <v xml:space="preserve">Adara </v>
      </c>
      <c r="H720" s="31" t="str">
        <f>IF(ISERROR(FIND("Copernicus",TR!F720)),"","Copernicus ")</f>
        <v xml:space="preserve">Copernicus </v>
      </c>
      <c r="I720" s="31" t="str">
        <f>IF(ISERROR(FIND("Deneb",TR!F720)),"","Deneb ")</f>
        <v xml:space="preserve">Deneb </v>
      </c>
      <c r="J720" s="37" t="str">
        <f t="shared" si="12"/>
        <v xml:space="preserve">Adara Copernicus Deneb </v>
      </c>
      <c r="K720" s="31" t="str">
        <f>IF(ISBLANK(TR!G720),"",TR!G720)</f>
        <v/>
      </c>
      <c r="L720" s="31" t="str">
        <f>IF(ISBLANK(TR!H720),"",TR!H720)</f>
        <v>FR-DSRSW-1424</v>
      </c>
      <c r="M720" s="30" t="str">
        <f>TR!J720</f>
        <v>Approved</v>
      </c>
      <c r="N720" s="31" t="str">
        <f>IF(OR(M720="Modified",M720="Cosmetic"),VLOOKUP(B720,PrevPFS!B$1:E$833,4,FALSE),"")</f>
        <v/>
      </c>
    </row>
    <row r="721" spans="1:14" ht="75" x14ac:dyDescent="0.25">
      <c r="A721" s="31" t="str">
        <f>IF(ISNONTEXT(TR!K721),"",TR!K721)</f>
        <v>TR-0-VCST_ZM-FPR-1075</v>
      </c>
      <c r="B721" s="32" t="str">
        <f>TR!A721</f>
        <v>TR-DSRSW-2049</v>
      </c>
      <c r="C721" s="31" t="b">
        <f>ISERROR(FIND("-",TR!B721))</f>
        <v>0</v>
      </c>
      <c r="D721" s="31">
        <f>SetIndent(E721,(TR!C721-1)*2)</f>
        <v>6</v>
      </c>
      <c r="E721" s="38" t="str">
        <f>IF(ISERROR(FIND("-",TR!B721)),TR!B721&amp;" "&amp;TR!D721,TR!D721)</f>
        <v>The product SHALL present any graphics overlaid upon the processed video as is, without zooming or otherwise distorting the said graphics. The said graphics includes flip bars, program listings, closed captions, or other rendered graphical attributes.  The "pre-zoom" locations and dimensions of these graphics shall be used as the "post-zoom" locations and dimensions of these graphics.</v>
      </c>
      <c r="F721" s="31" t="str">
        <f>TR!E721</f>
        <v>Req</v>
      </c>
      <c r="G721" s="31" t="str">
        <f>IF(ISERROR(FIND("Adara",TR!F721)),"","Adara ")</f>
        <v xml:space="preserve">Adara </v>
      </c>
      <c r="H721" s="31" t="str">
        <f>IF(ISERROR(FIND("Copernicus",TR!F721)),"","Copernicus ")</f>
        <v xml:space="preserve">Copernicus </v>
      </c>
      <c r="I721" s="31" t="str">
        <f>IF(ISERROR(FIND("Deneb",TR!F721)),"","Deneb ")</f>
        <v xml:space="preserve">Deneb </v>
      </c>
      <c r="J721" s="37" t="str">
        <f t="shared" si="12"/>
        <v xml:space="preserve">Adara Copernicus Deneb </v>
      </c>
      <c r="K721" s="31" t="str">
        <f>IF(ISBLANK(TR!G721),"",TR!G721)</f>
        <v/>
      </c>
      <c r="L721" s="31" t="str">
        <f>IF(ISBLANK(TR!H721),"",TR!H721)</f>
        <v>FR-DSRSW-1424</v>
      </c>
      <c r="M721" s="30" t="str">
        <f>TR!J721</f>
        <v>Approved</v>
      </c>
      <c r="N721" s="31" t="str">
        <f>IF(OR(M721="Modified",M721="Cosmetic"),VLOOKUP(B721,PrevPFS!B$1:E$833,4,FALSE),"")</f>
        <v/>
      </c>
    </row>
    <row r="722" spans="1:14" ht="45" x14ac:dyDescent="0.25">
      <c r="A722" s="31" t="str">
        <f>IF(ISNONTEXT(TR!K722),"",TR!K722)</f>
        <v/>
      </c>
      <c r="B722" s="32" t="str">
        <f>TR!A722</f>
        <v>TR-DSRSW-2040</v>
      </c>
      <c r="C722" s="31" t="b">
        <f>ISERROR(FIND("-",TR!B722))</f>
        <v>1</v>
      </c>
      <c r="D722" s="31">
        <f>SetIndent(E722,(TR!C722-1)*2)</f>
        <v>4</v>
      </c>
      <c r="E722" s="35" t="str">
        <f>IF(ISERROR(FIND("-",TR!B722)),TR!B722&amp;" "&amp;TR!D722,TR!D722)</f>
        <v>26.2.5 16:9 Source Zoom Modes</v>
      </c>
      <c r="F722" s="31" t="str">
        <f>TR!E722</f>
        <v>Hdr</v>
      </c>
      <c r="G722" s="31" t="str">
        <f>IF(ISERROR(FIND("Adara",TR!F722)),"","Adara ")</f>
        <v xml:space="preserve">Adara </v>
      </c>
      <c r="H722" s="31" t="str">
        <f>IF(ISERROR(FIND("Copernicus",TR!F722)),"","Copernicus ")</f>
        <v xml:space="preserve">Copernicus </v>
      </c>
      <c r="I722" s="31" t="str">
        <f>IF(ISERROR(FIND("Deneb",TR!F722)),"","Deneb ")</f>
        <v xml:space="preserve">Deneb </v>
      </c>
      <c r="J722" s="37" t="str">
        <f t="shared" si="12"/>
        <v xml:space="preserve">Adara Copernicus Deneb </v>
      </c>
      <c r="K722" s="31" t="str">
        <f>IF(ISBLANK(TR!G722),"",TR!G722)</f>
        <v/>
      </c>
      <c r="L722" s="31" t="str">
        <f>IF(ISBLANK(TR!H722),"",TR!H722)</f>
        <v>FR-DSRSW-1424</v>
      </c>
      <c r="M722" s="30" t="str">
        <f>TR!J722</f>
        <v>Approved</v>
      </c>
      <c r="N722" s="31" t="str">
        <f>IF(OR(M722="Modified",M722="Cosmetic"),VLOOKUP(B722,PrevPFS!B$1:E$833,4,FALSE),"")</f>
        <v/>
      </c>
    </row>
    <row r="723" spans="1:14" ht="60" x14ac:dyDescent="0.25">
      <c r="A723" s="31" t="str">
        <f>IF(ISNONTEXT(TR!K723),"",TR!K723)</f>
        <v/>
      </c>
      <c r="B723" s="32" t="str">
        <f>TR!A723</f>
        <v>TR-DSRSW-2494</v>
      </c>
      <c r="C723" s="31" t="b">
        <f>ISERROR(FIND("-",TR!B723))</f>
        <v>0</v>
      </c>
      <c r="D723" s="31">
        <f>SetIndent(E723,(TR!C723-1)*2)</f>
        <v>6</v>
      </c>
      <c r="E723" s="38" t="str">
        <f>IF(ISERROR(FIND("-",TR!B723)),TR!B723&amp;" "&amp;TR!D723,TR!D723)</f>
        <v>The following requirements are associated with the the requirements for the various zoom modes that are available to be applied to 16:9 video as part of the ASTB 16:9 Zoom Feature. The product shall provide the following zoom modes that may be applied to 16:9 video content upon receipt of the dedicated IR keycode.</v>
      </c>
      <c r="F723" s="31" t="str">
        <f>TR!E723</f>
        <v>Com</v>
      </c>
      <c r="G723" s="31" t="str">
        <f>IF(ISERROR(FIND("Adara",TR!F723)),"","Adara ")</f>
        <v xml:space="preserve">Adara </v>
      </c>
      <c r="H723" s="31" t="str">
        <f>IF(ISERROR(FIND("Copernicus",TR!F723)),"","Copernicus ")</f>
        <v xml:space="preserve">Copernicus </v>
      </c>
      <c r="I723" s="31" t="str">
        <f>IF(ISERROR(FIND("Deneb",TR!F723)),"","Deneb ")</f>
        <v xml:space="preserve">Deneb </v>
      </c>
      <c r="J723" s="37" t="str">
        <f t="shared" si="12"/>
        <v xml:space="preserve">Adara Copernicus Deneb </v>
      </c>
      <c r="K723" s="31" t="str">
        <f>IF(ISBLANK(TR!G723),"",TR!G723)</f>
        <v/>
      </c>
      <c r="L723" s="31" t="str">
        <f>IF(ISBLANK(TR!H723),"",TR!H723)</f>
        <v/>
      </c>
      <c r="M723" s="30" t="str">
        <f>TR!J723</f>
        <v>Approved</v>
      </c>
      <c r="N723" s="31" t="str">
        <f>IF(OR(M723="Modified",M723="Cosmetic"),VLOOKUP(B723,PrevPFS!B$1:E$833,4,FALSE),"")</f>
        <v/>
      </c>
    </row>
    <row r="724" spans="1:14" ht="45" x14ac:dyDescent="0.25">
      <c r="A724" s="31" t="str">
        <f>IF(ISNONTEXT(TR!K724),"",TR!K724)</f>
        <v>TR-0-VCST_ZM-FPR-1059</v>
      </c>
      <c r="B724" s="32" t="str">
        <f>TR!A724</f>
        <v>TR-DSRSW-2041</v>
      </c>
      <c r="C724" s="31" t="b">
        <f>ISERROR(FIND("-",TR!B724))</f>
        <v>0</v>
      </c>
      <c r="D724" s="31">
        <f>SetIndent(E724,(TR!C724-1)*2)</f>
        <v>6</v>
      </c>
      <c r="E724" s="38" t="str">
        <f>IF(ISERROR(FIND("-",TR!B724)),TR!B724&amp;" "&amp;TR!D724,TR!D724)</f>
        <v>The product SHALL provide Zoom Mode #1: No Zoom. This mode is equivalent to no video processing of any kind being applied to the 16:9 video.  The default screen-friendly name for this mode shall be "Normal."</v>
      </c>
      <c r="F724" s="31" t="str">
        <f>TR!E724</f>
        <v>Req</v>
      </c>
      <c r="G724" s="31" t="str">
        <f>IF(ISERROR(FIND("Adara",TR!F724)),"","Adara ")</f>
        <v xml:space="preserve">Adara </v>
      </c>
      <c r="H724" s="31" t="str">
        <f>IF(ISERROR(FIND("Copernicus",TR!F724)),"","Copernicus ")</f>
        <v xml:space="preserve">Copernicus </v>
      </c>
      <c r="I724" s="31" t="str">
        <f>IF(ISERROR(FIND("Deneb",TR!F724)),"","Deneb ")</f>
        <v xml:space="preserve">Deneb </v>
      </c>
      <c r="J724" s="37" t="str">
        <f t="shared" si="12"/>
        <v xml:space="preserve">Adara Copernicus Deneb </v>
      </c>
      <c r="K724" s="31" t="str">
        <f>IF(ISBLANK(TR!G724),"",TR!G724)</f>
        <v/>
      </c>
      <c r="L724" s="31" t="str">
        <f>IF(ISBLANK(TR!H724),"",TR!H724)</f>
        <v>FR-DSRSW-1424</v>
      </c>
      <c r="M724" s="30" t="str">
        <f>TR!J724</f>
        <v>Approved</v>
      </c>
      <c r="N724" s="31" t="str">
        <f>IF(OR(M724="Modified",M724="Cosmetic"),VLOOKUP(B724,PrevPFS!B$1:E$833,4,FALSE),"")</f>
        <v/>
      </c>
    </row>
    <row r="725" spans="1:14" ht="45" x14ac:dyDescent="0.25">
      <c r="A725" s="31" t="str">
        <f>IF(ISNONTEXT(TR!K725),"",TR!K725)</f>
        <v/>
      </c>
      <c r="B725" s="32" t="str">
        <f>TR!A725</f>
        <v>TR-DSRSW-2042</v>
      </c>
      <c r="C725" s="31" t="b">
        <f>ISERROR(FIND("-",TR!B725))</f>
        <v>0</v>
      </c>
      <c r="D725" s="31">
        <f>SetIndent(E725,(TR!C725-1)*2)</f>
        <v>6</v>
      </c>
      <c r="E725" s="38" t="str">
        <f>IF(ISERROR(FIND("-",TR!B725)),TR!B725&amp;" "&amp;TR!D725,TR!D725)</f>
        <v>This product does not provide Zoom Mode #2</v>
      </c>
      <c r="F725" s="31" t="str">
        <f>TR!E725</f>
        <v>Com</v>
      </c>
      <c r="G725" s="31" t="str">
        <f>IF(ISERROR(FIND("Adara",TR!F725)),"","Adara ")</f>
        <v xml:space="preserve">Adara </v>
      </c>
      <c r="H725" s="31" t="str">
        <f>IF(ISERROR(FIND("Copernicus",TR!F725)),"","Copernicus ")</f>
        <v xml:space="preserve">Copernicus </v>
      </c>
      <c r="I725" s="31" t="str">
        <f>IF(ISERROR(FIND("Deneb",TR!F725)),"","Deneb ")</f>
        <v xml:space="preserve">Deneb </v>
      </c>
      <c r="J725" s="37" t="str">
        <f t="shared" si="12"/>
        <v xml:space="preserve">Adara Copernicus Deneb </v>
      </c>
      <c r="K725" s="31" t="str">
        <f>IF(ISBLANK(TR!G725),"",TR!G725)</f>
        <v/>
      </c>
      <c r="L725" s="31" t="str">
        <f>IF(ISBLANK(TR!H725),"",TR!H725)</f>
        <v>FR-DSRSW-1424</v>
      </c>
      <c r="M725" s="30" t="str">
        <f>TR!J725</f>
        <v>Approved</v>
      </c>
      <c r="N725" s="31" t="str">
        <f>IF(OR(M725="Modified",M725="Cosmetic"),VLOOKUP(B725,PrevPFS!B$1:E$833,4,FALSE),"")</f>
        <v/>
      </c>
    </row>
    <row r="726" spans="1:14" ht="60" x14ac:dyDescent="0.25">
      <c r="A726" s="31" t="str">
        <f>IF(ISNONTEXT(TR!K726),"",TR!K726)</f>
        <v>TR-0-VCST_ZM-FPR-1061</v>
      </c>
      <c r="B726" s="32" t="str">
        <f>TR!A726</f>
        <v>TR-DSRSW-2043</v>
      </c>
      <c r="C726" s="31" t="b">
        <f>ISERROR(FIND("-",TR!B726))</f>
        <v>0</v>
      </c>
      <c r="D726" s="31">
        <f>SetIndent(E726,(TR!C726-1)*2)</f>
        <v>6</v>
      </c>
      <c r="E726" s="38" t="str">
        <f>IF(ISERROR(FIND("-",TR!B726)),TR!B726&amp;" "&amp;TR!D726,TR!D726)</f>
        <v>The product SHALL provide Zoom Mode #3: Hybrid 4:3 Expand. This mode starts with a horizontally-centered 4:3 crop of the 16:9 video and then linearly stretches the 4:3 video crop in the horizontal direction only to an aspect ratio of 16:9.  The default screen-friendly name for this mode shall be "Stretch."</v>
      </c>
      <c r="F726" s="31" t="str">
        <f>TR!E726</f>
        <v>Req</v>
      </c>
      <c r="G726" s="31" t="str">
        <f>IF(ISERROR(FIND("Adara",TR!F726)),"","Adara ")</f>
        <v xml:space="preserve">Adara </v>
      </c>
      <c r="H726" s="31" t="str">
        <f>IF(ISERROR(FIND("Copernicus",TR!F726)),"","Copernicus ")</f>
        <v xml:space="preserve">Copernicus </v>
      </c>
      <c r="I726" s="31" t="str">
        <f>IF(ISERROR(FIND("Deneb",TR!F726)),"","Deneb ")</f>
        <v xml:space="preserve">Deneb </v>
      </c>
      <c r="J726" s="37" t="str">
        <f t="shared" si="12"/>
        <v xml:space="preserve">Adara Copernicus Deneb </v>
      </c>
      <c r="K726" s="31" t="str">
        <f>IF(ISBLANK(TR!G726),"",TR!G726)</f>
        <v/>
      </c>
      <c r="L726" s="31" t="str">
        <f>IF(ISBLANK(TR!H726),"",TR!H726)</f>
        <v>FR-DSRSW-1424</v>
      </c>
      <c r="M726" s="30" t="str">
        <f>TR!J726</f>
        <v>Approved</v>
      </c>
      <c r="N726" s="31" t="str">
        <f>IF(OR(M726="Modified",M726="Cosmetic"),VLOOKUP(B726,PrevPFS!B$1:E$833,4,FALSE),"")</f>
        <v/>
      </c>
    </row>
    <row r="727" spans="1:14" ht="75" x14ac:dyDescent="0.25">
      <c r="A727" s="31" t="str">
        <f>IF(ISNONTEXT(TR!K727),"",TR!K727)</f>
        <v>TR-0-VCST_ZM-FPR-1062</v>
      </c>
      <c r="B727" s="32" t="str">
        <f>TR!A727</f>
        <v>TR-DSRSW-2044</v>
      </c>
      <c r="C727" s="31" t="b">
        <f>ISERROR(FIND("-",TR!B727))</f>
        <v>0</v>
      </c>
      <c r="D727" s="31">
        <f>SetIndent(E727,(TR!C727-1)*2)</f>
        <v>6</v>
      </c>
      <c r="E727" s="38" t="str">
        <f>IF(ISERROR(FIND("-",TR!B727)),TR!B727&amp;" "&amp;TR!D727,TR!D727)</f>
        <v>The product SHALL provide Zoom Mode #4: Widescreen TV Zoom. This mode starts with a horizontally-centered 4:3 crop of the 16:9 video and then takes a vertically-centered 16:9 crop of the 4:3 video.  This is visually equivalent to stretching the 4:3 crop linearly by the same amount both horizontally and vertically and then cropping the image to fit a 16:9 display screen.  The default screen-friendly name for this mode shall be "Zoom."</v>
      </c>
      <c r="F727" s="31" t="str">
        <f>TR!E727</f>
        <v>Req</v>
      </c>
      <c r="G727" s="31" t="str">
        <f>IF(ISERROR(FIND("Adara",TR!F727)),"","Adara ")</f>
        <v xml:space="preserve">Adara </v>
      </c>
      <c r="H727" s="31" t="str">
        <f>IF(ISERROR(FIND("Copernicus",TR!F727)),"","Copernicus ")</f>
        <v xml:space="preserve">Copernicus </v>
      </c>
      <c r="I727" s="31" t="str">
        <f>IF(ISERROR(FIND("Deneb",TR!F727)),"","Deneb ")</f>
        <v xml:space="preserve">Deneb </v>
      </c>
      <c r="J727" s="37" t="str">
        <f t="shared" si="12"/>
        <v xml:space="preserve">Adara Copernicus Deneb </v>
      </c>
      <c r="K727" s="31" t="str">
        <f>IF(ISBLANK(TR!G727),"",TR!G727)</f>
        <v/>
      </c>
      <c r="L727" s="31" t="str">
        <f>IF(ISBLANK(TR!H727),"",TR!H727)</f>
        <v>FR-DSRSW-1424</v>
      </c>
      <c r="M727" s="30" t="str">
        <f>TR!J727</f>
        <v>Approved</v>
      </c>
      <c r="N727" s="31" t="str">
        <f>IF(OR(M727="Modified",M727="Cosmetic"),VLOOKUP(B727,PrevPFS!B$1:E$833,4,FALSE),"")</f>
        <v/>
      </c>
    </row>
    <row r="728" spans="1:14" ht="105" x14ac:dyDescent="0.25">
      <c r="A728" s="31" t="str">
        <f>IF(ISNONTEXT(TR!K728),"",TR!K728)</f>
        <v>TR-0-VCST_ZM-FPR-1172</v>
      </c>
      <c r="B728" s="32" t="str">
        <f>TR!A728</f>
        <v>TR-DSRSW-2045</v>
      </c>
      <c r="C728" s="31" t="b">
        <f>ISERROR(FIND("-",TR!B728))</f>
        <v>0</v>
      </c>
      <c r="D728" s="31">
        <f>SetIndent(E728,(TR!C728-1)*2)</f>
        <v>6</v>
      </c>
      <c r="E728" s="38" t="str">
        <f>IF(ISERROR(FIND("-",TR!B728)),TR!B728&amp;" "&amp;TR!D728,TR!D728)</f>
        <v>The product SHALL maintain the ordered list of applicable zoom modes comprising of (in order): 
Zoom Mode #1
Zoom Mode #3 
Zoom Mode #4 
	(wrap)</v>
      </c>
      <c r="F728" s="31" t="str">
        <f>TR!E728</f>
        <v>Req</v>
      </c>
      <c r="G728" s="31" t="str">
        <f>IF(ISERROR(FIND("Adara",TR!F728)),"","Adara ")</f>
        <v xml:space="preserve">Adara </v>
      </c>
      <c r="H728" s="31" t="str">
        <f>IF(ISERROR(FIND("Copernicus",TR!F728)),"","Copernicus ")</f>
        <v xml:space="preserve">Copernicus </v>
      </c>
      <c r="I728" s="31" t="str">
        <f>IF(ISERROR(FIND("Deneb",TR!F728)),"","Deneb ")</f>
        <v xml:space="preserve">Deneb </v>
      </c>
      <c r="J728" s="37" t="str">
        <f t="shared" si="12"/>
        <v xml:space="preserve">Adara Copernicus Deneb </v>
      </c>
      <c r="K728" s="31" t="str">
        <f>IF(ISBLANK(TR!G728),"",TR!G728)</f>
        <v/>
      </c>
      <c r="L728" s="31" t="str">
        <f>IF(ISBLANK(TR!H728),"",TR!H728)</f>
        <v>FR-DSRSW-1424</v>
      </c>
      <c r="M728" s="30" t="str">
        <f>TR!J728</f>
        <v>Approved</v>
      </c>
      <c r="N728" s="31" t="str">
        <f>IF(OR(M728="Modified",M728="Cosmetic"),VLOOKUP(B728,PrevPFS!B$1:E$833,4,FALSE),"")</f>
        <v/>
      </c>
    </row>
    <row r="729" spans="1:14" ht="45" x14ac:dyDescent="0.25">
      <c r="A729" s="31" t="str">
        <f>IF(ISNONTEXT(TR!K729),"",TR!K729)</f>
        <v/>
      </c>
      <c r="B729" s="32" t="str">
        <f>TR!A729</f>
        <v>TR-DSRSW-2053</v>
      </c>
      <c r="C729" s="31" t="b">
        <f>ISERROR(FIND("-",TR!B729))</f>
        <v>1</v>
      </c>
      <c r="D729" s="31">
        <f>SetIndent(E729,(TR!C729-1)*2)</f>
        <v>0</v>
      </c>
      <c r="E729" s="33" t="str">
        <f>IF(ISERROR(FIND("-",TR!B729)),TR!B729&amp;" "&amp;TR!D729,TR!D729)</f>
        <v>27 Video Graphics</v>
      </c>
      <c r="F729" s="31" t="str">
        <f>TR!E729</f>
        <v>Hdr</v>
      </c>
      <c r="G729" s="31" t="str">
        <f>IF(ISERROR(FIND("Adara",TR!F729)),"","Adara ")</f>
        <v xml:space="preserve">Adara </v>
      </c>
      <c r="H729" s="31" t="str">
        <f>IF(ISERROR(FIND("Copernicus",TR!F729)),"","Copernicus ")</f>
        <v xml:space="preserve">Copernicus </v>
      </c>
      <c r="I729" s="31" t="str">
        <f>IF(ISERROR(FIND("Deneb",TR!F729)),"","Deneb ")</f>
        <v xml:space="preserve">Deneb </v>
      </c>
      <c r="J729" s="37" t="str">
        <f t="shared" si="12"/>
        <v xml:space="preserve">Adara Copernicus Deneb </v>
      </c>
      <c r="K729" s="31" t="str">
        <f>IF(ISBLANK(TR!G729),"",TR!G729)</f>
        <v/>
      </c>
      <c r="L729" s="31" t="str">
        <f>IF(ISBLANK(TR!H729),"",TR!H729)</f>
        <v>FR-DSRSW-1464</v>
      </c>
      <c r="M729" s="30" t="str">
        <f>TR!J729</f>
        <v>Approved</v>
      </c>
      <c r="N729" s="31" t="str">
        <f>IF(OR(M729="Modified",M729="Cosmetic"),VLOOKUP(B729,PrevPFS!B$1:E$833,4,FALSE),"")</f>
        <v/>
      </c>
    </row>
    <row r="730" spans="1:14" ht="45" x14ac:dyDescent="0.25">
      <c r="A730" s="31" t="str">
        <f>IF(ISNONTEXT(TR!K730),"",TR!K730)</f>
        <v>TR-0-GFXDISP-1266</v>
      </c>
      <c r="B730" s="32" t="str">
        <f>TR!A730</f>
        <v>TR-DSRSW-2055</v>
      </c>
      <c r="C730" s="31" t="b">
        <f>ISERROR(FIND("-",TR!B730))</f>
        <v>0</v>
      </c>
      <c r="D730" s="31">
        <f>SetIndent(E730,(TR!C730-1)*2)</f>
        <v>2</v>
      </c>
      <c r="E730" s="34" t="str">
        <f>IF(ISERROR(FIND("-",TR!B730)),TR!B730&amp;" "&amp;TR!D730,TR!D730)</f>
        <v>The product SHALL be capable of generating and compositing a graphic surface with maximum horizontal resolution of 1920 pixels and maximum vertical resolution of 1080 pixels.</v>
      </c>
      <c r="F730" s="31" t="str">
        <f>TR!E730</f>
        <v>Req</v>
      </c>
      <c r="G730" s="31" t="str">
        <f>IF(ISERROR(FIND("Adara",TR!F730)),"","Adara ")</f>
        <v xml:space="preserve">Adara </v>
      </c>
      <c r="H730" s="31" t="str">
        <f>IF(ISERROR(FIND("Copernicus",TR!F730)),"","Copernicus ")</f>
        <v xml:space="preserve">Copernicus </v>
      </c>
      <c r="I730" s="31" t="str">
        <f>IF(ISERROR(FIND("Deneb",TR!F730)),"","Deneb ")</f>
        <v xml:space="preserve">Deneb </v>
      </c>
      <c r="J730" s="37" t="str">
        <f t="shared" si="12"/>
        <v xml:space="preserve">Adara Copernicus Deneb </v>
      </c>
      <c r="K730" s="31" t="str">
        <f>IF(ISBLANK(TR!G730),"",TR!G730)</f>
        <v/>
      </c>
      <c r="L730" s="31" t="str">
        <f>IF(ISBLANK(TR!H730),"",TR!H730)</f>
        <v>FR-DSRSW-1464</v>
      </c>
      <c r="M730" s="30" t="str">
        <f>TR!J730</f>
        <v>Approved</v>
      </c>
      <c r="N730" s="31" t="str">
        <f>IF(OR(M730="Modified",M730="Cosmetic"),VLOOKUP(B730,PrevPFS!B$1:E$833,4,FALSE),"")</f>
        <v/>
      </c>
    </row>
    <row r="731" spans="1:14" ht="45" x14ac:dyDescent="0.25">
      <c r="A731" s="31" t="str">
        <f>IF(ISNONTEXT(TR!K731),"",TR!K731)</f>
        <v>TR-0-GFXDISP-1125</v>
      </c>
      <c r="B731" s="32" t="str">
        <f>TR!A731</f>
        <v>TR-DSRSW-2056</v>
      </c>
      <c r="C731" s="31" t="b">
        <f>ISERROR(FIND("-",TR!B731))</f>
        <v>0</v>
      </c>
      <c r="D731" s="31">
        <f>SetIndent(E731,(TR!C731-1)*2)</f>
        <v>2</v>
      </c>
      <c r="E731" s="34" t="str">
        <f>IF(ISERROR(FIND("-",TR!B731)),TR!B731&amp;" "&amp;TR!D731,TR!D731)</f>
        <v>The product SHALL provide the application with its maximum graphic resolution processing capability information.</v>
      </c>
      <c r="F731" s="31" t="str">
        <f>TR!E731</f>
        <v>Req</v>
      </c>
      <c r="G731" s="31" t="str">
        <f>IF(ISERROR(FIND("Adara",TR!F731)),"","Adara ")</f>
        <v xml:space="preserve">Adara </v>
      </c>
      <c r="H731" s="31" t="str">
        <f>IF(ISERROR(FIND("Copernicus",TR!F731)),"","Copernicus ")</f>
        <v xml:space="preserve">Copernicus </v>
      </c>
      <c r="I731" s="31" t="str">
        <f>IF(ISERROR(FIND("Deneb",TR!F731)),"","Deneb ")</f>
        <v xml:space="preserve">Deneb </v>
      </c>
      <c r="J731" s="37" t="str">
        <f t="shared" si="12"/>
        <v xml:space="preserve">Adara Copernicus Deneb </v>
      </c>
      <c r="K731" s="31" t="str">
        <f>IF(ISBLANK(TR!G731),"",TR!G731)</f>
        <v/>
      </c>
      <c r="L731" s="31" t="str">
        <f>IF(ISBLANK(TR!H731),"",TR!H731)</f>
        <v>FR-DSRSW-1464</v>
      </c>
      <c r="M731" s="30" t="str">
        <f>TR!J731</f>
        <v>Approved</v>
      </c>
      <c r="N731" s="31" t="str">
        <f>IF(OR(M731="Modified",M731="Cosmetic"),VLOOKUP(B731,PrevPFS!B$1:E$833,4,FALSE),"")</f>
        <v/>
      </c>
    </row>
    <row r="732" spans="1:14" ht="45" x14ac:dyDescent="0.25">
      <c r="A732" s="31" t="str">
        <f>IF(ISNONTEXT(TR!K732),"",TR!K732)</f>
        <v/>
      </c>
      <c r="B732" s="32" t="str">
        <f>TR!A732</f>
        <v>TR-DSRSW-2223</v>
      </c>
      <c r="C732" s="31" t="b">
        <f>ISERROR(FIND("-",TR!B732))</f>
        <v>0</v>
      </c>
      <c r="D732" s="31">
        <f>SetIndent(E732,(TR!C732-1)*2)</f>
        <v>2</v>
      </c>
      <c r="E732" s="34" t="str">
        <f>IF(ISERROR(FIND("-",TR!B732)),TR!B732&amp;" "&amp;TR!D732,TR!D732)</f>
        <v xml:space="preserve">The product SHALL allow application graphics to have priority over closed captions. </v>
      </c>
      <c r="F732" s="31" t="str">
        <f>TR!E732</f>
        <v>Req</v>
      </c>
      <c r="G732" s="31" t="str">
        <f>IF(ISERROR(FIND("Adara",TR!F732)),"","Adara ")</f>
        <v xml:space="preserve">Adara </v>
      </c>
      <c r="H732" s="31" t="str">
        <f>IF(ISERROR(FIND("Copernicus",TR!F732)),"","Copernicus ")</f>
        <v xml:space="preserve">Copernicus </v>
      </c>
      <c r="I732" s="31" t="str">
        <f>IF(ISERROR(FIND("Deneb",TR!F732)),"","Deneb ")</f>
        <v xml:space="preserve">Deneb </v>
      </c>
      <c r="J732" s="37" t="str">
        <f t="shared" si="12"/>
        <v xml:space="preserve">Adara Copernicus Deneb </v>
      </c>
      <c r="K732" s="31" t="str">
        <f>IF(ISBLANK(TR!G732),"",TR!G732)</f>
        <v>DSR6xx?</v>
      </c>
      <c r="L732" s="31" t="str">
        <f>IF(ISBLANK(TR!H732),"",TR!H732)</f>
        <v>FR-DSRSW-1492</v>
      </c>
      <c r="M732" s="30" t="str">
        <f>TR!J732</f>
        <v>Approved</v>
      </c>
      <c r="N732" s="31" t="str">
        <f>IF(OR(M732="Modified",M732="Cosmetic"),VLOOKUP(B732,PrevPFS!B$1:E$833,4,FALSE),"")</f>
        <v/>
      </c>
    </row>
    <row r="733" spans="1:14" ht="45" x14ac:dyDescent="0.25">
      <c r="A733" s="31" t="str">
        <f>IF(ISNONTEXT(TR!K733),"",TR!K733)</f>
        <v/>
      </c>
      <c r="B733" s="32" t="str">
        <f>TR!A733</f>
        <v>TR-DSRSW-2235</v>
      </c>
      <c r="C733" s="31" t="b">
        <f>ISERROR(FIND("-",TR!B733))</f>
        <v>0</v>
      </c>
      <c r="D733" s="31">
        <f>SetIndent(E733,(TR!C733-1)*2)</f>
        <v>2</v>
      </c>
      <c r="E733" s="34" t="str">
        <f>IF(ISERROR(FIND("-",TR!B733)),TR!B733&amp;" "&amp;TR!D733,TR!D733)</f>
        <v>The product SHALL support the OpenGL graphics library.</v>
      </c>
      <c r="F733" s="31" t="str">
        <f>TR!E733</f>
        <v>Req</v>
      </c>
      <c r="G733" s="31" t="str">
        <f>IF(ISERROR(FIND("Adara",TR!F733)),"","Adara ")</f>
        <v xml:space="preserve">Adara </v>
      </c>
      <c r="H733" s="31" t="str">
        <f>IF(ISERROR(FIND("Copernicus",TR!F733)),"","Copernicus ")</f>
        <v xml:space="preserve">Copernicus </v>
      </c>
      <c r="I733" s="31" t="str">
        <f>IF(ISERROR(FIND("Deneb",TR!F733)),"","Deneb ")</f>
        <v xml:space="preserve">Deneb </v>
      </c>
      <c r="J733" s="37" t="str">
        <f t="shared" si="12"/>
        <v xml:space="preserve">Adara Copernicus Deneb </v>
      </c>
      <c r="K733" s="31" t="str">
        <f>IF(ISBLANK(TR!G733),"",TR!G733)</f>
        <v>DSR6xx?</v>
      </c>
      <c r="L733" s="31" t="str">
        <f>IF(ISBLANK(TR!H733),"",TR!H733)</f>
        <v>FR-DSRSW-1494</v>
      </c>
      <c r="M733" s="30" t="str">
        <f>TR!J733</f>
        <v>Approved</v>
      </c>
      <c r="N733" s="31" t="str">
        <f>IF(OR(M733="Modified",M733="Cosmetic"),VLOOKUP(B733,PrevPFS!B$1:E$833,4,FALSE),"")</f>
        <v/>
      </c>
    </row>
    <row r="734" spans="1:14" ht="45" x14ac:dyDescent="0.25">
      <c r="A734" s="31" t="str">
        <f>IF(ISNONTEXT(TR!K734),"",TR!K734)</f>
        <v/>
      </c>
      <c r="B734" s="32" t="str">
        <f>TR!A734</f>
        <v>TR-DSRSW-2236</v>
      </c>
      <c r="C734" s="31" t="b">
        <f>ISERROR(FIND("-",TR!B734))</f>
        <v>0</v>
      </c>
      <c r="D734" s="31">
        <f>SetIndent(E734,(TR!C734-1)*2)</f>
        <v>2</v>
      </c>
      <c r="E734" s="34" t="str">
        <f>IF(ISERROR(FIND("-",TR!B734)),TR!B734&amp;" "&amp;TR!D734,TR!D734)</f>
        <v>The product SHALL support a graphics library that is seperate from, and not dependant upon, the Neptune API.</v>
      </c>
      <c r="F734" s="31" t="str">
        <f>TR!E734</f>
        <v>Req</v>
      </c>
      <c r="G734" s="31" t="str">
        <f>IF(ISERROR(FIND("Adara",TR!F734)),"","Adara ")</f>
        <v xml:space="preserve">Adara </v>
      </c>
      <c r="H734" s="31" t="str">
        <f>IF(ISERROR(FIND("Copernicus",TR!F734)),"","Copernicus ")</f>
        <v xml:space="preserve">Copernicus </v>
      </c>
      <c r="I734" s="31" t="str">
        <f>IF(ISERROR(FIND("Deneb",TR!F734)),"","Deneb ")</f>
        <v xml:space="preserve">Deneb </v>
      </c>
      <c r="J734" s="37" t="str">
        <f t="shared" si="12"/>
        <v xml:space="preserve">Adara Copernicus Deneb </v>
      </c>
      <c r="K734" s="31" t="str">
        <f>IF(ISBLANK(TR!G734),"",TR!G734)</f>
        <v>DSR6xx?</v>
      </c>
      <c r="L734" s="31" t="str">
        <f>IF(ISBLANK(TR!H734),"",TR!H734)</f>
        <v>FR-DSRSW-1494</v>
      </c>
      <c r="M734" s="30" t="str">
        <f>TR!J734</f>
        <v>Approved</v>
      </c>
      <c r="N734" s="31" t="str">
        <f>IF(OR(M734="Modified",M734="Cosmetic"),VLOOKUP(B734,PrevPFS!B$1:E$833,4,FALSE),"")</f>
        <v/>
      </c>
    </row>
    <row r="735" spans="1:14" ht="45" x14ac:dyDescent="0.25">
      <c r="A735" s="31" t="str">
        <f>IF(ISNONTEXT(TR!K735),"",TR!K735)</f>
        <v/>
      </c>
      <c r="B735" s="32" t="str">
        <f>TR!A735</f>
        <v>TR-DSRSW-2057</v>
      </c>
      <c r="C735" s="31" t="b">
        <f>ISERROR(FIND("-",TR!B735))</f>
        <v>1</v>
      </c>
      <c r="D735" s="31">
        <f>SetIndent(E735,(TR!C735-1)*2)</f>
        <v>0</v>
      </c>
      <c r="E735" s="33" t="str">
        <f>IF(ISERROR(FIND("-",TR!B735)),TR!B735&amp;" "&amp;TR!D735,TR!D735)</f>
        <v>28 Audio Decode</v>
      </c>
      <c r="F735" s="31" t="str">
        <f>TR!E735</f>
        <v>Hdr</v>
      </c>
      <c r="G735" s="31" t="str">
        <f>IF(ISERROR(FIND("Adara",TR!F735)),"","Adara ")</f>
        <v xml:space="preserve">Adara </v>
      </c>
      <c r="H735" s="31" t="str">
        <f>IF(ISERROR(FIND("Copernicus",TR!F735)),"","Copernicus ")</f>
        <v xml:space="preserve">Copernicus </v>
      </c>
      <c r="I735" s="31" t="str">
        <f>IF(ISERROR(FIND("Deneb",TR!F735)),"","Deneb ")</f>
        <v xml:space="preserve">Deneb </v>
      </c>
      <c r="J735" s="37" t="str">
        <f t="shared" si="12"/>
        <v xml:space="preserve">Adara Copernicus Deneb </v>
      </c>
      <c r="K735" s="31" t="str">
        <f>IF(ISBLANK(TR!G735),"",TR!G735)</f>
        <v/>
      </c>
      <c r="L735" s="31" t="str">
        <f>IF(ISBLANK(TR!H735),"",TR!H735)</f>
        <v>FR-DSRSW-1429</v>
      </c>
      <c r="M735" s="30" t="str">
        <f>TR!J735</f>
        <v>Approved</v>
      </c>
      <c r="N735" s="31" t="str">
        <f>IF(OR(M735="Modified",M735="Cosmetic"),VLOOKUP(B735,PrevPFS!B$1:E$833,4,FALSE),"")</f>
        <v/>
      </c>
    </row>
    <row r="736" spans="1:14" ht="45" x14ac:dyDescent="0.25">
      <c r="A736" s="31" t="str">
        <f>IF(ISNONTEXT(TR!K736),"",TR!K736)</f>
        <v/>
      </c>
      <c r="B736" s="32" t="str">
        <f>TR!A736</f>
        <v>TR-DSRSW-2058</v>
      </c>
      <c r="C736" s="31" t="b">
        <f>ISERROR(FIND("-",TR!B736))</f>
        <v>1</v>
      </c>
      <c r="D736" s="31">
        <f>SetIndent(E736,(TR!C736-1)*2)</f>
        <v>2</v>
      </c>
      <c r="E736" s="34" t="str">
        <f>IF(ISERROR(FIND("-",TR!B736)),TR!B736&amp;" "&amp;TR!D736,TR!D736)</f>
        <v>28.1 MPEG-1,2 Layer III (MP3) Audio Decode</v>
      </c>
      <c r="F736" s="31" t="str">
        <f>TR!E736</f>
        <v>Hdr</v>
      </c>
      <c r="G736" s="31" t="str">
        <f>IF(ISERROR(FIND("Adara",TR!F736)),"","Adara ")</f>
        <v xml:space="preserve">Adara </v>
      </c>
      <c r="H736" s="31" t="str">
        <f>IF(ISERROR(FIND("Copernicus",TR!F736)),"","Copernicus ")</f>
        <v xml:space="preserve">Copernicus </v>
      </c>
      <c r="I736" s="31" t="str">
        <f>IF(ISERROR(FIND("Deneb",TR!F736)),"","Deneb ")</f>
        <v xml:space="preserve">Deneb </v>
      </c>
      <c r="J736" s="37" t="str">
        <f t="shared" si="12"/>
        <v xml:space="preserve">Adara Copernicus Deneb </v>
      </c>
      <c r="K736" s="31" t="str">
        <f>IF(ISBLANK(TR!G736),"",TR!G736)</f>
        <v/>
      </c>
      <c r="L736" s="31" t="str">
        <f>IF(ISBLANK(TR!H736),"",TR!H736)</f>
        <v>FR-DSRSW-1431</v>
      </c>
      <c r="M736" s="30" t="str">
        <f>TR!J736</f>
        <v>Approved</v>
      </c>
      <c r="N736" s="31" t="str">
        <f>IF(OR(M736="Modified",M736="Cosmetic"),VLOOKUP(B736,PrevPFS!B$1:E$833,4,FALSE),"")</f>
        <v/>
      </c>
    </row>
    <row r="737" spans="1:14" ht="45" x14ac:dyDescent="0.25">
      <c r="A737" s="31" t="str">
        <f>IF(ISNONTEXT(TR!K737),"",TR!K737)</f>
        <v>FR-AUDIF-1002</v>
      </c>
      <c r="B737" s="32" t="str">
        <f>TR!A737</f>
        <v>TR-DSRSW-2059</v>
      </c>
      <c r="C737" s="31" t="b">
        <f>ISERROR(FIND("-",TR!B737))</f>
        <v>0</v>
      </c>
      <c r="D737" s="31">
        <f>SetIndent(E737,(TR!C737-1)*2)</f>
        <v>4</v>
      </c>
      <c r="E737" s="35" t="str">
        <f>IF(ISERROR(FIND("-",TR!B737)),TR!B737&amp;" "&amp;TR!D737,TR!D737)</f>
        <v>The product SHALL support MPEG-1,2 Layer 3 (MP3) audio decode.</v>
      </c>
      <c r="F737" s="31" t="str">
        <f>TR!E737</f>
        <v>Req</v>
      </c>
      <c r="G737" s="31" t="str">
        <f>IF(ISERROR(FIND("Adara",TR!F737)),"","Adara ")</f>
        <v xml:space="preserve">Adara </v>
      </c>
      <c r="H737" s="31" t="str">
        <f>IF(ISERROR(FIND("Copernicus",TR!F737)),"","Copernicus ")</f>
        <v xml:space="preserve">Copernicus </v>
      </c>
      <c r="I737" s="31" t="str">
        <f>IF(ISERROR(FIND("Deneb",TR!F737)),"","Deneb ")</f>
        <v xml:space="preserve">Deneb </v>
      </c>
      <c r="J737" s="37" t="str">
        <f t="shared" si="12"/>
        <v xml:space="preserve">Adara Copernicus Deneb </v>
      </c>
      <c r="K737" s="31" t="str">
        <f>IF(ISBLANK(TR!G737),"",TR!G737)</f>
        <v/>
      </c>
      <c r="L737" s="31" t="str">
        <f>IF(ISBLANK(TR!H737),"",TR!H737)</f>
        <v>FR-DSRSW-1431</v>
      </c>
      <c r="M737" s="30" t="str">
        <f>TR!J737</f>
        <v>Approved</v>
      </c>
      <c r="N737" s="31" t="str">
        <f>IF(OR(M737="Modified",M737="Cosmetic"),VLOOKUP(B737,PrevPFS!B$1:E$833,4,FALSE),"")</f>
        <v/>
      </c>
    </row>
    <row r="738" spans="1:14" ht="45" x14ac:dyDescent="0.25">
      <c r="A738" s="31" t="str">
        <f>IF(ISNONTEXT(TR!K738),"",TR!K738)</f>
        <v>TR-0-ANC-1040</v>
      </c>
      <c r="B738" s="32" t="str">
        <f>TR!A738</f>
        <v>TR-DSRSW-2060</v>
      </c>
      <c r="C738" s="31" t="b">
        <f>ISERROR(FIND("-",TR!B738))</f>
        <v>0</v>
      </c>
      <c r="D738" s="31">
        <f>SetIndent(E738,(TR!C738-1)*2)</f>
        <v>4</v>
      </c>
      <c r="E738" s="35" t="str">
        <f>IF(ISERROR(FIND("-",TR!B738)),TR!B738&amp;" "&amp;TR!D738,TR!D738)</f>
        <v>The MP3 Audio Decoding SHALL support CBR and VBR encoding with bitrates from 32 kbps up to 320 kbps.</v>
      </c>
      <c r="F738" s="31" t="str">
        <f>TR!E738</f>
        <v>Req</v>
      </c>
      <c r="G738" s="31" t="str">
        <f>IF(ISERROR(FIND("Adara",TR!F738)),"","Adara ")</f>
        <v xml:space="preserve">Adara </v>
      </c>
      <c r="H738" s="31" t="str">
        <f>IF(ISERROR(FIND("Copernicus",TR!F738)),"","Copernicus ")</f>
        <v xml:space="preserve">Copernicus </v>
      </c>
      <c r="I738" s="31" t="str">
        <f>IF(ISERROR(FIND("Deneb",TR!F738)),"","Deneb ")</f>
        <v xml:space="preserve">Deneb </v>
      </c>
      <c r="J738" s="37" t="str">
        <f t="shared" si="12"/>
        <v xml:space="preserve">Adara Copernicus Deneb </v>
      </c>
      <c r="K738" s="31" t="str">
        <f>IF(ISBLANK(TR!G738),"",TR!G738)</f>
        <v/>
      </c>
      <c r="L738" s="31" t="str">
        <f>IF(ISBLANK(TR!H738),"",TR!H738)</f>
        <v>FR-DSRSW-1431</v>
      </c>
      <c r="M738" s="30" t="str">
        <f>TR!J738</f>
        <v>Approved</v>
      </c>
      <c r="N738" s="31" t="str">
        <f>IF(OR(M738="Modified",M738="Cosmetic"),VLOOKUP(B738,PrevPFS!B$1:E$833,4,FALSE),"")</f>
        <v/>
      </c>
    </row>
    <row r="739" spans="1:14" ht="45" x14ac:dyDescent="0.25">
      <c r="A739" s="31" t="str">
        <f>IF(ISNONTEXT(TR!K739),"",TR!K739)</f>
        <v>TR-0-ANC-1727</v>
      </c>
      <c r="B739" s="32" t="str">
        <f>TR!A739</f>
        <v>TR-DSRSW-2061</v>
      </c>
      <c r="C739" s="31" t="b">
        <f>ISERROR(FIND("-",TR!B739))</f>
        <v>0</v>
      </c>
      <c r="D739" s="31">
        <f>SetIndent(E739,(TR!C739-1)*2)</f>
        <v>4</v>
      </c>
      <c r="E739" s="35" t="str">
        <f>IF(ISERROR(FIND("-",TR!B739)),TR!B739&amp;" "&amp;TR!D739,TR!D739)</f>
        <v>The MP3 Audio Decode SHALL support bitstreams containing mono, stereo, and two independent audio channels.</v>
      </c>
      <c r="F739" s="31" t="str">
        <f>TR!E739</f>
        <v>Req</v>
      </c>
      <c r="G739" s="31" t="str">
        <f>IF(ISERROR(FIND("Adara",TR!F739)),"","Adara ")</f>
        <v xml:space="preserve">Adara </v>
      </c>
      <c r="H739" s="31" t="str">
        <f>IF(ISERROR(FIND("Copernicus",TR!F739)),"","Copernicus ")</f>
        <v xml:space="preserve">Copernicus </v>
      </c>
      <c r="I739" s="31" t="str">
        <f>IF(ISERROR(FIND("Deneb",TR!F739)),"","Deneb ")</f>
        <v xml:space="preserve">Deneb </v>
      </c>
      <c r="J739" s="37" t="str">
        <f t="shared" si="12"/>
        <v xml:space="preserve">Adara Copernicus Deneb </v>
      </c>
      <c r="K739" s="31" t="str">
        <f>IF(ISBLANK(TR!G739),"",TR!G739)</f>
        <v/>
      </c>
      <c r="L739" s="31" t="str">
        <f>IF(ISBLANK(TR!H739),"",TR!H739)</f>
        <v>FR-DSRSW-1431</v>
      </c>
      <c r="M739" s="30" t="str">
        <f>TR!J739</f>
        <v>Approved</v>
      </c>
      <c r="N739" s="31" t="str">
        <f>IF(OR(M739="Modified",M739="Cosmetic"),VLOOKUP(B739,PrevPFS!B$1:E$833,4,FALSE),"")</f>
        <v/>
      </c>
    </row>
    <row r="740" spans="1:14" ht="45" x14ac:dyDescent="0.25">
      <c r="A740" s="31" t="str">
        <f>IF(ISNONTEXT(TR!K740),"",TR!K740)</f>
        <v>TR-0-ANC-1683</v>
      </c>
      <c r="B740" s="32" t="str">
        <f>TR!A740</f>
        <v>TR-DSRSW-2062</v>
      </c>
      <c r="C740" s="31" t="b">
        <f>ISERROR(FIND("-",TR!B740))</f>
        <v>0</v>
      </c>
      <c r="D740" s="31">
        <f>SetIndent(E740,(TR!C740-1)*2)</f>
        <v>4</v>
      </c>
      <c r="E740" s="35" t="str">
        <f>IF(ISERROR(FIND("-",TR!B740)),TR!B740&amp;" "&amp;TR!D740,TR!D740)</f>
        <v>The product SHALL support decoding MP3 audio to two channel (left/right) LPCM output to the digital audio outputs (SPDIF and HDMI) simultaneously with two channel (left/right) analog audio output.</v>
      </c>
      <c r="F740" s="31" t="str">
        <f>TR!E740</f>
        <v>Req</v>
      </c>
      <c r="G740" s="31" t="str">
        <f>IF(ISERROR(FIND("Adara",TR!F740)),"","Adara ")</f>
        <v xml:space="preserve">Adara </v>
      </c>
      <c r="H740" s="31" t="str">
        <f>IF(ISERROR(FIND("Copernicus",TR!F740)),"","Copernicus ")</f>
        <v xml:space="preserve">Copernicus </v>
      </c>
      <c r="I740" s="31" t="str">
        <f>IF(ISERROR(FIND("Deneb",TR!F740)),"","Deneb ")</f>
        <v xml:space="preserve">Deneb </v>
      </c>
      <c r="J740" s="37" t="str">
        <f t="shared" si="12"/>
        <v xml:space="preserve">Adara Copernicus Deneb </v>
      </c>
      <c r="K740" s="31" t="str">
        <f>IF(ISBLANK(TR!G740),"",TR!G740)</f>
        <v/>
      </c>
      <c r="L740" s="31" t="str">
        <f>IF(ISBLANK(TR!H740),"",TR!H740)</f>
        <v>FR-DSRSW-1431</v>
      </c>
      <c r="M740" s="30" t="str">
        <f>TR!J740</f>
        <v>Approved</v>
      </c>
      <c r="N740" s="31" t="str">
        <f>IF(OR(M740="Modified",M740="Cosmetic"),VLOOKUP(B740,PrevPFS!B$1:E$833,4,FALSE),"")</f>
        <v/>
      </c>
    </row>
    <row r="741" spans="1:14" ht="45" x14ac:dyDescent="0.25">
      <c r="A741" s="31" t="str">
        <f>IF(ISNONTEXT(TR!K741),"",TR!K741)</f>
        <v/>
      </c>
      <c r="B741" s="32" t="str">
        <f>TR!A741</f>
        <v>TR-DSRSW-2063</v>
      </c>
      <c r="C741" s="31" t="b">
        <f>ISERROR(FIND("-",TR!B741))</f>
        <v>1</v>
      </c>
      <c r="D741" s="31">
        <f>SetIndent(E741,(TR!C741-1)*2)</f>
        <v>2</v>
      </c>
      <c r="E741" s="34" t="str">
        <f>IF(ISERROR(FIND("-",TR!B741)),TR!B741&amp;" "&amp;TR!D741,TR!D741)</f>
        <v>28.2 MPEG-2,4 AAC-LC Audio Decode</v>
      </c>
      <c r="F741" s="31" t="str">
        <f>TR!E741</f>
        <v>Hdr</v>
      </c>
      <c r="G741" s="31" t="str">
        <f>IF(ISERROR(FIND("Adara",TR!F741)),"","Adara ")</f>
        <v xml:space="preserve">Adara </v>
      </c>
      <c r="H741" s="31" t="str">
        <f>IF(ISERROR(FIND("Copernicus",TR!F741)),"","Copernicus ")</f>
        <v xml:space="preserve">Copernicus </v>
      </c>
      <c r="I741" s="31" t="str">
        <f>IF(ISERROR(FIND("Deneb",TR!F741)),"","Deneb ")</f>
        <v xml:space="preserve">Deneb </v>
      </c>
      <c r="J741" s="37" t="str">
        <f t="shared" si="12"/>
        <v xml:space="preserve">Adara Copernicus Deneb </v>
      </c>
      <c r="K741" s="31" t="str">
        <f>IF(ISBLANK(TR!G741),"",TR!G741)</f>
        <v/>
      </c>
      <c r="L741" s="31" t="str">
        <f>IF(ISBLANK(TR!H741),"",TR!H741)</f>
        <v>FR-DSRSW-1433</v>
      </c>
      <c r="M741" s="30" t="str">
        <f>TR!J741</f>
        <v>Approved</v>
      </c>
      <c r="N741" s="31" t="str">
        <f>IF(OR(M741="Modified",M741="Cosmetic"),VLOOKUP(B741,PrevPFS!B$1:E$833,4,FALSE),"")</f>
        <v/>
      </c>
    </row>
    <row r="742" spans="1:14" ht="45" x14ac:dyDescent="0.25">
      <c r="A742" s="31" t="str">
        <f>IF(ISNONTEXT(TR!K742),"",TR!K742)</f>
        <v>FR-AUDIF-1008</v>
      </c>
      <c r="B742" s="32" t="str">
        <f>TR!A742</f>
        <v>TR-DSRSW-2064</v>
      </c>
      <c r="C742" s="31" t="b">
        <f>ISERROR(FIND("-",TR!B742))</f>
        <v>0</v>
      </c>
      <c r="D742" s="31">
        <f>SetIndent(E742,(TR!C742-1)*2)</f>
        <v>4</v>
      </c>
      <c r="E742" s="35" t="str">
        <f>IF(ISERROR(FIND("-",TR!B742)),TR!B742&amp;" "&amp;TR!D742,TR!D742)</f>
        <v>The product SHALL support MPEG-2,4 AAC-LC audio decode.</v>
      </c>
      <c r="F742" s="31" t="str">
        <f>TR!E742</f>
        <v>Req</v>
      </c>
      <c r="G742" s="31" t="str">
        <f>IF(ISERROR(FIND("Adara",TR!F742)),"","Adara ")</f>
        <v xml:space="preserve">Adara </v>
      </c>
      <c r="H742" s="31" t="str">
        <f>IF(ISERROR(FIND("Copernicus",TR!F742)),"","Copernicus ")</f>
        <v xml:space="preserve">Copernicus </v>
      </c>
      <c r="I742" s="31" t="str">
        <f>IF(ISERROR(FIND("Deneb",TR!F742)),"","Deneb ")</f>
        <v xml:space="preserve">Deneb </v>
      </c>
      <c r="J742" s="37" t="str">
        <f t="shared" si="12"/>
        <v xml:space="preserve">Adara Copernicus Deneb </v>
      </c>
      <c r="K742" s="31" t="str">
        <f>IF(ISBLANK(TR!G742),"",TR!G742)</f>
        <v/>
      </c>
      <c r="L742" s="31" t="str">
        <f>IF(ISBLANK(TR!H742),"",TR!H742)</f>
        <v>FR-DSRSW-1433</v>
      </c>
      <c r="M742" s="30" t="str">
        <f>TR!J742</f>
        <v>Approved</v>
      </c>
      <c r="N742" s="31" t="str">
        <f>IF(OR(M742="Modified",M742="Cosmetic"),VLOOKUP(B742,PrevPFS!B$1:E$833,4,FALSE),"")</f>
        <v/>
      </c>
    </row>
    <row r="743" spans="1:14" ht="45" x14ac:dyDescent="0.25">
      <c r="A743" s="31" t="str">
        <f>IF(ISNONTEXT(TR!K743),"",TR!K743)</f>
        <v>TR-0-ANC-1759</v>
      </c>
      <c r="B743" s="32" t="str">
        <f>TR!A743</f>
        <v>TR-DSRSW-2065</v>
      </c>
      <c r="C743" s="31" t="b">
        <f>ISERROR(FIND("-",TR!B743))</f>
        <v>0</v>
      </c>
      <c r="D743" s="31">
        <f>SetIndent(E743,(TR!C743-1)*2)</f>
        <v>4</v>
      </c>
      <c r="E743" s="35" t="str">
        <f>IF(ISERROR(FIND("-",TR!B743)),TR!B743&amp;" "&amp;TR!D743,TR!D743)</f>
        <v>The product SHALL have MPEG-2 / MPEG-4 AAC-LC audio decoding capability that supports CBR and VBR encoded content with bitrates from 16 kbps up to 256 kbps.</v>
      </c>
      <c r="F743" s="31" t="str">
        <f>TR!E743</f>
        <v>Req</v>
      </c>
      <c r="G743" s="31" t="str">
        <f>IF(ISERROR(FIND("Adara",TR!F743)),"","Adara ")</f>
        <v xml:space="preserve">Adara </v>
      </c>
      <c r="H743" s="31" t="str">
        <f>IF(ISERROR(FIND("Copernicus",TR!F743)),"","Copernicus ")</f>
        <v xml:space="preserve">Copernicus </v>
      </c>
      <c r="I743" s="31" t="str">
        <f>IF(ISERROR(FIND("Deneb",TR!F743)),"","Deneb ")</f>
        <v xml:space="preserve">Deneb </v>
      </c>
      <c r="J743" s="37" t="str">
        <f t="shared" si="12"/>
        <v xml:space="preserve">Adara Copernicus Deneb </v>
      </c>
      <c r="K743" s="31" t="str">
        <f>IF(ISBLANK(TR!G743),"",TR!G743)</f>
        <v/>
      </c>
      <c r="L743" s="31" t="str">
        <f>IF(ISBLANK(TR!H743),"",TR!H743)</f>
        <v>FR-DSRSW-1433</v>
      </c>
      <c r="M743" s="30" t="str">
        <f>TR!J743</f>
        <v>Approved</v>
      </c>
      <c r="N743" s="31" t="str">
        <f>IF(OR(M743="Modified",M743="Cosmetic"),VLOOKUP(B743,PrevPFS!B$1:E$833,4,FALSE),"")</f>
        <v/>
      </c>
    </row>
    <row r="744" spans="1:14" ht="45" x14ac:dyDescent="0.25">
      <c r="A744" s="31" t="str">
        <f>IF(ISNONTEXT(TR!K744),"",TR!K744)</f>
        <v>TR-0-ANC-1055</v>
      </c>
      <c r="B744" s="32" t="str">
        <f>TR!A744</f>
        <v>TR-DSRSW-2066</v>
      </c>
      <c r="C744" s="31" t="b">
        <f>ISERROR(FIND("-",TR!B744))</f>
        <v>0</v>
      </c>
      <c r="D744" s="31">
        <f>SetIndent(E744,(TR!C744-1)*2)</f>
        <v>4</v>
      </c>
      <c r="E744" s="35" t="str">
        <f>IF(ISERROR(FIND("-",TR!B744)),TR!B744&amp;" "&amp;TR!D744,TR!D744)</f>
        <v>The MPEG-2 / MPEG-4 AAC-LC Decoding SHALL support the following sample rates: 8, 16, 32, 44.1 and 48 kHz.</v>
      </c>
      <c r="F744" s="31" t="str">
        <f>TR!E744</f>
        <v>Req</v>
      </c>
      <c r="G744" s="31" t="str">
        <f>IF(ISERROR(FIND("Adara",TR!F744)),"","Adara ")</f>
        <v xml:space="preserve">Adara </v>
      </c>
      <c r="H744" s="31" t="str">
        <f>IF(ISERROR(FIND("Copernicus",TR!F744)),"","Copernicus ")</f>
        <v xml:space="preserve">Copernicus </v>
      </c>
      <c r="I744" s="31" t="str">
        <f>IF(ISERROR(FIND("Deneb",TR!F744)),"","Deneb ")</f>
        <v xml:space="preserve">Deneb </v>
      </c>
      <c r="J744" s="37" t="str">
        <f t="shared" si="12"/>
        <v xml:space="preserve">Adara Copernicus Deneb </v>
      </c>
      <c r="K744" s="31" t="str">
        <f>IF(ISBLANK(TR!G744),"",TR!G744)</f>
        <v/>
      </c>
      <c r="L744" s="31" t="str">
        <f>IF(ISBLANK(TR!H744),"",TR!H744)</f>
        <v>FR-DSRSW-1433</v>
      </c>
      <c r="M744" s="30" t="str">
        <f>TR!J744</f>
        <v>Approved</v>
      </c>
      <c r="N744" s="31" t="str">
        <f>IF(OR(M744="Modified",M744="Cosmetic"),VLOOKUP(B744,PrevPFS!B$1:E$833,4,FALSE),"")</f>
        <v/>
      </c>
    </row>
    <row r="745" spans="1:14" ht="45" x14ac:dyDescent="0.25">
      <c r="A745" s="31" t="str">
        <f>IF(ISNONTEXT(TR!K745),"",TR!K745)</f>
        <v/>
      </c>
      <c r="B745" s="32" t="str">
        <f>TR!A745</f>
        <v>TR-DSRSW-2067</v>
      </c>
      <c r="C745" s="31" t="b">
        <f>ISERROR(FIND("-",TR!B745))</f>
        <v>1</v>
      </c>
      <c r="D745" s="31">
        <f>SetIndent(E745,(TR!C745-1)*2)</f>
        <v>2</v>
      </c>
      <c r="E745" s="34" t="str">
        <f>IF(ISERROR(FIND("-",TR!B745)),TR!B745&amp;" "&amp;TR!D745,TR!D745)</f>
        <v>28.3 MPEG-2,4 HE-AAC Audio Decode</v>
      </c>
      <c r="F745" s="31" t="str">
        <f>TR!E745</f>
        <v>Hdr</v>
      </c>
      <c r="G745" s="31" t="str">
        <f>IF(ISERROR(FIND("Adara",TR!F745)),"","Adara ")</f>
        <v xml:space="preserve">Adara </v>
      </c>
      <c r="H745" s="31" t="str">
        <f>IF(ISERROR(FIND("Copernicus",TR!F745)),"","Copernicus ")</f>
        <v xml:space="preserve">Copernicus </v>
      </c>
      <c r="I745" s="31" t="str">
        <f>IF(ISERROR(FIND("Deneb",TR!F745)),"","Deneb ")</f>
        <v xml:space="preserve">Deneb </v>
      </c>
      <c r="J745" s="37" t="str">
        <f t="shared" si="12"/>
        <v xml:space="preserve">Adara Copernicus Deneb </v>
      </c>
      <c r="K745" s="31" t="str">
        <f>IF(ISBLANK(TR!G745),"",TR!G745)</f>
        <v/>
      </c>
      <c r="L745" s="31" t="str">
        <f>IF(ISBLANK(TR!H745),"",TR!H745)</f>
        <v>FR-DSRSW-1435</v>
      </c>
      <c r="M745" s="30" t="str">
        <f>TR!J745</f>
        <v>Approved</v>
      </c>
      <c r="N745" s="31" t="str">
        <f>IF(OR(M745="Modified",M745="Cosmetic"),VLOOKUP(B745,PrevPFS!B$1:E$833,4,FALSE),"")</f>
        <v/>
      </c>
    </row>
    <row r="746" spans="1:14" ht="45" x14ac:dyDescent="0.25">
      <c r="A746" s="31" t="str">
        <f>IF(ISNONTEXT(TR!K746),"",TR!K746)</f>
        <v>FR-AUDIF-1010</v>
      </c>
      <c r="B746" s="32" t="str">
        <f>TR!A746</f>
        <v>TR-DSRSW-2068</v>
      </c>
      <c r="C746" s="31" t="b">
        <f>ISERROR(FIND("-",TR!B746))</f>
        <v>0</v>
      </c>
      <c r="D746" s="31">
        <f>SetIndent(E746,(TR!C746-1)*2)</f>
        <v>4</v>
      </c>
      <c r="E746" s="35" t="str">
        <f>IF(ISERROR(FIND("-",TR!B746)),TR!B746&amp;" "&amp;TR!D746,TR!D746)</f>
        <v>The product SHALL support MPEG-4 HE AAC (AAC+) audio decode.</v>
      </c>
      <c r="F746" s="31" t="str">
        <f>TR!E746</f>
        <v>Req</v>
      </c>
      <c r="G746" s="31" t="str">
        <f>IF(ISERROR(FIND("Adara",TR!F746)),"","Adara ")</f>
        <v xml:space="preserve">Adara </v>
      </c>
      <c r="H746" s="31" t="str">
        <f>IF(ISERROR(FIND("Copernicus",TR!F746)),"","Copernicus ")</f>
        <v xml:space="preserve">Copernicus </v>
      </c>
      <c r="I746" s="31" t="str">
        <f>IF(ISERROR(FIND("Deneb",TR!F746)),"","Deneb ")</f>
        <v xml:space="preserve">Deneb </v>
      </c>
      <c r="J746" s="37" t="str">
        <f t="shared" si="12"/>
        <v xml:space="preserve">Adara Copernicus Deneb </v>
      </c>
      <c r="K746" s="31" t="str">
        <f>IF(ISBLANK(TR!G746),"",TR!G746)</f>
        <v/>
      </c>
      <c r="L746" s="31" t="str">
        <f>IF(ISBLANK(TR!H746),"",TR!H746)</f>
        <v>FR-DSRSW-1435</v>
      </c>
      <c r="M746" s="30" t="str">
        <f>TR!J746</f>
        <v>Approved</v>
      </c>
      <c r="N746" s="31" t="str">
        <f>IF(OR(M746="Modified",M746="Cosmetic"),VLOOKUP(B746,PrevPFS!B$1:E$833,4,FALSE),"")</f>
        <v/>
      </c>
    </row>
    <row r="747" spans="1:14" ht="45" x14ac:dyDescent="0.25">
      <c r="A747" s="31" t="str">
        <f>IF(ISNONTEXT(TR!K747),"",TR!K747)</f>
        <v>TR-0-ANC-1785</v>
      </c>
      <c r="B747" s="32" t="str">
        <f>TR!A747</f>
        <v>TR-DSRSW-2069</v>
      </c>
      <c r="C747" s="31" t="b">
        <f>ISERROR(FIND("-",TR!B747))</f>
        <v>0</v>
      </c>
      <c r="D747" s="31">
        <f>SetIndent(E747,(TR!C747-1)*2)</f>
        <v>4</v>
      </c>
      <c r="E747" s="35" t="str">
        <f>IF(ISERROR(FIND("-",TR!B747)),TR!B747&amp;" "&amp;TR!D747,TR!D747)</f>
        <v>The product SHALL have MPEG-4 HE AAC audio decoding capability that supports CBR and VBR encoded content with bitrates from 16 kbps per channel up to 288 kbps per channel.</v>
      </c>
      <c r="F747" s="31" t="str">
        <f>TR!E747</f>
        <v>Req</v>
      </c>
      <c r="G747" s="31" t="str">
        <f>IF(ISERROR(FIND("Adara",TR!F747)),"","Adara ")</f>
        <v xml:space="preserve">Adara </v>
      </c>
      <c r="H747" s="31" t="str">
        <f>IF(ISERROR(FIND("Copernicus",TR!F747)),"","Copernicus ")</f>
        <v xml:space="preserve">Copernicus </v>
      </c>
      <c r="I747" s="31" t="str">
        <f>IF(ISERROR(FIND("Deneb",TR!F747)),"","Deneb ")</f>
        <v xml:space="preserve">Deneb </v>
      </c>
      <c r="J747" s="37" t="str">
        <f t="shared" ref="J747:J810" si="13">G747&amp;H747&amp;I747</f>
        <v xml:space="preserve">Adara Copernicus Deneb </v>
      </c>
      <c r="K747" s="31" t="str">
        <f>IF(ISBLANK(TR!G747),"",TR!G747)</f>
        <v/>
      </c>
      <c r="L747" s="31" t="str">
        <f>IF(ISBLANK(TR!H747),"",TR!H747)</f>
        <v>FR-DSRSW-1435</v>
      </c>
      <c r="M747" s="30" t="str">
        <f>TR!J747</f>
        <v>Approved</v>
      </c>
      <c r="N747" s="31" t="str">
        <f>IF(OR(M747="Modified",M747="Cosmetic"),VLOOKUP(B747,PrevPFS!B$1:E$833,4,FALSE),"")</f>
        <v/>
      </c>
    </row>
    <row r="748" spans="1:14" ht="45" x14ac:dyDescent="0.25">
      <c r="A748" s="31" t="str">
        <f>IF(ISNONTEXT(TR!K748),"",TR!K748)</f>
        <v>TR-0-ANC-1851</v>
      </c>
      <c r="B748" s="32" t="str">
        <f>TR!A748</f>
        <v>TR-DSRSW-2070</v>
      </c>
      <c r="C748" s="31" t="b">
        <f>ISERROR(FIND("-",TR!B748))</f>
        <v>0</v>
      </c>
      <c r="D748" s="31">
        <f>SetIndent(E748,(TR!C748-1)*2)</f>
        <v>4</v>
      </c>
      <c r="E748" s="35" t="str">
        <f>IF(ISERROR(FIND("-",TR!B748)),TR!B748&amp;" "&amp;TR!D748,TR!D748)</f>
        <v>The MPEG-4 HE AAC Decoding SHALL support the following sample rates: 16, 32, 44.1 and 48kHz.</v>
      </c>
      <c r="F748" s="31" t="str">
        <f>TR!E748</f>
        <v>Req</v>
      </c>
      <c r="G748" s="31" t="str">
        <f>IF(ISERROR(FIND("Adara",TR!F748)),"","Adara ")</f>
        <v xml:space="preserve">Adara </v>
      </c>
      <c r="H748" s="31" t="str">
        <f>IF(ISERROR(FIND("Copernicus",TR!F748)),"","Copernicus ")</f>
        <v xml:space="preserve">Copernicus </v>
      </c>
      <c r="I748" s="31" t="str">
        <f>IF(ISERROR(FIND("Deneb",TR!F748)),"","Deneb ")</f>
        <v xml:space="preserve">Deneb </v>
      </c>
      <c r="J748" s="37" t="str">
        <f t="shared" si="13"/>
        <v xml:space="preserve">Adara Copernicus Deneb </v>
      </c>
      <c r="K748" s="31" t="str">
        <f>IF(ISBLANK(TR!G748),"",TR!G748)</f>
        <v/>
      </c>
      <c r="L748" s="31" t="str">
        <f>IF(ISBLANK(TR!H748),"",TR!H748)</f>
        <v>FR-DSRSW-1435</v>
      </c>
      <c r="M748" s="30" t="str">
        <f>TR!J748</f>
        <v>Approved</v>
      </c>
      <c r="N748" s="31" t="str">
        <f>IF(OR(M748="Modified",M748="Cosmetic"),VLOOKUP(B748,PrevPFS!B$1:E$833,4,FALSE),"")</f>
        <v/>
      </c>
    </row>
    <row r="749" spans="1:14" ht="45" x14ac:dyDescent="0.25">
      <c r="A749" s="31" t="str">
        <f>IF(ISNONTEXT(TR!K749),"",TR!K749)</f>
        <v/>
      </c>
      <c r="B749" s="32" t="str">
        <f>TR!A749</f>
        <v>TR-DSRSW-2071</v>
      </c>
      <c r="C749" s="31" t="b">
        <f>ISERROR(FIND("-",TR!B749))</f>
        <v>1</v>
      </c>
      <c r="D749" s="31">
        <f>SetIndent(E749,(TR!C749-1)*2)</f>
        <v>2</v>
      </c>
      <c r="E749" s="34" t="str">
        <f>IF(ISERROR(FIND("-",TR!B749)),TR!B749&amp;" "&amp;TR!D749,TR!D749)</f>
        <v>28.4 Dolby Digital Audio Decode</v>
      </c>
      <c r="F749" s="31" t="str">
        <f>TR!E749</f>
        <v>Hdr</v>
      </c>
      <c r="G749" s="31" t="str">
        <f>IF(ISERROR(FIND("Adara",TR!F749)),"","Adara ")</f>
        <v xml:space="preserve">Adara </v>
      </c>
      <c r="H749" s="31" t="str">
        <f>IF(ISERROR(FIND("Copernicus",TR!F749)),"","Copernicus ")</f>
        <v xml:space="preserve">Copernicus </v>
      </c>
      <c r="I749" s="31" t="str">
        <f>IF(ISERROR(FIND("Deneb",TR!F749)),"","Deneb ")</f>
        <v xml:space="preserve">Deneb </v>
      </c>
      <c r="J749" s="37" t="str">
        <f t="shared" si="13"/>
        <v xml:space="preserve">Adara Copernicus Deneb </v>
      </c>
      <c r="K749" s="31" t="str">
        <f>IF(ISBLANK(TR!G749),"",TR!G749)</f>
        <v/>
      </c>
      <c r="L749" s="31" t="str">
        <f>IF(ISBLANK(TR!H749),"",TR!H749)</f>
        <v>FR-DSRSW-1437</v>
      </c>
      <c r="M749" s="30" t="str">
        <f>TR!J749</f>
        <v>Approved</v>
      </c>
      <c r="N749" s="31" t="str">
        <f>IF(OR(M749="Modified",M749="Cosmetic"),VLOOKUP(B749,PrevPFS!B$1:E$833,4,FALSE),"")</f>
        <v/>
      </c>
    </row>
    <row r="750" spans="1:14" ht="45" x14ac:dyDescent="0.25">
      <c r="A750" s="31" t="str">
        <f>IF(ISNONTEXT(TR!K750),"",TR!K750)</f>
        <v/>
      </c>
      <c r="B750" s="32" t="str">
        <f>TR!A750</f>
        <v>TR-DSRSW-2074</v>
      </c>
      <c r="C750" s="31" t="b">
        <f>ISERROR(FIND("-",TR!B750))</f>
        <v>0</v>
      </c>
      <c r="D750" s="31">
        <f>SetIndent(E750,(TR!C750-1)*2)</f>
        <v>4</v>
      </c>
      <c r="E750" s="35" t="str">
        <f>IF(ISERROR(FIND("-",TR!B750)),TR!B750&amp;" "&amp;TR!D750,TR!D750)</f>
        <v>Requirements in this section only apply if the set-top platform supports the specific output interface.</v>
      </c>
      <c r="F750" s="31" t="str">
        <f>TR!E750</f>
        <v>Com</v>
      </c>
      <c r="G750" s="31" t="str">
        <f>IF(ISERROR(FIND("Adara",TR!F750)),"","Adara ")</f>
        <v xml:space="preserve">Adara </v>
      </c>
      <c r="H750" s="31" t="str">
        <f>IF(ISERROR(FIND("Copernicus",TR!F750)),"","Copernicus ")</f>
        <v xml:space="preserve">Copernicus </v>
      </c>
      <c r="I750" s="31" t="str">
        <f>IF(ISERROR(FIND("Deneb",TR!F750)),"","Deneb ")</f>
        <v xml:space="preserve">Deneb </v>
      </c>
      <c r="J750" s="37" t="str">
        <f t="shared" si="13"/>
        <v xml:space="preserve">Adara Copernicus Deneb </v>
      </c>
      <c r="K750" s="31" t="str">
        <f>IF(ISBLANK(TR!G750),"",TR!G750)</f>
        <v/>
      </c>
      <c r="L750" s="31" t="str">
        <f>IF(ISBLANK(TR!H750),"",TR!H750)</f>
        <v>FR-DSRSW-1437</v>
      </c>
      <c r="M750" s="30" t="str">
        <f>TR!J750</f>
        <v>Approved</v>
      </c>
      <c r="N750" s="31" t="str">
        <f>IF(OR(M750="Modified",M750="Cosmetic"),VLOOKUP(B750,PrevPFS!B$1:E$833,4,FALSE),"")</f>
        <v/>
      </c>
    </row>
    <row r="751" spans="1:14" ht="45" x14ac:dyDescent="0.25">
      <c r="A751" s="31" t="str">
        <f>IF(ISNONTEXT(TR!K751),"",TR!K751)</f>
        <v>TR-0-ANC-1017</v>
      </c>
      <c r="B751" s="32" t="str">
        <f>TR!A751</f>
        <v>TR-DSRSW-2075</v>
      </c>
      <c r="C751" s="31" t="b">
        <f>ISERROR(FIND("-",TR!B751))</f>
        <v>0</v>
      </c>
      <c r="D751" s="31">
        <f>SetIndent(E751,(TR!C751-1)*2)</f>
        <v>4</v>
      </c>
      <c r="E751" s="35" t="str">
        <f>IF(ISERROR(FIND("-",TR!B751)),TR!B751&amp;" "&amp;TR!D751,TR!D751)</f>
        <v>The product SHALL support sample rates of 44.1 kHz and 48 kHz for Dolby Digital decode.</v>
      </c>
      <c r="F751" s="31" t="str">
        <f>TR!E751</f>
        <v>Req</v>
      </c>
      <c r="G751" s="31" t="str">
        <f>IF(ISERROR(FIND("Adara",TR!F751)),"","Adara ")</f>
        <v xml:space="preserve">Adara </v>
      </c>
      <c r="H751" s="31" t="str">
        <f>IF(ISERROR(FIND("Copernicus",TR!F751)),"","Copernicus ")</f>
        <v xml:space="preserve">Copernicus </v>
      </c>
      <c r="I751" s="31" t="str">
        <f>IF(ISERROR(FIND("Deneb",TR!F751)),"","Deneb ")</f>
        <v xml:space="preserve">Deneb </v>
      </c>
      <c r="J751" s="37" t="str">
        <f t="shared" si="13"/>
        <v xml:space="preserve">Adara Copernicus Deneb </v>
      </c>
      <c r="K751" s="31" t="str">
        <f>IF(ISBLANK(TR!G751),"",TR!G751)</f>
        <v/>
      </c>
      <c r="L751" s="31" t="str">
        <f>IF(ISBLANK(TR!H751),"",TR!H751)</f>
        <v>FR-DSRSW-1437</v>
      </c>
      <c r="M751" s="30" t="str">
        <f>TR!J751</f>
        <v>Approved</v>
      </c>
      <c r="N751" s="31" t="str">
        <f>IF(OR(M751="Modified",M751="Cosmetic"),VLOOKUP(B751,PrevPFS!B$1:E$833,4,FALSE),"")</f>
        <v/>
      </c>
    </row>
    <row r="752" spans="1:14" ht="45" x14ac:dyDescent="0.25">
      <c r="A752" s="31" t="str">
        <f>IF(ISNONTEXT(TR!K752),"",TR!K752)</f>
        <v>TR-0-ANC-1674</v>
      </c>
      <c r="B752" s="32" t="str">
        <f>TR!A752</f>
        <v>TR-DSRSW-2076</v>
      </c>
      <c r="C752" s="31" t="b">
        <f>ISERROR(FIND("-",TR!B752))</f>
        <v>0</v>
      </c>
      <c r="D752" s="31">
        <f>SetIndent(E752,(TR!C752-1)*2)</f>
        <v>4</v>
      </c>
      <c r="E752" s="35" t="str">
        <f>IF(ISERROR(FIND("-",TR!B752)),TR!B752&amp;" "&amp;TR!D752,TR!D752)</f>
        <v>The product SHALL support passing Dolby Digital audio to the digital audio outputs (SPDIF and HDMI) while simultaneously providing 2 channel (left/right) analog audio outputs.</v>
      </c>
      <c r="F752" s="31" t="str">
        <f>TR!E752</f>
        <v>Req</v>
      </c>
      <c r="G752" s="31" t="str">
        <f>IF(ISERROR(FIND("Adara",TR!F752)),"","Adara ")</f>
        <v xml:space="preserve">Adara </v>
      </c>
      <c r="H752" s="31" t="str">
        <f>IF(ISERROR(FIND("Copernicus",TR!F752)),"","Copernicus ")</f>
        <v xml:space="preserve">Copernicus </v>
      </c>
      <c r="I752" s="31" t="str">
        <f>IF(ISERROR(FIND("Deneb",TR!F752)),"","Deneb ")</f>
        <v xml:space="preserve">Deneb </v>
      </c>
      <c r="J752" s="37" t="str">
        <f t="shared" si="13"/>
        <v xml:space="preserve">Adara Copernicus Deneb </v>
      </c>
      <c r="K752" s="31" t="str">
        <f>IF(ISBLANK(TR!G752),"",TR!G752)</f>
        <v/>
      </c>
      <c r="L752" s="31" t="str">
        <f>IF(ISBLANK(TR!H752),"",TR!H752)</f>
        <v>FR-DSRSW-1437</v>
      </c>
      <c r="M752" s="30" t="str">
        <f>TR!J752</f>
        <v>Approved</v>
      </c>
      <c r="N752" s="31" t="str">
        <f>IF(OR(M752="Modified",M752="Cosmetic"),VLOOKUP(B752,PrevPFS!B$1:E$833,4,FALSE),"")</f>
        <v/>
      </c>
    </row>
    <row r="753" spans="1:14" ht="45" x14ac:dyDescent="0.25">
      <c r="A753" s="31" t="str">
        <f>IF(ISNONTEXT(TR!K753),"",TR!K753)</f>
        <v>TR-0-ANC-1704</v>
      </c>
      <c r="B753" s="32" t="str">
        <f>TR!A753</f>
        <v>TR-DSRSW-2077</v>
      </c>
      <c r="C753" s="31" t="b">
        <f>ISERROR(FIND("-",TR!B753))</f>
        <v>0</v>
      </c>
      <c r="D753" s="31">
        <f>SetIndent(E753,(TR!C753-1)*2)</f>
        <v>4</v>
      </c>
      <c r="E753" s="35" t="str">
        <f>IF(ISERROR(FIND("-",TR!B753)),TR!B753&amp;" "&amp;TR!D753,TR!D753)</f>
        <v>The product SHALL support decoding Dolby Digital audio to 2 channel (left/right) LPCM for the digital audio outputs (SPDIF and HDMI) simultaneously with 2 channel (left/right) analog audio outputs.</v>
      </c>
      <c r="F753" s="31" t="str">
        <f>TR!E753</f>
        <v>Req</v>
      </c>
      <c r="G753" s="31" t="str">
        <f>IF(ISERROR(FIND("Adara",TR!F753)),"","Adara ")</f>
        <v xml:space="preserve">Adara </v>
      </c>
      <c r="H753" s="31" t="str">
        <f>IF(ISERROR(FIND("Copernicus",TR!F753)),"","Copernicus ")</f>
        <v xml:space="preserve">Copernicus </v>
      </c>
      <c r="I753" s="31" t="str">
        <f>IF(ISERROR(FIND("Deneb",TR!F753)),"","Deneb ")</f>
        <v xml:space="preserve">Deneb </v>
      </c>
      <c r="J753" s="37" t="str">
        <f t="shared" si="13"/>
        <v xml:space="preserve">Adara Copernicus Deneb </v>
      </c>
      <c r="K753" s="31" t="str">
        <f>IF(ISBLANK(TR!G753),"",TR!G753)</f>
        <v/>
      </c>
      <c r="L753" s="31" t="str">
        <f>IF(ISBLANK(TR!H753),"",TR!H753)</f>
        <v>FR-DSRSW-1437</v>
      </c>
      <c r="M753" s="30" t="str">
        <f>TR!J753</f>
        <v>Approved</v>
      </c>
      <c r="N753" s="31" t="str">
        <f>IF(OR(M753="Modified",M753="Cosmetic"),VLOOKUP(B753,PrevPFS!B$1:E$833,4,FALSE),"")</f>
        <v/>
      </c>
    </row>
    <row r="754" spans="1:14" ht="60" x14ac:dyDescent="0.25">
      <c r="A754" s="31" t="str">
        <f>IF(ISNONTEXT(TR!K754),"",TR!K754)</f>
        <v>TR-0-ANC-1747</v>
      </c>
      <c r="B754" s="32" t="str">
        <f>TR!A754</f>
        <v>TR-DSRSW-2078</v>
      </c>
      <c r="C754" s="31" t="b">
        <f>ISERROR(FIND("-",TR!B754))</f>
        <v>0</v>
      </c>
      <c r="D754" s="31">
        <f>SetIndent(E754,(TR!C754-1)*2)</f>
        <v>4</v>
      </c>
      <c r="E754" s="35" t="str">
        <f>IF(ISERROR(FIND("-",TR!B754)),TR!B754&amp;" "&amp;TR!D754,TR!D754)</f>
        <v>The product SHALL support passing Dolby Digital audio to one digital audio output (HDMI or SPDIF), while simultaneously decoding Dolby Digital audio to 2 channel (left/right) LPCM for another digital audio output (SPDIF or HDMI) simultaneously with 2 channel (left/right) analog audio outputs.</v>
      </c>
      <c r="F754" s="31" t="str">
        <f>TR!E754</f>
        <v>Req</v>
      </c>
      <c r="G754" s="31" t="str">
        <f>IF(ISERROR(FIND("Adara",TR!F754)),"","Adara ")</f>
        <v xml:space="preserve">Adara </v>
      </c>
      <c r="H754" s="31" t="str">
        <f>IF(ISERROR(FIND("Copernicus",TR!F754)),"","Copernicus ")</f>
        <v xml:space="preserve">Copernicus </v>
      </c>
      <c r="I754" s="31" t="str">
        <f>IF(ISERROR(FIND("Deneb",TR!F754)),"","Deneb ")</f>
        <v xml:space="preserve">Deneb </v>
      </c>
      <c r="J754" s="37" t="str">
        <f t="shared" si="13"/>
        <v xml:space="preserve">Adara Copernicus Deneb </v>
      </c>
      <c r="K754" s="31" t="str">
        <f>IF(ISBLANK(TR!G754),"",TR!G754)</f>
        <v/>
      </c>
      <c r="L754" s="31" t="str">
        <f>IF(ISBLANK(TR!H754),"",TR!H754)</f>
        <v>FR-DSRSW-1437</v>
      </c>
      <c r="M754" s="30" t="str">
        <f>TR!J754</f>
        <v>Approved</v>
      </c>
      <c r="N754" s="31" t="str">
        <f>IF(OR(M754="Modified",M754="Cosmetic"),VLOOKUP(B754,PrevPFS!B$1:E$833,4,FALSE),"")</f>
        <v/>
      </c>
    </row>
    <row r="755" spans="1:14" ht="45" x14ac:dyDescent="0.25">
      <c r="A755" s="31" t="str">
        <f>IF(ISNONTEXT(TR!K755),"",TR!K755)</f>
        <v>TR-0-ANC-1675</v>
      </c>
      <c r="B755" s="32" t="str">
        <f>TR!A755</f>
        <v>TR-DSRSW-2079</v>
      </c>
      <c r="C755" s="31" t="b">
        <f>ISERROR(FIND("-",TR!B755))</f>
        <v>0</v>
      </c>
      <c r="D755" s="31">
        <f>SetIndent(E755,(TR!C755-1)*2)</f>
        <v>4</v>
      </c>
      <c r="E755" s="35" t="str">
        <f>IF(ISERROR(FIND("-",TR!B755)),TR!B755&amp;" "&amp;TR!D755,TR!D755)</f>
        <v>The product's HDMI and SPDIF outputs SHALL be independently configurable to carry either Dolby Digital or 2-channel (left/right) LPCM.</v>
      </c>
      <c r="F755" s="31" t="str">
        <f>TR!E755</f>
        <v>Req</v>
      </c>
      <c r="G755" s="31" t="str">
        <f>IF(ISERROR(FIND("Adara",TR!F755)),"","Adara ")</f>
        <v xml:space="preserve">Adara </v>
      </c>
      <c r="H755" s="31" t="str">
        <f>IF(ISERROR(FIND("Copernicus",TR!F755)),"","Copernicus ")</f>
        <v xml:space="preserve">Copernicus </v>
      </c>
      <c r="I755" s="31" t="str">
        <f>IF(ISERROR(FIND("Deneb",TR!F755)),"","Deneb ")</f>
        <v xml:space="preserve">Deneb </v>
      </c>
      <c r="J755" s="37" t="str">
        <f t="shared" si="13"/>
        <v xml:space="preserve">Adara Copernicus Deneb </v>
      </c>
      <c r="K755" s="31" t="str">
        <f>IF(ISBLANK(TR!G755),"",TR!G755)</f>
        <v/>
      </c>
      <c r="L755" s="31" t="str">
        <f>IF(ISBLANK(TR!H755),"",TR!H755)</f>
        <v>FR-DSRSW-1437</v>
      </c>
      <c r="M755" s="30" t="str">
        <f>TR!J755</f>
        <v>Approved</v>
      </c>
      <c r="N755" s="31" t="str">
        <f>IF(OR(M755="Modified",M755="Cosmetic"),VLOOKUP(B755,PrevPFS!B$1:E$833,4,FALSE),"")</f>
        <v/>
      </c>
    </row>
    <row r="756" spans="1:14" ht="45" x14ac:dyDescent="0.25">
      <c r="A756" s="31" t="str">
        <f>IF(ISNONTEXT(TR!K756),"",TR!K756)</f>
        <v>TR-0-ANC-1748</v>
      </c>
      <c r="B756" s="32" t="str">
        <f>TR!A756</f>
        <v>TR-DSRSW-2080</v>
      </c>
      <c r="C756" s="31" t="b">
        <f>ISERROR(FIND("-",TR!B756))</f>
        <v>0</v>
      </c>
      <c r="D756" s="31">
        <f>SetIndent(E756,(TR!C756-1)*2)</f>
        <v>4</v>
      </c>
      <c r="E756" s="35" t="str">
        <f>IF(ISERROR(FIND("-",TR!B756)),TR!B756&amp;" "&amp;TR!D756,TR!D756)</f>
        <v>The product SHALL decode and map a single (mono) channel Dolby Digital source to both left and right output channels.</v>
      </c>
      <c r="F756" s="31" t="str">
        <f>TR!E756</f>
        <v>Req</v>
      </c>
      <c r="G756" s="31" t="str">
        <f>IF(ISERROR(FIND("Adara",TR!F756)),"","Adara ")</f>
        <v xml:space="preserve">Adara </v>
      </c>
      <c r="H756" s="31" t="str">
        <f>IF(ISERROR(FIND("Copernicus",TR!F756)),"","Copernicus ")</f>
        <v xml:space="preserve">Copernicus </v>
      </c>
      <c r="I756" s="31" t="str">
        <f>IF(ISERROR(FIND("Deneb",TR!F756)),"","Deneb ")</f>
        <v xml:space="preserve">Deneb </v>
      </c>
      <c r="J756" s="37" t="str">
        <f t="shared" si="13"/>
        <v xml:space="preserve">Adara Copernicus Deneb </v>
      </c>
      <c r="K756" s="31" t="str">
        <f>IF(ISBLANK(TR!G756),"",TR!G756)</f>
        <v/>
      </c>
      <c r="L756" s="31" t="str">
        <f>IF(ISBLANK(TR!H756),"",TR!H756)</f>
        <v>FR-DSRSW-1437</v>
      </c>
      <c r="M756" s="30" t="str">
        <f>TR!J756</f>
        <v>Approved</v>
      </c>
      <c r="N756" s="31" t="str">
        <f>IF(OR(M756="Modified",M756="Cosmetic"),VLOOKUP(B756,PrevPFS!B$1:E$833,4,FALSE),"")</f>
        <v/>
      </c>
    </row>
    <row r="757" spans="1:14" ht="45" x14ac:dyDescent="0.25">
      <c r="A757" s="31" t="str">
        <f>IF(ISNONTEXT(TR!K757),"",TR!K757)</f>
        <v/>
      </c>
      <c r="B757" s="32" t="str">
        <f>TR!A757</f>
        <v>TR-DSRSW-2197</v>
      </c>
      <c r="C757" s="31" t="b">
        <f>ISERROR(FIND("-",TR!B757))</f>
        <v>1</v>
      </c>
      <c r="D757" s="31">
        <f>SetIndent(E757,(TR!C757-1)*2)</f>
        <v>2</v>
      </c>
      <c r="E757" s="34" t="str">
        <f>IF(ISERROR(FIND("-",TR!B757)),TR!B757&amp;" "&amp;TR!D757,TR!D757)</f>
        <v>28.5 Dolby Digital Plus Audio Decode</v>
      </c>
      <c r="F757" s="31" t="str">
        <f>TR!E757</f>
        <v>Hdr</v>
      </c>
      <c r="G757" s="31" t="str">
        <f>IF(ISERROR(FIND("Adara",TR!F757)),"","Adara ")</f>
        <v xml:space="preserve">Adara </v>
      </c>
      <c r="H757" s="31" t="str">
        <f>IF(ISERROR(FIND("Copernicus",TR!F757)),"","Copernicus ")</f>
        <v xml:space="preserve">Copernicus </v>
      </c>
      <c r="I757" s="31" t="str">
        <f>IF(ISERROR(FIND("Deneb",TR!F757)),"","Deneb ")</f>
        <v xml:space="preserve">Deneb </v>
      </c>
      <c r="J757" s="37" t="str">
        <f t="shared" si="13"/>
        <v xml:space="preserve">Adara Copernicus Deneb </v>
      </c>
      <c r="K757" s="31" t="str">
        <f>IF(ISBLANK(TR!G757),"",TR!G757)</f>
        <v/>
      </c>
      <c r="L757" s="31" t="str">
        <f>IF(ISBLANK(TR!H757),"",TR!H757)</f>
        <v>FR-DSRSW-1438</v>
      </c>
      <c r="M757" s="30" t="str">
        <f>TR!J757</f>
        <v>Approved</v>
      </c>
      <c r="N757" s="31" t="str">
        <f>IF(OR(M757="Modified",M757="Cosmetic"),VLOOKUP(B757,PrevPFS!B$1:E$833,4,FALSE),"")</f>
        <v/>
      </c>
    </row>
    <row r="758" spans="1:14" ht="45" x14ac:dyDescent="0.25">
      <c r="A758" s="31" t="str">
        <f>IF(ISNONTEXT(TR!K758),"",TR!K758)</f>
        <v/>
      </c>
      <c r="B758" s="32" t="str">
        <f>TR!A758</f>
        <v>TR-DSRSW-2083</v>
      </c>
      <c r="C758" s="31" t="b">
        <f>ISERROR(FIND("-",TR!B758))</f>
        <v>0</v>
      </c>
      <c r="D758" s="31">
        <f>SetIndent(E758,(TR!C758-1)*2)</f>
        <v>4</v>
      </c>
      <c r="E758" s="35" t="str">
        <f>IF(ISERROR(FIND("-",TR!B758)),TR!B758&amp;" "&amp;TR!D758,TR!D758)</f>
        <v>Requirements in this section only apply if the set-top platform supports the specific output interface.</v>
      </c>
      <c r="F758" s="31" t="str">
        <f>TR!E758</f>
        <v>Com</v>
      </c>
      <c r="G758" s="31" t="str">
        <f>IF(ISERROR(FIND("Adara",TR!F758)),"","Adara ")</f>
        <v xml:space="preserve">Adara </v>
      </c>
      <c r="H758" s="31" t="str">
        <f>IF(ISERROR(FIND("Copernicus",TR!F758)),"","Copernicus ")</f>
        <v xml:space="preserve">Copernicus </v>
      </c>
      <c r="I758" s="31" t="str">
        <f>IF(ISERROR(FIND("Deneb",TR!F758)),"","Deneb ")</f>
        <v xml:space="preserve">Deneb </v>
      </c>
      <c r="J758" s="37" t="str">
        <f t="shared" si="13"/>
        <v xml:space="preserve">Adara Copernicus Deneb </v>
      </c>
      <c r="K758" s="31" t="str">
        <f>IF(ISBLANK(TR!G758),"",TR!G758)</f>
        <v/>
      </c>
      <c r="L758" s="31" t="str">
        <f>IF(ISBLANK(TR!H758),"",TR!H758)</f>
        <v>FR-DSRSW-1438</v>
      </c>
      <c r="M758" s="30" t="str">
        <f>TR!J758</f>
        <v>Approved</v>
      </c>
      <c r="N758" s="31" t="str">
        <f>IF(OR(M758="Modified",M758="Cosmetic"),VLOOKUP(B758,PrevPFS!B$1:E$833,4,FALSE),"")</f>
        <v/>
      </c>
    </row>
    <row r="759" spans="1:14" ht="45" x14ac:dyDescent="0.25">
      <c r="A759" s="31" t="str">
        <f>IF(ISNONTEXT(TR!K759),"",TR!K759)</f>
        <v>TR-0-ANC-1740</v>
      </c>
      <c r="B759" s="32" t="str">
        <f>TR!A759</f>
        <v>TR-DSRSW-2084</v>
      </c>
      <c r="C759" s="31" t="b">
        <f>ISERROR(FIND("-",TR!B759))</f>
        <v>0</v>
      </c>
      <c r="D759" s="31">
        <f>SetIndent(E759,(TR!C759-1)*2)</f>
        <v>4</v>
      </c>
      <c r="E759" s="35" t="str">
        <f>IF(ISERROR(FIND("-",TR!B759)),TR!B759&amp;" "&amp;TR!D759,TR!D759)</f>
        <v>The product SHALL be capable of decoding Dolby Digital Plus audio streams with sample rates of 44.1 kHz and 48 kHz.</v>
      </c>
      <c r="F759" s="31" t="str">
        <f>TR!E759</f>
        <v>Req</v>
      </c>
      <c r="G759" s="31" t="str">
        <f>IF(ISERROR(FIND("Adara",TR!F759)),"","Adara ")</f>
        <v xml:space="preserve">Adara </v>
      </c>
      <c r="H759" s="31" t="str">
        <f>IF(ISERROR(FIND("Copernicus",TR!F759)),"","Copernicus ")</f>
        <v xml:space="preserve">Copernicus </v>
      </c>
      <c r="I759" s="31" t="str">
        <f>IF(ISERROR(FIND("Deneb",TR!F759)),"","Deneb ")</f>
        <v xml:space="preserve">Deneb </v>
      </c>
      <c r="J759" s="37" t="str">
        <f t="shared" si="13"/>
        <v xml:space="preserve">Adara Copernicus Deneb </v>
      </c>
      <c r="K759" s="31" t="str">
        <f>IF(ISBLANK(TR!G759),"",TR!G759)</f>
        <v/>
      </c>
      <c r="L759" s="31" t="str">
        <f>IF(ISBLANK(TR!H759),"",TR!H759)</f>
        <v>FR-DSRSW-1438</v>
      </c>
      <c r="M759" s="30" t="str">
        <f>TR!J759</f>
        <v>Approved</v>
      </c>
      <c r="N759" s="31" t="str">
        <f>IF(OR(M759="Modified",M759="Cosmetic"),VLOOKUP(B759,PrevPFS!B$1:E$833,4,FALSE),"")</f>
        <v/>
      </c>
    </row>
    <row r="760" spans="1:14" ht="60" x14ac:dyDescent="0.25">
      <c r="A760" s="31" t="str">
        <f>IF(ISNONTEXT(TR!K760),"",TR!K760)</f>
        <v>TR-0-ANC-1706</v>
      </c>
      <c r="B760" s="32" t="str">
        <f>TR!A760</f>
        <v>TR-DSRSW-2085</v>
      </c>
      <c r="C760" s="31" t="b">
        <f>ISERROR(FIND("-",TR!B760))</f>
        <v>0</v>
      </c>
      <c r="D760" s="31">
        <f>SetIndent(E760,(TR!C760-1)*2)</f>
        <v>4</v>
      </c>
      <c r="E760" s="35" t="str">
        <f>IF(ISERROR(FIND("-",TR!B760)),TR!B760&amp;" "&amp;TR!D760,TR!D760)</f>
        <v>The product SHALL be capable of remapping Dolby Digital Plus (E-AC-3) audio streams to Dolby Digital (AC-3) audio streams for the digital audio outputs (SPDIF and HDMI) while simultaneously providing downmixed 2-channel (left/right) Dolby surround audio on the analog audio outputs.</v>
      </c>
      <c r="F760" s="31" t="str">
        <f>TR!E760</f>
        <v>Req</v>
      </c>
      <c r="G760" s="31" t="str">
        <f>IF(ISERROR(FIND("Adara",TR!F760)),"","Adara ")</f>
        <v xml:space="preserve">Adara </v>
      </c>
      <c r="H760" s="31" t="str">
        <f>IF(ISERROR(FIND("Copernicus",TR!F760)),"","Copernicus ")</f>
        <v xml:space="preserve">Copernicus </v>
      </c>
      <c r="I760" s="31" t="str">
        <f>IF(ISERROR(FIND("Deneb",TR!F760)),"","Deneb ")</f>
        <v xml:space="preserve">Deneb </v>
      </c>
      <c r="J760" s="37" t="str">
        <f t="shared" si="13"/>
        <v xml:space="preserve">Adara Copernicus Deneb </v>
      </c>
      <c r="K760" s="31" t="str">
        <f>IF(ISBLANK(TR!G760),"",TR!G760)</f>
        <v/>
      </c>
      <c r="L760" s="31" t="str">
        <f>IF(ISBLANK(TR!H760),"",TR!H760)</f>
        <v>FR-DSRSW-1438</v>
      </c>
      <c r="M760" s="30" t="str">
        <f>TR!J760</f>
        <v>Approved</v>
      </c>
      <c r="N760" s="31" t="str">
        <f>IF(OR(M760="Modified",M760="Cosmetic"),VLOOKUP(B760,PrevPFS!B$1:E$833,4,FALSE),"")</f>
        <v/>
      </c>
    </row>
    <row r="761" spans="1:14" ht="45" x14ac:dyDescent="0.25">
      <c r="A761" s="31" t="str">
        <f>IF(ISNONTEXT(TR!K761),"",TR!K761)</f>
        <v>TR-0-ANC-1707</v>
      </c>
      <c r="B761" s="32" t="str">
        <f>TR!A761</f>
        <v>TR-DSRSW-2086</v>
      </c>
      <c r="C761" s="31" t="b">
        <f>ISERROR(FIND("-",TR!B761))</f>
        <v>0</v>
      </c>
      <c r="D761" s="31">
        <f>SetIndent(E761,(TR!C761-1)*2)</f>
        <v>4</v>
      </c>
      <c r="E761" s="35" t="str">
        <f>IF(ISERROR(FIND("-",TR!B761)),TR!B761&amp;" "&amp;TR!D761,TR!D761)</f>
        <v>The product SHALL be capable of decoding Dolby Digital Plus to 2-channel (left/right) LPCM for the digital audio outputs (SPDIF and HDMI) while simultaneously providing downmixed 2-channel (left/right) Dolby surround audio on the analog audio outputs.</v>
      </c>
      <c r="F761" s="31" t="str">
        <f>TR!E761</f>
        <v>Req</v>
      </c>
      <c r="G761" s="31" t="str">
        <f>IF(ISERROR(FIND("Adara",TR!F761)),"","Adara ")</f>
        <v xml:space="preserve">Adara </v>
      </c>
      <c r="H761" s="31" t="str">
        <f>IF(ISERROR(FIND("Copernicus",TR!F761)),"","Copernicus ")</f>
        <v xml:space="preserve">Copernicus </v>
      </c>
      <c r="I761" s="31" t="str">
        <f>IF(ISERROR(FIND("Deneb",TR!F761)),"","Deneb ")</f>
        <v xml:space="preserve">Deneb </v>
      </c>
      <c r="J761" s="37" t="str">
        <f t="shared" si="13"/>
        <v xml:space="preserve">Adara Copernicus Deneb </v>
      </c>
      <c r="K761" s="31" t="str">
        <f>IF(ISBLANK(TR!G761),"",TR!G761)</f>
        <v/>
      </c>
      <c r="L761" s="31" t="str">
        <f>IF(ISBLANK(TR!H761),"",TR!H761)</f>
        <v>FR-DSRSW-1438</v>
      </c>
      <c r="M761" s="30" t="str">
        <f>TR!J761</f>
        <v>Approved</v>
      </c>
      <c r="N761" s="31" t="str">
        <f>IF(OR(M761="Modified",M761="Cosmetic"),VLOOKUP(B761,PrevPFS!B$1:E$833,4,FALSE),"")</f>
        <v/>
      </c>
    </row>
    <row r="762" spans="1:14" ht="60" x14ac:dyDescent="0.25">
      <c r="A762" s="31" t="str">
        <f>IF(ISNONTEXT(TR!K762),"",TR!K762)</f>
        <v>TR-0-ANC-1750</v>
      </c>
      <c r="B762" s="32" t="str">
        <f>TR!A762</f>
        <v>TR-DSRSW-2087</v>
      </c>
      <c r="C762" s="31" t="b">
        <f>ISERROR(FIND("-",TR!B762))</f>
        <v>0</v>
      </c>
      <c r="D762" s="31">
        <f>SetIndent(E762,(TR!C762-1)*2)</f>
        <v>4</v>
      </c>
      <c r="E762" s="35" t="str">
        <f>IF(ISERROR(FIND("-",TR!B762)),TR!B762&amp;" "&amp;TR!D762,TR!D762)</f>
        <v>The product SHALL support remapping Dolby Digital Plus to Dolby Digital for one digital audio output (HDMI or SPDIF), while simultaneously decoding Dolby Digital Plus audio to 2 channel (left/right) LPCM for another digital audio output (SPDIF or HDMI) simultaneously with 2 channel (left/right) analog audio outputs.</v>
      </c>
      <c r="F762" s="31" t="str">
        <f>TR!E762</f>
        <v>Req</v>
      </c>
      <c r="G762" s="31" t="str">
        <f>IF(ISERROR(FIND("Adara",TR!F762)),"","Adara ")</f>
        <v xml:space="preserve">Adara </v>
      </c>
      <c r="H762" s="31" t="str">
        <f>IF(ISERROR(FIND("Copernicus",TR!F762)),"","Copernicus ")</f>
        <v xml:space="preserve">Copernicus </v>
      </c>
      <c r="I762" s="31" t="str">
        <f>IF(ISERROR(FIND("Deneb",TR!F762)),"","Deneb ")</f>
        <v xml:space="preserve">Deneb </v>
      </c>
      <c r="J762" s="37" t="str">
        <f t="shared" si="13"/>
        <v xml:space="preserve">Adara Copernicus Deneb </v>
      </c>
      <c r="K762" s="31" t="str">
        <f>IF(ISBLANK(TR!G762),"",TR!G762)</f>
        <v/>
      </c>
      <c r="L762" s="31" t="str">
        <f>IF(ISBLANK(TR!H762),"",TR!H762)</f>
        <v>FR-DSRSW-1438</v>
      </c>
      <c r="M762" s="30" t="str">
        <f>TR!J762</f>
        <v>Approved</v>
      </c>
      <c r="N762" s="31" t="str">
        <f>IF(OR(M762="Modified",M762="Cosmetic"),VLOOKUP(B762,PrevPFS!B$1:E$833,4,FALSE),"")</f>
        <v/>
      </c>
    </row>
    <row r="763" spans="1:14" ht="45" x14ac:dyDescent="0.25">
      <c r="A763" s="31" t="str">
        <f>IF(ISNONTEXT(TR!K763),"",TR!K763)</f>
        <v>TR-0-ANC-1753</v>
      </c>
      <c r="B763" s="32" t="str">
        <f>TR!A763</f>
        <v>TR-DSRSW-2088</v>
      </c>
      <c r="C763" s="31" t="b">
        <f>ISERROR(FIND("-",TR!B763))</f>
        <v>0</v>
      </c>
      <c r="D763" s="31">
        <f>SetIndent(E763,(TR!C763-1)*2)</f>
        <v>4</v>
      </c>
      <c r="E763" s="35" t="str">
        <f>IF(ISERROR(FIND("-",TR!B763)),TR!B763&amp;" "&amp;TR!D763,TR!D763)</f>
        <v>The product SHALL support passing Dolby Digital Plus audio to the HDMI output, while simultaneously providing 2 channel (left/right) analog audio outputs, and PCM to the SPDIF output.</v>
      </c>
      <c r="F763" s="31" t="str">
        <f>TR!E763</f>
        <v>Req</v>
      </c>
      <c r="G763" s="31" t="str">
        <f>IF(ISERROR(FIND("Adara",TR!F763)),"","Adara ")</f>
        <v xml:space="preserve">Adara </v>
      </c>
      <c r="H763" s="31" t="str">
        <f>IF(ISERROR(FIND("Copernicus",TR!F763)),"","Copernicus ")</f>
        <v xml:space="preserve">Copernicus </v>
      </c>
      <c r="I763" s="31" t="str">
        <f>IF(ISERROR(FIND("Deneb",TR!F763)),"","Deneb ")</f>
        <v xml:space="preserve">Deneb </v>
      </c>
      <c r="J763" s="37" t="str">
        <f t="shared" si="13"/>
        <v xml:space="preserve">Adara Copernicus Deneb </v>
      </c>
      <c r="K763" s="31" t="str">
        <f>IF(ISBLANK(TR!G763),"",TR!G763)</f>
        <v/>
      </c>
      <c r="L763" s="31" t="str">
        <f>IF(ISBLANK(TR!H763),"",TR!H763)</f>
        <v>FR-DSRSW-1438</v>
      </c>
      <c r="M763" s="30" t="str">
        <f>TR!J763</f>
        <v>Approved</v>
      </c>
      <c r="N763" s="31" t="str">
        <f>IF(OR(M763="Modified",M763="Cosmetic"),VLOOKUP(B763,PrevPFS!B$1:E$833,4,FALSE),"")</f>
        <v/>
      </c>
    </row>
    <row r="764" spans="1:14" ht="45" x14ac:dyDescent="0.25">
      <c r="A764" s="31" t="str">
        <f>IF(ISNONTEXT(TR!K764),"",TR!K764)</f>
        <v>FR-AUDIF-1048</v>
      </c>
      <c r="B764" s="32" t="str">
        <f>TR!A764</f>
        <v>TR-DSRSW-2089</v>
      </c>
      <c r="C764" s="31" t="b">
        <f>ISERROR(FIND("-",TR!B764))</f>
        <v>1</v>
      </c>
      <c r="D764" s="31">
        <f>SetIndent(E764,(TR!C764-1)*2)</f>
        <v>2</v>
      </c>
      <c r="E764" s="34" t="str">
        <f>IF(ISERROR(FIND("-",TR!B764)),TR!B764&amp;" "&amp;TR!D764,TR!D764)</f>
        <v>28.6 Dolby Digital Plus Selection</v>
      </c>
      <c r="F764" s="31" t="str">
        <f>TR!E764</f>
        <v>Hdr</v>
      </c>
      <c r="G764" s="31" t="str">
        <f>IF(ISERROR(FIND("Adara",TR!F764)),"","Adara ")</f>
        <v xml:space="preserve">Adara </v>
      </c>
      <c r="H764" s="31" t="str">
        <f>IF(ISERROR(FIND("Copernicus",TR!F764)),"","Copernicus ")</f>
        <v xml:space="preserve">Copernicus </v>
      </c>
      <c r="I764" s="31" t="str">
        <f>IF(ISERROR(FIND("Deneb",TR!F764)),"","Deneb ")</f>
        <v xml:space="preserve">Deneb </v>
      </c>
      <c r="J764" s="37" t="str">
        <f t="shared" si="13"/>
        <v xml:space="preserve">Adara Copernicus Deneb </v>
      </c>
      <c r="K764" s="31" t="str">
        <f>IF(ISBLANK(TR!G764),"",TR!G764)</f>
        <v/>
      </c>
      <c r="L764" s="31" t="str">
        <f>IF(ISBLANK(TR!H764),"",TR!H764)</f>
        <v>FR-DSRSW-1439</v>
      </c>
      <c r="M764" s="30" t="str">
        <f>TR!J764</f>
        <v>Approved</v>
      </c>
      <c r="N764" s="31" t="str">
        <f>IF(OR(M764="Modified",M764="Cosmetic"),VLOOKUP(B764,PrevPFS!B$1:E$833,4,FALSE),"")</f>
        <v/>
      </c>
    </row>
    <row r="765" spans="1:14" ht="45" x14ac:dyDescent="0.25">
      <c r="A765" s="31" t="str">
        <f>IF(ISNONTEXT(TR!K765),"",TR!K765)</f>
        <v>FR-AUDIF-1048</v>
      </c>
      <c r="B765" s="32" t="str">
        <f>TR!A765</f>
        <v>TR-DSRSW-2495</v>
      </c>
      <c r="C765" s="31" t="b">
        <f>ISERROR(FIND("-",TR!B765))</f>
        <v>0</v>
      </c>
      <c r="D765" s="31">
        <f>SetIndent(E765,(TR!C765-1)*2)</f>
        <v>4</v>
      </c>
      <c r="E765" s="35" t="str">
        <f>IF(ISERROR(FIND("-",TR!B765)),TR!B765&amp;" "&amp;TR!D765,TR!D765)</f>
        <v>The product SHALL acquire the Dolby Digital Plus component if present in a digital service.</v>
      </c>
      <c r="F765" s="31" t="str">
        <f>TR!E765</f>
        <v>Com</v>
      </c>
      <c r="G765" s="31" t="str">
        <f>IF(ISERROR(FIND("Adara",TR!F765)),"","Adara ")</f>
        <v xml:space="preserve">Adara </v>
      </c>
      <c r="H765" s="31" t="str">
        <f>IF(ISERROR(FIND("Copernicus",TR!F765)),"","Copernicus ")</f>
        <v xml:space="preserve">Copernicus </v>
      </c>
      <c r="I765" s="31" t="str">
        <f>IF(ISERROR(FIND("Deneb",TR!F765)),"","Deneb ")</f>
        <v xml:space="preserve">Deneb </v>
      </c>
      <c r="J765" s="37" t="str">
        <f t="shared" si="13"/>
        <v xml:space="preserve">Adara Copernicus Deneb </v>
      </c>
      <c r="K765" s="31" t="str">
        <f>IF(ISBLANK(TR!G765),"",TR!G765)</f>
        <v/>
      </c>
      <c r="L765" s="31" t="str">
        <f>IF(ISBLANK(TR!H765),"",TR!H765)</f>
        <v/>
      </c>
      <c r="M765" s="30" t="str">
        <f>TR!J765</f>
        <v>Approved</v>
      </c>
      <c r="N765" s="31" t="str">
        <f>IF(OR(M765="Modified",M765="Cosmetic"),VLOOKUP(B765,PrevPFS!B$1:E$833,4,FALSE),"")</f>
        <v/>
      </c>
    </row>
    <row r="766" spans="1:14" ht="45" x14ac:dyDescent="0.25">
      <c r="A766" s="31" t="str">
        <f>IF(ISNONTEXT(TR!K766),"",TR!K766)</f>
        <v>TR-0-AUDSEL-FPR-1074</v>
      </c>
      <c r="B766" s="32" t="str">
        <f>TR!A766</f>
        <v>TR-DSRSW-2090</v>
      </c>
      <c r="C766" s="31" t="b">
        <f>ISERROR(FIND("-",TR!B766))</f>
        <v>0</v>
      </c>
      <c r="D766" s="31">
        <f>SetIndent(E766,(TR!C766-1)*2)</f>
        <v>4</v>
      </c>
      <c r="E766" s="35" t="str">
        <f>IF(ISERROR(FIND("-",TR!B766)),TR!B766&amp;" "&amp;TR!D766,TR!D766)</f>
        <v xml:space="preserve">The product SHALL acquire the service component carrying Dolby Digital Plus (DD+), service component with stream type 0x87, IF the product can decode DD+, AND the service component has a language descriptor that matches the preferred language. </v>
      </c>
      <c r="F766" s="31" t="str">
        <f>TR!E766</f>
        <v>Req</v>
      </c>
      <c r="G766" s="31" t="str">
        <f>IF(ISERROR(FIND("Adara",TR!F766)),"","Adara ")</f>
        <v xml:space="preserve">Adara </v>
      </c>
      <c r="H766" s="31" t="str">
        <f>IF(ISERROR(FIND("Copernicus",TR!F766)),"","Copernicus ")</f>
        <v xml:space="preserve">Copernicus </v>
      </c>
      <c r="I766" s="31" t="str">
        <f>IF(ISERROR(FIND("Deneb",TR!F766)),"","Deneb ")</f>
        <v xml:space="preserve">Deneb </v>
      </c>
      <c r="J766" s="37" t="str">
        <f t="shared" si="13"/>
        <v xml:space="preserve">Adara Copernicus Deneb </v>
      </c>
      <c r="K766" s="31" t="str">
        <f>IF(ISBLANK(TR!G766),"",TR!G766)</f>
        <v/>
      </c>
      <c r="L766" s="31" t="str">
        <f>IF(ISBLANK(TR!H766),"",TR!H766)</f>
        <v>FR-DSRSW-1439</v>
      </c>
      <c r="M766" s="30" t="str">
        <f>TR!J766</f>
        <v>Approved</v>
      </c>
      <c r="N766" s="31" t="str">
        <f>IF(OR(M766="Modified",M766="Cosmetic"),VLOOKUP(B766,PrevPFS!B$1:E$833,4,FALSE),"")</f>
        <v/>
      </c>
    </row>
    <row r="767" spans="1:14" ht="75" x14ac:dyDescent="0.25">
      <c r="A767" s="31" t="str">
        <f>IF(ISNONTEXT(TR!K767),"",TR!K767)</f>
        <v>TR-0-AUDSEL-FPR-1075</v>
      </c>
      <c r="B767" s="32" t="str">
        <f>TR!A767</f>
        <v>TR-DSRSW-2091</v>
      </c>
      <c r="C767" s="31" t="b">
        <f>ISERROR(FIND("-",TR!B767))</f>
        <v>0</v>
      </c>
      <c r="D767" s="31">
        <f>SetIndent(E767,(TR!C767-1)*2)</f>
        <v>4</v>
      </c>
      <c r="E767" s="35" t="str">
        <f>IF(ISERROR(FIND("-",TR!B767)),TR!B767&amp;" "&amp;TR!D767,TR!D767)</f>
        <v xml:space="preserve">The product SHALL acquire the first Dolby Digital audio component detected in the PMT IF a service component with stream type 0x81 with a language descriptor that matches the preferred language is present in the digital service. (i.e. the platform will not toggle between acquiring different audio components with the same component type and language descriptor.)   </v>
      </c>
      <c r="F767" s="31" t="str">
        <f>TR!E767</f>
        <v>Req</v>
      </c>
      <c r="G767" s="31" t="str">
        <f>IF(ISERROR(FIND("Adara",TR!F767)),"","Adara ")</f>
        <v xml:space="preserve">Adara </v>
      </c>
      <c r="H767" s="31" t="str">
        <f>IF(ISERROR(FIND("Copernicus",TR!F767)),"","Copernicus ")</f>
        <v xml:space="preserve">Copernicus </v>
      </c>
      <c r="I767" s="31" t="str">
        <f>IF(ISERROR(FIND("Deneb",TR!F767)),"","Deneb ")</f>
        <v xml:space="preserve">Deneb </v>
      </c>
      <c r="J767" s="37" t="str">
        <f t="shared" si="13"/>
        <v xml:space="preserve">Adara Copernicus Deneb </v>
      </c>
      <c r="K767" s="31" t="str">
        <f>IF(ISBLANK(TR!G767),"",TR!G767)</f>
        <v/>
      </c>
      <c r="L767" s="31" t="str">
        <f>IF(ISBLANK(TR!H767),"",TR!H767)</f>
        <v>FR-DSRSW-1439</v>
      </c>
      <c r="M767" s="30" t="str">
        <f>TR!J767</f>
        <v>Approved</v>
      </c>
      <c r="N767" s="31" t="str">
        <f>IF(OR(M767="Modified",M767="Cosmetic"),VLOOKUP(B767,PrevPFS!B$1:E$833,4,FALSE),"")</f>
        <v/>
      </c>
    </row>
    <row r="768" spans="1:14" ht="60" x14ac:dyDescent="0.25">
      <c r="A768" s="31" t="str">
        <f>IF(ISNONTEXT(TR!K768),"",TR!K768)</f>
        <v>TR-0-AUDSEL-FPR-1079</v>
      </c>
      <c r="B768" s="32" t="str">
        <f>TR!A768</f>
        <v>TR-DSRSW-2092</v>
      </c>
      <c r="C768" s="31" t="b">
        <f>ISERROR(FIND("-",TR!B768))</f>
        <v>0</v>
      </c>
      <c r="D768" s="31">
        <f>SetIndent(E768,(TR!C768-1)*2)</f>
        <v>4</v>
      </c>
      <c r="E768" s="35" t="str">
        <f>IF(ISERROR(FIND("-",TR!B768)),TR!B768&amp;" "&amp;TR!D768,TR!D768)</f>
        <v xml:space="preserve">The product SHALL acquire the first Dolby Digital audio component detected in the PMT IF a service component with stream type 0x81 is present in the digital service AND there are no audio components in the stream that have language descriptors that match the preferred language. </v>
      </c>
      <c r="F768" s="31" t="str">
        <f>TR!E768</f>
        <v>Req</v>
      </c>
      <c r="G768" s="31" t="str">
        <f>IF(ISERROR(FIND("Adara",TR!F768)),"","Adara ")</f>
        <v xml:space="preserve">Adara </v>
      </c>
      <c r="H768" s="31" t="str">
        <f>IF(ISERROR(FIND("Copernicus",TR!F768)),"","Copernicus ")</f>
        <v xml:space="preserve">Copernicus </v>
      </c>
      <c r="I768" s="31" t="str">
        <f>IF(ISERROR(FIND("Deneb",TR!F768)),"","Deneb ")</f>
        <v xml:space="preserve">Deneb </v>
      </c>
      <c r="J768" s="37" t="str">
        <f t="shared" si="13"/>
        <v xml:space="preserve">Adara Copernicus Deneb </v>
      </c>
      <c r="K768" s="31" t="str">
        <f>IF(ISBLANK(TR!G768),"",TR!G768)</f>
        <v/>
      </c>
      <c r="L768" s="31" t="str">
        <f>IF(ISBLANK(TR!H768),"",TR!H768)</f>
        <v>FR-DSRSW-1439</v>
      </c>
      <c r="M768" s="30" t="str">
        <f>TR!J768</f>
        <v>Approved</v>
      </c>
      <c r="N768" s="31" t="str">
        <f>IF(OR(M768="Modified",M768="Cosmetic"),VLOOKUP(B768,PrevPFS!B$1:E$833,4,FALSE),"")</f>
        <v/>
      </c>
    </row>
    <row r="769" spans="1:14" ht="45" x14ac:dyDescent="0.25">
      <c r="A769" s="31" t="str">
        <f>IF(ISNONTEXT(TR!K769),"",TR!K769)</f>
        <v>TR-0-AUDSEL-FPR-1148</v>
      </c>
      <c r="B769" s="32" t="str">
        <f>TR!A769</f>
        <v>TR-DSRSW-2093</v>
      </c>
      <c r="C769" s="31" t="b">
        <f>ISERROR(FIND("-",TR!B769))</f>
        <v>0</v>
      </c>
      <c r="D769" s="31">
        <f>SetIndent(E769,(TR!C769-1)*2)</f>
        <v>4</v>
      </c>
      <c r="E769" s="35" t="str">
        <f>IF(ISERROR(FIND("-",TR!B769)),TR!B769&amp;" "&amp;TR!D769,TR!D769)</f>
        <v>The product SHALL provide an API that returns a) the audio format and b) the number of channels of the acquired audio component.</v>
      </c>
      <c r="F769" s="31" t="str">
        <f>TR!E769</f>
        <v>Req</v>
      </c>
      <c r="G769" s="31" t="str">
        <f>IF(ISERROR(FIND("Adara",TR!F769)),"","Adara ")</f>
        <v xml:space="preserve">Adara </v>
      </c>
      <c r="H769" s="31" t="str">
        <f>IF(ISERROR(FIND("Copernicus",TR!F769)),"","Copernicus ")</f>
        <v xml:space="preserve">Copernicus </v>
      </c>
      <c r="I769" s="31" t="str">
        <f>IF(ISERROR(FIND("Deneb",TR!F769)),"","Deneb ")</f>
        <v xml:space="preserve">Deneb </v>
      </c>
      <c r="J769" s="37" t="str">
        <f t="shared" si="13"/>
        <v xml:space="preserve">Adara Copernicus Deneb </v>
      </c>
      <c r="K769" s="31" t="str">
        <f>IF(ISBLANK(TR!G769),"",TR!G769)</f>
        <v/>
      </c>
      <c r="L769" s="31" t="str">
        <f>IF(ISBLANK(TR!H769),"",TR!H769)</f>
        <v>FR-DSRSW-1439</v>
      </c>
      <c r="M769" s="30" t="str">
        <f>TR!J769</f>
        <v>Approved</v>
      </c>
      <c r="N769" s="31" t="str">
        <f>IF(OR(M769="Modified",M769="Cosmetic"),VLOOKUP(B769,PrevPFS!B$1:E$833,4,FALSE),"")</f>
        <v/>
      </c>
    </row>
    <row r="770" spans="1:14" ht="45" x14ac:dyDescent="0.25">
      <c r="A770" s="31" t="str">
        <f>IF(ISNONTEXT(TR!K770),"",TR!K770)</f>
        <v>TR-0-AUDSEL-FPR-1162</v>
      </c>
      <c r="B770" s="32" t="str">
        <f>TR!A770</f>
        <v>TR-DSRSW-2094</v>
      </c>
      <c r="C770" s="31" t="b">
        <f>ISERROR(FIND("-",TR!B770))</f>
        <v>0</v>
      </c>
      <c r="D770" s="31">
        <f>SetIndent(E770,(TR!C770-1)*2)</f>
        <v>4</v>
      </c>
      <c r="E770" s="35" t="str">
        <f>IF(ISERROR(FIND("-",TR!B770)),TR!B770&amp;" "&amp;TR!D770,TR!D770)</f>
        <v>The product SHALL, when the user changes the audio language, acquire the appropriate audio component as defined by the Audio Selection requirements.</v>
      </c>
      <c r="F770" s="31" t="str">
        <f>TR!E770</f>
        <v>Req</v>
      </c>
      <c r="G770" s="31" t="str">
        <f>IF(ISERROR(FIND("Adara",TR!F770)),"","Adara ")</f>
        <v xml:space="preserve">Adara </v>
      </c>
      <c r="H770" s="31" t="str">
        <f>IF(ISERROR(FIND("Copernicus",TR!F770)),"","Copernicus ")</f>
        <v xml:space="preserve">Copernicus </v>
      </c>
      <c r="I770" s="31" t="str">
        <f>IF(ISERROR(FIND("Deneb",TR!F770)),"","Deneb ")</f>
        <v xml:space="preserve">Deneb </v>
      </c>
      <c r="J770" s="37" t="str">
        <f t="shared" si="13"/>
        <v xml:space="preserve">Adara Copernicus Deneb </v>
      </c>
      <c r="K770" s="31" t="str">
        <f>IF(ISBLANK(TR!G770),"",TR!G770)</f>
        <v/>
      </c>
      <c r="L770" s="31" t="str">
        <f>IF(ISBLANK(TR!H770),"",TR!H770)</f>
        <v>FR-DSRSW-1439</v>
      </c>
      <c r="M770" s="30" t="str">
        <f>TR!J770</f>
        <v>Approved</v>
      </c>
      <c r="N770" s="31" t="str">
        <f>IF(OR(M770="Modified",M770="Cosmetic"),VLOOKUP(B770,PrevPFS!B$1:E$833,4,FALSE),"")</f>
        <v/>
      </c>
    </row>
    <row r="771" spans="1:14" ht="45" x14ac:dyDescent="0.25">
      <c r="A771" s="31" t="str">
        <f>IF(ISNONTEXT(TR!K771),"",TR!K771)</f>
        <v/>
      </c>
      <c r="B771" s="32" t="str">
        <f>TR!A771</f>
        <v>TR-DSRSW-2095</v>
      </c>
      <c r="C771" s="31" t="b">
        <f>ISERROR(FIND("-",TR!B771))</f>
        <v>1</v>
      </c>
      <c r="D771" s="31">
        <f>SetIndent(E771,(TR!C771-1)*2)</f>
        <v>0</v>
      </c>
      <c r="E771" s="33" t="str">
        <f>IF(ISERROR(FIND("-",TR!B771)),TR!B771&amp;" "&amp;TR!D771,TR!D771)</f>
        <v>29 Audio Encode</v>
      </c>
      <c r="F771" s="31" t="str">
        <f>TR!E771</f>
        <v>Hdr</v>
      </c>
      <c r="G771" s="31" t="str">
        <f>IF(ISERROR(FIND("Adara",TR!F771)),"","Adara ")</f>
        <v xml:space="preserve">Adara </v>
      </c>
      <c r="H771" s="31" t="str">
        <f>IF(ISERROR(FIND("Copernicus",TR!F771)),"","Copernicus ")</f>
        <v xml:space="preserve">Copernicus </v>
      </c>
      <c r="I771" s="31" t="str">
        <f>IF(ISERROR(FIND("Deneb",TR!F771)),"","Deneb ")</f>
        <v xml:space="preserve">Deneb </v>
      </c>
      <c r="J771" s="37" t="str">
        <f t="shared" si="13"/>
        <v xml:space="preserve">Adara Copernicus Deneb </v>
      </c>
      <c r="K771" s="31" t="str">
        <f>IF(ISBLANK(TR!G771),"",TR!G771)</f>
        <v/>
      </c>
      <c r="L771" s="31" t="str">
        <f>IF(ISBLANK(TR!H771),"",TR!H771)</f>
        <v>FR-DSRSW-1441</v>
      </c>
      <c r="M771" s="30" t="str">
        <f>TR!J771</f>
        <v>Approved</v>
      </c>
      <c r="N771" s="31" t="str">
        <f>IF(OR(M771="Modified",M771="Cosmetic"),VLOOKUP(B771,PrevPFS!B$1:E$833,4,FALSE),"")</f>
        <v/>
      </c>
    </row>
    <row r="772" spans="1:14" ht="45" x14ac:dyDescent="0.25">
      <c r="A772" s="31" t="str">
        <f>IF(ISNONTEXT(TR!K772),"",TR!K772)</f>
        <v/>
      </c>
      <c r="B772" s="32" t="str">
        <f>TR!A772</f>
        <v>TR-DSRSW-2460</v>
      </c>
      <c r="C772" s="31" t="b">
        <f>ISERROR(FIND("-",TR!B772))</f>
        <v>1</v>
      </c>
      <c r="D772" s="31">
        <f>SetIndent(E772,(TR!C772-1)*2)</f>
        <v>2</v>
      </c>
      <c r="E772" s="34" t="str">
        <f>IF(ISERROR(FIND("-",TR!B772)),TR!B772&amp;" "&amp;TR!D772,TR!D772)</f>
        <v>29.1 Audio Transcode</v>
      </c>
      <c r="F772" s="31" t="str">
        <f>TR!E772</f>
        <v>Hdr</v>
      </c>
      <c r="G772" s="31" t="str">
        <f>IF(ISERROR(FIND("Adara",TR!F772)),"","Adara ")</f>
        <v xml:space="preserve">Adara </v>
      </c>
      <c r="H772" s="31" t="str">
        <f>IF(ISERROR(FIND("Copernicus",TR!F772)),"","Copernicus ")</f>
        <v xml:space="preserve">Copernicus </v>
      </c>
      <c r="I772" s="31" t="str">
        <f>IF(ISERROR(FIND("Deneb",TR!F772)),"","Deneb ")</f>
        <v xml:space="preserve">Deneb </v>
      </c>
      <c r="J772" s="37" t="str">
        <f t="shared" si="13"/>
        <v xml:space="preserve">Adara Copernicus Deneb </v>
      </c>
      <c r="K772" s="31" t="str">
        <f>IF(ISBLANK(TR!G772),"",TR!G772)</f>
        <v/>
      </c>
      <c r="L772" s="31" t="str">
        <f>IF(ISBLANK(TR!H772),"",TR!H772)</f>
        <v/>
      </c>
      <c r="M772" s="30" t="str">
        <f>TR!J772</f>
        <v>Approved</v>
      </c>
      <c r="N772" s="31" t="str">
        <f>IF(OR(M772="Modified",M772="Cosmetic"),VLOOKUP(B772,PrevPFS!B$1:E$833,4,FALSE),"")</f>
        <v/>
      </c>
    </row>
    <row r="773" spans="1:14" ht="45" x14ac:dyDescent="0.25">
      <c r="A773" s="31" t="str">
        <f>IF(ISNONTEXT(TR!K773),"",TR!K773)</f>
        <v>TR-0-ADXCODE-FPR-1015</v>
      </c>
      <c r="B773" s="32" t="str">
        <f>TR!A773</f>
        <v>TR-DSRSW-2097</v>
      </c>
      <c r="C773" s="31" t="b">
        <f>ISERROR(FIND("-",TR!B773))</f>
        <v>0</v>
      </c>
      <c r="D773" s="31">
        <f>SetIndent(E773,(TR!C773-1)*2)</f>
        <v>4</v>
      </c>
      <c r="E773" s="35" t="str">
        <f>IF(ISERROR(FIND("-",TR!B773)),TR!B773&amp;" "&amp;TR!D773,TR!D773)</f>
        <v>The product SHALL be capable of transcoding stereo digital audio formats to the Dolby Digital (AC-3) 2.0 format.</v>
      </c>
      <c r="F773" s="31" t="str">
        <f>TR!E773</f>
        <v>Req</v>
      </c>
      <c r="G773" s="31" t="str">
        <f>IF(ISERROR(FIND("Adara",TR!F773)),"","Adara ")</f>
        <v xml:space="preserve">Adara </v>
      </c>
      <c r="H773" s="31" t="str">
        <f>IF(ISERROR(FIND("Copernicus",TR!F773)),"","Copernicus ")</f>
        <v xml:space="preserve">Copernicus </v>
      </c>
      <c r="I773" s="31" t="str">
        <f>IF(ISERROR(FIND("Deneb",TR!F773)),"","Deneb ")</f>
        <v xml:space="preserve">Deneb </v>
      </c>
      <c r="J773" s="37" t="str">
        <f t="shared" si="13"/>
        <v xml:space="preserve">Adara Copernicus Deneb </v>
      </c>
      <c r="K773" s="31" t="str">
        <f>IF(ISBLANK(TR!G773),"",TR!G773)</f>
        <v/>
      </c>
      <c r="L773" s="31" t="str">
        <f>IF(ISBLANK(TR!H773),"",TR!H773)</f>
        <v>FR-DSRSW-1441</v>
      </c>
      <c r="M773" s="30" t="str">
        <f>TR!J773</f>
        <v>Approved</v>
      </c>
      <c r="N773" s="31" t="str">
        <f>IF(OR(M773="Modified",M773="Cosmetic"),VLOOKUP(B773,PrevPFS!B$1:E$833,4,FALSE),"")</f>
        <v/>
      </c>
    </row>
    <row r="774" spans="1:14" ht="45" x14ac:dyDescent="0.25">
      <c r="A774" s="31" t="str">
        <f>IF(ISNONTEXT(TR!K774),"",TR!K774)</f>
        <v>TR-0-ADXCODE-FPR-1016</v>
      </c>
      <c r="B774" s="32" t="str">
        <f>TR!A774</f>
        <v>TR-DSRSW-2098</v>
      </c>
      <c r="C774" s="31" t="b">
        <f>ISERROR(FIND("-",TR!B774))</f>
        <v>0</v>
      </c>
      <c r="D774" s="31">
        <f>SetIndent(E774,(TR!C774-1)*2)</f>
        <v>4</v>
      </c>
      <c r="E774" s="35" t="str">
        <f>IF(ISERROR(FIND("-",TR!B774)),TR!B774&amp;" "&amp;TR!D774,TR!D774)</f>
        <v>The product SHALL be capable of transcoding multi-channel digital audio formats to the Dolby Digital (AC-3) 5.1 format.</v>
      </c>
      <c r="F774" s="31" t="str">
        <f>TR!E774</f>
        <v>Req</v>
      </c>
      <c r="G774" s="31" t="str">
        <f>IF(ISERROR(FIND("Adara",TR!F774)),"","Adara ")</f>
        <v xml:space="preserve">Adara </v>
      </c>
      <c r="H774" s="31" t="str">
        <f>IF(ISERROR(FIND("Copernicus",TR!F774)),"","Copernicus ")</f>
        <v xml:space="preserve">Copernicus </v>
      </c>
      <c r="I774" s="31" t="str">
        <f>IF(ISERROR(FIND("Deneb",TR!F774)),"","Deneb ")</f>
        <v xml:space="preserve">Deneb </v>
      </c>
      <c r="J774" s="37" t="str">
        <f t="shared" si="13"/>
        <v xml:space="preserve">Adara Copernicus Deneb </v>
      </c>
      <c r="K774" s="31" t="str">
        <f>IF(ISBLANK(TR!G774),"",TR!G774)</f>
        <v/>
      </c>
      <c r="L774" s="31" t="str">
        <f>IF(ISBLANK(TR!H774),"",TR!H774)</f>
        <v>FR-DSRSW-1441</v>
      </c>
      <c r="M774" s="30" t="str">
        <f>TR!J774</f>
        <v>Approved</v>
      </c>
      <c r="N774" s="31" t="str">
        <f>IF(OR(M774="Modified",M774="Cosmetic"),VLOOKUP(B774,PrevPFS!B$1:E$833,4,FALSE),"")</f>
        <v/>
      </c>
    </row>
    <row r="775" spans="1:14" x14ac:dyDescent="0.25">
      <c r="A775" s="31" t="str">
        <f>IF(ISNONTEXT(TR!K775),"",TR!K775)</f>
        <v/>
      </c>
      <c r="B775" s="32" t="str">
        <f>TR!A775</f>
        <v>TR-DSRSW-2387</v>
      </c>
      <c r="C775" s="31" t="b">
        <f>ISERROR(FIND("-",TR!B775))</f>
        <v>1</v>
      </c>
      <c r="D775" s="31">
        <f>SetIndent(E775,(TR!C775-1)*2)</f>
        <v>2</v>
      </c>
      <c r="E775" s="34" t="str">
        <f>IF(ISERROR(FIND("-",TR!B775)),TR!B775&amp;" "&amp;TR!D775,TR!D775)</f>
        <v>29.2 Audio Mixing</v>
      </c>
      <c r="F775" s="31" t="str">
        <f>TR!E775</f>
        <v>Hdr</v>
      </c>
      <c r="G775" s="31" t="str">
        <f>IF(ISERROR(FIND("Adara",TR!F775)),"","Adara ")</f>
        <v/>
      </c>
      <c r="H775" s="31" t="str">
        <f>IF(ISERROR(FIND("Copernicus",TR!F775)),"","Copernicus ")</f>
        <v/>
      </c>
      <c r="I775" s="31" t="str">
        <f>IF(ISERROR(FIND("Deneb",TR!F775)),"","Deneb ")</f>
        <v/>
      </c>
      <c r="J775" s="37" t="str">
        <f t="shared" si="13"/>
        <v/>
      </c>
      <c r="K775" s="31" t="str">
        <f>IF(ISBLANK(TR!G775),"",TR!G775)</f>
        <v/>
      </c>
      <c r="L775" s="31" t="str">
        <f>IF(ISBLANK(TR!H775),"",TR!H775)</f>
        <v>FR-DSRSW-1514</v>
      </c>
      <c r="M775" s="30" t="str">
        <f>TR!J775</f>
        <v>Deferred</v>
      </c>
      <c r="N775" s="31" t="str">
        <f>IF(OR(M775="Modified",M775="Cosmetic"),VLOOKUP(B775,PrevPFS!B$1:E$833,4,FALSE),"")</f>
        <v/>
      </c>
    </row>
    <row r="776" spans="1:14" ht="30" x14ac:dyDescent="0.25">
      <c r="A776" s="31" t="str">
        <f>IF(ISNONTEXT(TR!K776),"",TR!K776)</f>
        <v/>
      </c>
      <c r="B776" s="32" t="str">
        <f>TR!A776</f>
        <v>TR-DSRSW-2388</v>
      </c>
      <c r="C776" s="31" t="b">
        <f>ISERROR(FIND("-",TR!B776))</f>
        <v>0</v>
      </c>
      <c r="D776" s="31">
        <f>SetIndent(E776,(TR!C776-1)*2)</f>
        <v>4</v>
      </c>
      <c r="E776" s="35" t="str">
        <f>IF(ISERROR(FIND("-",TR!B776)),TR!B776&amp;" "&amp;TR!D776,TR!D776)</f>
        <v>The product SHALL provide an API that allows an application to mix audio from an MP3 file with any supported audio input format.</v>
      </c>
      <c r="F776" s="31" t="str">
        <f>TR!E776</f>
        <v>Req</v>
      </c>
      <c r="G776" s="31" t="str">
        <f>IF(ISERROR(FIND("Adara",TR!F776)),"","Adara ")</f>
        <v/>
      </c>
      <c r="H776" s="31" t="str">
        <f>IF(ISERROR(FIND("Copernicus",TR!F776)),"","Copernicus ")</f>
        <v/>
      </c>
      <c r="I776" s="31" t="str">
        <f>IF(ISERROR(FIND("Deneb",TR!F776)),"","Deneb ")</f>
        <v/>
      </c>
      <c r="J776" s="37" t="str">
        <f t="shared" si="13"/>
        <v/>
      </c>
      <c r="K776" s="31" t="str">
        <f>IF(ISBLANK(TR!G776),"",TR!G776)</f>
        <v/>
      </c>
      <c r="L776" s="31" t="str">
        <f>IF(ISBLANK(TR!H776),"",TR!H776)</f>
        <v>FR-DSRSW-1514</v>
      </c>
      <c r="M776" s="30" t="str">
        <f>TR!J776</f>
        <v>Deferred</v>
      </c>
      <c r="N776" s="31" t="str">
        <f>IF(OR(M776="Modified",M776="Cosmetic"),VLOOKUP(B776,PrevPFS!B$1:E$833,4,FALSE),"")</f>
        <v/>
      </c>
    </row>
    <row r="777" spans="1:14" x14ac:dyDescent="0.25">
      <c r="A777" s="31" t="str">
        <f>IF(ISNONTEXT(TR!K777),"",TR!K777)</f>
        <v/>
      </c>
      <c r="B777" s="32" t="str">
        <f>TR!A777</f>
        <v>TR-DSRSW-2389</v>
      </c>
      <c r="C777" s="31" t="b">
        <f>ISERROR(FIND("-",TR!B777))</f>
        <v>0</v>
      </c>
      <c r="D777" s="31">
        <f>SetIndent(E777,(TR!C777-1)*2)</f>
        <v>4</v>
      </c>
      <c r="E777" s="35" t="str">
        <f>IF(ISERROR(FIND("-",TR!B777)),TR!B777&amp;" "&amp;TR!D777,TR!D777)</f>
        <v>The product SHALL shall play the mixed audio to the HDMI output.</v>
      </c>
      <c r="F777" s="31" t="str">
        <f>TR!E777</f>
        <v>Req</v>
      </c>
      <c r="G777" s="31" t="str">
        <f>IF(ISERROR(FIND("Adara",TR!F777)),"","Adara ")</f>
        <v/>
      </c>
      <c r="H777" s="31" t="str">
        <f>IF(ISERROR(FIND("Copernicus",TR!F777)),"","Copernicus ")</f>
        <v/>
      </c>
      <c r="I777" s="31" t="str">
        <f>IF(ISERROR(FIND("Deneb",TR!F777)),"","Deneb ")</f>
        <v/>
      </c>
      <c r="J777" s="37" t="str">
        <f t="shared" si="13"/>
        <v/>
      </c>
      <c r="K777" s="31" t="str">
        <f>IF(ISBLANK(TR!G777),"",TR!G777)</f>
        <v/>
      </c>
      <c r="L777" s="31" t="str">
        <f>IF(ISBLANK(TR!H777),"",TR!H777)</f>
        <v>FR-DSRSW-1514</v>
      </c>
      <c r="M777" s="30" t="str">
        <f>TR!J777</f>
        <v>Deferred</v>
      </c>
      <c r="N777" s="31" t="str">
        <f>IF(OR(M777="Modified",M777="Cosmetic"),VLOOKUP(B777,PrevPFS!B$1:E$833,4,FALSE),"")</f>
        <v/>
      </c>
    </row>
    <row r="778" spans="1:14" x14ac:dyDescent="0.25">
      <c r="A778" s="31" t="str">
        <f>IF(ISNONTEXT(TR!K778),"",TR!K778)</f>
        <v/>
      </c>
      <c r="B778" s="32" t="str">
        <f>TR!A778</f>
        <v>TR-DSRSW-2390</v>
      </c>
      <c r="C778" s="31" t="b">
        <f>ISERROR(FIND("-",TR!B778))</f>
        <v>0</v>
      </c>
      <c r="D778" s="31">
        <f>SetIndent(E778,(TR!C778-1)*2)</f>
        <v>4</v>
      </c>
      <c r="E778" s="35" t="str">
        <f>IF(ISERROR(FIND("-",TR!B778)),TR!B778&amp;" "&amp;TR!D778,TR!D778)</f>
        <v>The product SHALL shall play the mixed audio to the baseband L/R audio output.</v>
      </c>
      <c r="F778" s="31" t="str">
        <f>TR!E778</f>
        <v>Req</v>
      </c>
      <c r="G778" s="31" t="str">
        <f>IF(ISERROR(FIND("Adara",TR!F778)),"","Adara ")</f>
        <v/>
      </c>
      <c r="H778" s="31" t="str">
        <f>IF(ISERROR(FIND("Copernicus",TR!F778)),"","Copernicus ")</f>
        <v/>
      </c>
      <c r="I778" s="31" t="str">
        <f>IF(ISERROR(FIND("Deneb",TR!F778)),"","Deneb ")</f>
        <v/>
      </c>
      <c r="J778" s="37" t="str">
        <f t="shared" si="13"/>
        <v/>
      </c>
      <c r="K778" s="31" t="str">
        <f>IF(ISBLANK(TR!G778),"",TR!G778)</f>
        <v/>
      </c>
      <c r="L778" s="31" t="str">
        <f>IF(ISBLANK(TR!H778),"",TR!H778)</f>
        <v>FR-DSRSW-1514</v>
      </c>
      <c r="M778" s="30" t="str">
        <f>TR!J778</f>
        <v>Deferred</v>
      </c>
      <c r="N778" s="31" t="str">
        <f>IF(OR(M778="Modified",M778="Cosmetic"),VLOOKUP(B778,PrevPFS!B$1:E$833,4,FALSE),"")</f>
        <v/>
      </c>
    </row>
    <row r="779" spans="1:14" ht="30" x14ac:dyDescent="0.25">
      <c r="A779" s="31" t="str">
        <f>IF(ISNONTEXT(TR!K779),"",TR!K779)</f>
        <v/>
      </c>
      <c r="B779" s="32" t="str">
        <f>TR!A779</f>
        <v>TR-DSRSW-2391</v>
      </c>
      <c r="C779" s="31" t="b">
        <f>ISERROR(FIND("-",TR!B779))</f>
        <v>0</v>
      </c>
      <c r="D779" s="31">
        <f>SetIndent(E779,(TR!C779-1)*2)</f>
        <v>4</v>
      </c>
      <c r="E779" s="35" t="str">
        <f>IF(ISERROR(FIND("-",TR!B779)),TR!B779&amp;" "&amp;TR!D779,TR!D779)</f>
        <v>The product SHALL shall play the mixed audio to the HDMI output in the current HDMI audio format. (Dolby Digital, for example)</v>
      </c>
      <c r="F779" s="31" t="str">
        <f>TR!E779</f>
        <v>Req</v>
      </c>
      <c r="G779" s="31" t="str">
        <f>IF(ISERROR(FIND("Adara",TR!F779)),"","Adara ")</f>
        <v/>
      </c>
      <c r="H779" s="31" t="str">
        <f>IF(ISERROR(FIND("Copernicus",TR!F779)),"","Copernicus ")</f>
        <v/>
      </c>
      <c r="I779" s="31" t="str">
        <f>IF(ISERROR(FIND("Deneb",TR!F779)),"","Deneb ")</f>
        <v/>
      </c>
      <c r="J779" s="37" t="str">
        <f t="shared" si="13"/>
        <v/>
      </c>
      <c r="K779" s="31" t="str">
        <f>IF(ISBLANK(TR!G779),"",TR!G779)</f>
        <v/>
      </c>
      <c r="L779" s="31" t="str">
        <f>IF(ISBLANK(TR!H779),"",TR!H779)</f>
        <v>FR-DSRSW-1514</v>
      </c>
      <c r="M779" s="30" t="str">
        <f>TR!J779</f>
        <v>Deferred</v>
      </c>
      <c r="N779" s="31" t="str">
        <f>IF(OR(M779="Modified",M779="Cosmetic"),VLOOKUP(B779,PrevPFS!B$1:E$833,4,FALSE),"")</f>
        <v/>
      </c>
    </row>
    <row r="780" spans="1:14" ht="30" x14ac:dyDescent="0.25">
      <c r="A780" s="31" t="str">
        <f>IF(ISNONTEXT(TR!K780),"",TR!K780)</f>
        <v/>
      </c>
      <c r="B780" s="32" t="str">
        <f>TR!A780</f>
        <v>TR-DSRSW-2392</v>
      </c>
      <c r="C780" s="31" t="b">
        <f>ISERROR(FIND("-",TR!B780))</f>
        <v>0</v>
      </c>
      <c r="D780" s="31">
        <f>SetIndent(E780,(TR!C780-1)*2)</f>
        <v>4</v>
      </c>
      <c r="E780" s="35" t="str">
        <f>IF(ISERROR(FIND("-",TR!B780)),TR!B780&amp;" "&amp;TR!D780,TR!D780)</f>
        <v>The product SHALL provide an audio mixing feature that allows the file input audio to be level controlled.</v>
      </c>
      <c r="F780" s="31" t="str">
        <f>TR!E780</f>
        <v>Req</v>
      </c>
      <c r="G780" s="31" t="str">
        <f>IF(ISERROR(FIND("Adara",TR!F780)),"","Adara ")</f>
        <v/>
      </c>
      <c r="H780" s="31" t="str">
        <f>IF(ISERROR(FIND("Copernicus",TR!F780)),"","Copernicus ")</f>
        <v/>
      </c>
      <c r="I780" s="31" t="str">
        <f>IF(ISERROR(FIND("Deneb",TR!F780)),"","Deneb ")</f>
        <v/>
      </c>
      <c r="J780" s="37" t="str">
        <f t="shared" si="13"/>
        <v/>
      </c>
      <c r="K780" s="31" t="str">
        <f>IF(ISBLANK(TR!G780),"",TR!G780)</f>
        <v/>
      </c>
      <c r="L780" s="31" t="str">
        <f>IF(ISBLANK(TR!H780),"",TR!H780)</f>
        <v>FR-DSRSW-1514</v>
      </c>
      <c r="M780" s="30" t="str">
        <f>TR!J780</f>
        <v>Deferred</v>
      </c>
      <c r="N780" s="31" t="str">
        <f>IF(OR(M780="Modified",M780="Cosmetic"),VLOOKUP(B780,PrevPFS!B$1:E$833,4,FALSE),"")</f>
        <v/>
      </c>
    </row>
    <row r="781" spans="1:14" ht="30" x14ac:dyDescent="0.25">
      <c r="A781" s="31" t="str">
        <f>IF(ISNONTEXT(TR!K781),"",TR!K781)</f>
        <v/>
      </c>
      <c r="B781" s="32" t="str">
        <f>TR!A781</f>
        <v>TR-DSRSW-2393</v>
      </c>
      <c r="C781" s="31" t="b">
        <f>ISERROR(FIND("-",TR!B781))</f>
        <v>0</v>
      </c>
      <c r="D781" s="31">
        <f>SetIndent(E781,(TR!C781-1)*2)</f>
        <v>4</v>
      </c>
      <c r="E781" s="35" t="str">
        <f>IF(ISERROR(FIND("-",TR!B781)),TR!B781&amp;" "&amp;TR!D781,TR!D781)</f>
        <v>The product SHALL start the MP3 file audio playback within 10 ms of the API request, when the file is stored in RAM.</v>
      </c>
      <c r="F781" s="31" t="str">
        <f>TR!E781</f>
        <v>Req</v>
      </c>
      <c r="G781" s="31" t="str">
        <f>IF(ISERROR(FIND("Adara",TR!F781)),"","Adara ")</f>
        <v/>
      </c>
      <c r="H781" s="31" t="str">
        <f>IF(ISERROR(FIND("Copernicus",TR!F781)),"","Copernicus ")</f>
        <v/>
      </c>
      <c r="I781" s="31" t="str">
        <f>IF(ISERROR(FIND("Deneb",TR!F781)),"","Deneb ")</f>
        <v/>
      </c>
      <c r="J781" s="37" t="str">
        <f t="shared" si="13"/>
        <v/>
      </c>
      <c r="K781" s="31" t="str">
        <f>IF(ISBLANK(TR!G781),"",TR!G781)</f>
        <v/>
      </c>
      <c r="L781" s="31" t="str">
        <f>IF(ISBLANK(TR!H781),"",TR!H781)</f>
        <v>FR-DSRSW-1514</v>
      </c>
      <c r="M781" s="30" t="str">
        <f>TR!J781</f>
        <v>Deferred</v>
      </c>
      <c r="N781" s="31" t="str">
        <f>IF(OR(M781="Modified",M781="Cosmetic"),VLOOKUP(B781,PrevPFS!B$1:E$833,4,FALSE),"")</f>
        <v/>
      </c>
    </row>
    <row r="782" spans="1:14" ht="45" x14ac:dyDescent="0.25">
      <c r="A782" s="31" t="str">
        <f>IF(ISNONTEXT(TR!K782),"",TR!K782)</f>
        <v/>
      </c>
      <c r="B782" s="32" t="str">
        <f>TR!A782</f>
        <v>TR-DSRSW-2394</v>
      </c>
      <c r="C782" s="31" t="b">
        <f>ISERROR(FIND("-",TR!B782))</f>
        <v>0</v>
      </c>
      <c r="D782" s="31">
        <f>SetIndent(E782,(TR!C782-1)*2)</f>
        <v>4</v>
      </c>
      <c r="E782" s="35" t="str">
        <f>IF(ISERROR(FIND("-",TR!B782)),TR!B782&amp;" "&amp;TR!D782,TR!D782)</f>
        <v>The product SHALL, if an MP3 file audio mix request is started while the an MP3 file is still playing, discontinue the playing the current MP3 file, and start the MP3 audio playback of the new file.  That is, the last file in overwrites the currently playing file.</v>
      </c>
      <c r="F782" s="31" t="str">
        <f>TR!E782</f>
        <v>Req</v>
      </c>
      <c r="G782" s="31" t="str">
        <f>IF(ISERROR(FIND("Adara",TR!F782)),"","Adara ")</f>
        <v/>
      </c>
      <c r="H782" s="31" t="str">
        <f>IF(ISERROR(FIND("Copernicus",TR!F782)),"","Copernicus ")</f>
        <v/>
      </c>
      <c r="I782" s="31" t="str">
        <f>IF(ISERROR(FIND("Deneb",TR!F782)),"","Deneb ")</f>
        <v/>
      </c>
      <c r="J782" s="37" t="str">
        <f t="shared" si="13"/>
        <v/>
      </c>
      <c r="K782" s="31" t="str">
        <f>IF(ISBLANK(TR!G782),"",TR!G782)</f>
        <v/>
      </c>
      <c r="L782" s="31" t="str">
        <f>IF(ISBLANK(TR!H782),"",TR!H782)</f>
        <v>FR-DSRSW-1514</v>
      </c>
      <c r="M782" s="30" t="str">
        <f>TR!J782</f>
        <v>Deferred</v>
      </c>
      <c r="N782" s="31" t="str">
        <f>IF(OR(M782="Modified",M782="Cosmetic"),VLOOKUP(B782,PrevPFS!B$1:E$833,4,FALSE),"")</f>
        <v/>
      </c>
    </row>
    <row r="783" spans="1:14" ht="45" x14ac:dyDescent="0.25">
      <c r="A783" s="31" t="str">
        <f>IF(ISNONTEXT(TR!K783),"",TR!K783)</f>
        <v/>
      </c>
      <c r="B783" s="32" t="str">
        <f>TR!A783</f>
        <v>TR-DSRSW-2099</v>
      </c>
      <c r="C783" s="31" t="b">
        <f>ISERROR(FIND("-",TR!B783))</f>
        <v>1</v>
      </c>
      <c r="D783" s="31">
        <f>SetIndent(E783,(TR!C783-1)*2)</f>
        <v>0</v>
      </c>
      <c r="E783" s="33" t="str">
        <f>IF(ISERROR(FIND("-",TR!B783)),TR!B783&amp;" "&amp;TR!D783,TR!D783)</f>
        <v>30 Audio Control</v>
      </c>
      <c r="F783" s="31" t="str">
        <f>TR!E783</f>
        <v>Hdr</v>
      </c>
      <c r="G783" s="31" t="str">
        <f>IF(ISERROR(FIND("Adara",TR!F783)),"","Adara ")</f>
        <v xml:space="preserve">Adara </v>
      </c>
      <c r="H783" s="31" t="str">
        <f>IF(ISERROR(FIND("Copernicus",TR!F783)),"","Copernicus ")</f>
        <v xml:space="preserve">Copernicus </v>
      </c>
      <c r="I783" s="31" t="str">
        <f>IF(ISERROR(FIND("Deneb",TR!F783)),"","Deneb ")</f>
        <v xml:space="preserve">Deneb </v>
      </c>
      <c r="J783" s="37" t="str">
        <f t="shared" si="13"/>
        <v xml:space="preserve">Adara Copernicus Deneb </v>
      </c>
      <c r="K783" s="31" t="str">
        <f>IF(ISBLANK(TR!G783),"",TR!G783)</f>
        <v/>
      </c>
      <c r="L783" s="31" t="str">
        <f>IF(ISBLANK(TR!H783),"",TR!H783)</f>
        <v>FR-DSRSW-1442</v>
      </c>
      <c r="M783" s="30" t="str">
        <f>TR!J783</f>
        <v>Approved</v>
      </c>
      <c r="N783" s="31" t="str">
        <f>IF(OR(M783="Modified",M783="Cosmetic"),VLOOKUP(B783,PrevPFS!B$1:E$833,4,FALSE),"")</f>
        <v/>
      </c>
    </row>
    <row r="784" spans="1:14" ht="45" x14ac:dyDescent="0.25">
      <c r="A784" s="31" t="str">
        <f>IF(ISNONTEXT(TR!K784),"",TR!K784)</f>
        <v>FR-AUDCT-1008</v>
      </c>
      <c r="B784" s="32" t="str">
        <f>TR!A784</f>
        <v>TR-DSRSW-2100</v>
      </c>
      <c r="C784" s="31" t="b">
        <f>ISERROR(FIND("-",TR!B784))</f>
        <v>1</v>
      </c>
      <c r="D784" s="31">
        <f>SetIndent(E784,(TR!C784-1)*2)</f>
        <v>2</v>
      </c>
      <c r="E784" s="34" t="str">
        <f>IF(ISERROR(FIND("-",TR!B784)),TR!B784&amp;" "&amp;TR!D784,TR!D784)</f>
        <v>30.1 DVS (Descriptive Video Service)</v>
      </c>
      <c r="F784" s="31" t="str">
        <f>TR!E784</f>
        <v>Hdr</v>
      </c>
      <c r="G784" s="31" t="str">
        <f>IF(ISERROR(FIND("Adara",TR!F784)),"","Adara ")</f>
        <v xml:space="preserve">Adara </v>
      </c>
      <c r="H784" s="31" t="str">
        <f>IF(ISERROR(FIND("Copernicus",TR!F784)),"","Copernicus ")</f>
        <v xml:space="preserve">Copernicus </v>
      </c>
      <c r="I784" s="31" t="str">
        <f>IF(ISERROR(FIND("Deneb",TR!F784)),"","Deneb ")</f>
        <v xml:space="preserve">Deneb </v>
      </c>
      <c r="J784" s="37" t="str">
        <f t="shared" si="13"/>
        <v xml:space="preserve">Adara Copernicus Deneb </v>
      </c>
      <c r="K784" s="31" t="str">
        <f>IF(ISBLANK(TR!G784),"",TR!G784)</f>
        <v/>
      </c>
      <c r="L784" s="31" t="str">
        <f>IF(ISBLANK(TR!H784),"",TR!H784)</f>
        <v>FR-DSRSW-1443</v>
      </c>
      <c r="M784" s="30" t="str">
        <f>TR!J784</f>
        <v>Approved</v>
      </c>
      <c r="N784" s="31" t="str">
        <f>IF(OR(M784="Modified",M784="Cosmetic"),VLOOKUP(B784,PrevPFS!B$1:E$833,4,FALSE),"")</f>
        <v/>
      </c>
    </row>
    <row r="785" spans="1:14" ht="45" x14ac:dyDescent="0.25">
      <c r="A785" s="31" t="str">
        <f>IF(ISNONTEXT(TR!K785),"",TR!K785)</f>
        <v>FR-AUDCT-1008</v>
      </c>
      <c r="B785" s="32" t="str">
        <f>TR!A785</f>
        <v>TR-DSRSW-2496</v>
      </c>
      <c r="C785" s="31" t="b">
        <f>ISERROR(FIND("-",TR!B785))</f>
        <v>0</v>
      </c>
      <c r="D785" s="31">
        <f>SetIndent(E785,(TR!C785-1)*2)</f>
        <v>4</v>
      </c>
      <c r="E785" s="35" t="str">
        <f>IF(ISERROR(FIND("-",TR!B785)),TR!B785&amp;" "&amp;TR!D785,TR!D785)</f>
        <v>English and French Descriptive Video Services (a.k.a. "Visually Impaired" service) as defined for the "interim solution" in ENB-3791</v>
      </c>
      <c r="F785" s="31" t="str">
        <f>TR!E785</f>
        <v>Com</v>
      </c>
      <c r="G785" s="31" t="str">
        <f>IF(ISERROR(FIND("Adara",TR!F785)),"","Adara ")</f>
        <v xml:space="preserve">Adara </v>
      </c>
      <c r="H785" s="31" t="str">
        <f>IF(ISERROR(FIND("Copernicus",TR!F785)),"","Copernicus ")</f>
        <v xml:space="preserve">Copernicus </v>
      </c>
      <c r="I785" s="31" t="str">
        <f>IF(ISERROR(FIND("Deneb",TR!F785)),"","Deneb ")</f>
        <v xml:space="preserve">Deneb </v>
      </c>
      <c r="J785" s="37" t="str">
        <f t="shared" si="13"/>
        <v xml:space="preserve">Adara Copernicus Deneb </v>
      </c>
      <c r="K785" s="31" t="str">
        <f>IF(ISBLANK(TR!G785),"",TR!G785)</f>
        <v/>
      </c>
      <c r="L785" s="31" t="str">
        <f>IF(ISBLANK(TR!H785),"",TR!H785)</f>
        <v/>
      </c>
      <c r="M785" s="30" t="str">
        <f>TR!J785</f>
        <v>Approved</v>
      </c>
      <c r="N785" s="31" t="str">
        <f>IF(OR(M785="Modified",M785="Cosmetic"),VLOOKUP(B785,PrevPFS!B$1:E$833,4,FALSE),"")</f>
        <v/>
      </c>
    </row>
    <row r="786" spans="1:14" ht="45" x14ac:dyDescent="0.25">
      <c r="A786" s="31" t="str">
        <f>IF(ISNONTEXT(TR!K786),"",TR!K786)</f>
        <v>TR-0-AUDSEL-FPR-1012</v>
      </c>
      <c r="B786" s="32" t="str">
        <f>TR!A786</f>
        <v>TR-DSRSW-2101</v>
      </c>
      <c r="C786" s="31" t="b">
        <f>ISERROR(FIND("-",TR!B786))</f>
        <v>0</v>
      </c>
      <c r="D786" s="31">
        <f>SetIndent(E786,(TR!C786-1)*2)</f>
        <v>4</v>
      </c>
      <c r="E786" s="35" t="str">
        <f>IF(ISERROR(FIND("-",TR!B786)),TR!B786&amp;" "&amp;TR!D786,TR!D786)</f>
        <v>The product SHALL allow the user to enable and disable Descriptive Video Service (a.k.a., "Visually Impaired service").</v>
      </c>
      <c r="F786" s="31" t="str">
        <f>TR!E786</f>
        <v>Req</v>
      </c>
      <c r="G786" s="31" t="str">
        <f>IF(ISERROR(FIND("Adara",TR!F786)),"","Adara ")</f>
        <v xml:space="preserve">Adara </v>
      </c>
      <c r="H786" s="31" t="str">
        <f>IF(ISERROR(FIND("Copernicus",TR!F786)),"","Copernicus ")</f>
        <v xml:space="preserve">Copernicus </v>
      </c>
      <c r="I786" s="31" t="str">
        <f>IF(ISERROR(FIND("Deneb",TR!F786)),"","Deneb ")</f>
        <v xml:space="preserve">Deneb </v>
      </c>
      <c r="J786" s="37" t="str">
        <f t="shared" si="13"/>
        <v xml:space="preserve">Adara Copernicus Deneb </v>
      </c>
      <c r="K786" s="31" t="str">
        <f>IF(ISBLANK(TR!G786),"",TR!G786)</f>
        <v/>
      </c>
      <c r="L786" s="31" t="str">
        <f>IF(ISBLANK(TR!H786),"",TR!H786)</f>
        <v>FR-DSRSW-1443</v>
      </c>
      <c r="M786" s="30" t="str">
        <f>TR!J786</f>
        <v>Approved</v>
      </c>
      <c r="N786" s="31" t="str">
        <f>IF(OR(M786="Modified",M786="Cosmetic"),VLOOKUP(B786,PrevPFS!B$1:E$833,4,FALSE),"")</f>
        <v/>
      </c>
    </row>
    <row r="787" spans="1:14" ht="45" x14ac:dyDescent="0.25">
      <c r="A787" s="31" t="str">
        <f>IF(ISNONTEXT(TR!K787),"",TR!K787)</f>
        <v>TR-0-AUDSEL-FPR-1013</v>
      </c>
      <c r="B787" s="32" t="str">
        <f>TR!A787</f>
        <v>TR-DSRSW-2102</v>
      </c>
      <c r="C787" s="31" t="b">
        <f>ISERROR(FIND("-",TR!B787))</f>
        <v>0</v>
      </c>
      <c r="D787" s="31">
        <f>SetIndent(E787,(TR!C787-1)*2)</f>
        <v>4</v>
      </c>
      <c r="E787" s="35" t="str">
        <f>IF(ISERROR(FIND("-",TR!B787)),TR!B787&amp;" "&amp;TR!D787,TR!D787)</f>
        <v>The product SHALL disable Descriptive Video Service when a factory reset is invoked.</v>
      </c>
      <c r="F787" s="31" t="str">
        <f>TR!E787</f>
        <v>Req</v>
      </c>
      <c r="G787" s="31" t="str">
        <f>IF(ISERROR(FIND("Adara",TR!F787)),"","Adara ")</f>
        <v xml:space="preserve">Adara </v>
      </c>
      <c r="H787" s="31" t="str">
        <f>IF(ISERROR(FIND("Copernicus",TR!F787)),"","Copernicus ")</f>
        <v xml:space="preserve">Copernicus </v>
      </c>
      <c r="I787" s="31" t="str">
        <f>IF(ISERROR(FIND("Deneb",TR!F787)),"","Deneb ")</f>
        <v xml:space="preserve">Deneb </v>
      </c>
      <c r="J787" s="37" t="str">
        <f t="shared" si="13"/>
        <v xml:space="preserve">Adara Copernicus Deneb </v>
      </c>
      <c r="K787" s="31" t="str">
        <f>IF(ISBLANK(TR!G787),"",TR!G787)</f>
        <v/>
      </c>
      <c r="L787" s="31" t="str">
        <f>IF(ISBLANK(TR!H787),"",TR!H787)</f>
        <v>FR-DSRSW-1443</v>
      </c>
      <c r="M787" s="30" t="str">
        <f>TR!J787</f>
        <v>Approved</v>
      </c>
      <c r="N787" s="31" t="str">
        <f>IF(OR(M787="Modified",M787="Cosmetic"),VLOOKUP(B787,PrevPFS!B$1:E$833,4,FALSE),"")</f>
        <v/>
      </c>
    </row>
    <row r="788" spans="1:14" ht="45" x14ac:dyDescent="0.25">
      <c r="A788" s="31" t="str">
        <f>IF(ISNONTEXT(TR!K788),"",TR!K788)</f>
        <v>TR-0-AUDSEL-FPR-1002</v>
      </c>
      <c r="B788" s="32" t="str">
        <f>TR!A788</f>
        <v>TR-DSRSW-2103</v>
      </c>
      <c r="C788" s="31" t="b">
        <f>ISERROR(FIND("-",TR!B788))</f>
        <v>0</v>
      </c>
      <c r="D788" s="31">
        <f>SetIndent(E788,(TR!C788-1)*2)</f>
        <v>4</v>
      </c>
      <c r="E788" s="35" t="str">
        <f>IF(ISERROR(FIND("-",TR!B788)),TR!B788&amp;" "&amp;TR!D788,TR!D788)</f>
        <v>The product SHALL play the content of the first audio component listed in the Service Map Message that matches the "enm" ISO639 language code IF Descriptive Video Service is enabled AND "English" is the language preference.</v>
      </c>
      <c r="F788" s="31" t="str">
        <f>TR!E788</f>
        <v>Req</v>
      </c>
      <c r="G788" s="31" t="str">
        <f>IF(ISERROR(FIND("Adara",TR!F788)),"","Adara ")</f>
        <v xml:space="preserve">Adara </v>
      </c>
      <c r="H788" s="31" t="str">
        <f>IF(ISERROR(FIND("Copernicus",TR!F788)),"","Copernicus ")</f>
        <v xml:space="preserve">Copernicus </v>
      </c>
      <c r="I788" s="31" t="str">
        <f>IF(ISERROR(FIND("Deneb",TR!F788)),"","Deneb ")</f>
        <v xml:space="preserve">Deneb </v>
      </c>
      <c r="J788" s="37" t="str">
        <f t="shared" si="13"/>
        <v xml:space="preserve">Adara Copernicus Deneb </v>
      </c>
      <c r="K788" s="31" t="str">
        <f>IF(ISBLANK(TR!G788),"",TR!G788)</f>
        <v/>
      </c>
      <c r="L788" s="31" t="str">
        <f>IF(ISBLANK(TR!H788),"",TR!H788)</f>
        <v>FR-DSRSW-1443</v>
      </c>
      <c r="M788" s="30" t="str">
        <f>TR!J788</f>
        <v>Approved</v>
      </c>
      <c r="N788" s="31" t="str">
        <f>IF(OR(M788="Modified",M788="Cosmetic"),VLOOKUP(B788,PrevPFS!B$1:E$833,4,FALSE),"")</f>
        <v/>
      </c>
    </row>
    <row r="789" spans="1:14" ht="45" x14ac:dyDescent="0.25">
      <c r="A789" s="31" t="str">
        <f>IF(ISNONTEXT(TR!K789),"",TR!K789)</f>
        <v>TR-0-AUDSEL-FPR-1003</v>
      </c>
      <c r="B789" s="32" t="str">
        <f>TR!A789</f>
        <v>TR-DSRSW-2104</v>
      </c>
      <c r="C789" s="31" t="b">
        <f>ISERROR(FIND("-",TR!B789))</f>
        <v>0</v>
      </c>
      <c r="D789" s="31">
        <f>SetIndent(E789,(TR!C789-1)*2)</f>
        <v>4</v>
      </c>
      <c r="E789" s="35" t="str">
        <f>IF(ISERROR(FIND("-",TR!B789)),TR!B789&amp;" "&amp;TR!D789,TR!D789)</f>
        <v>The product SHALL play the content of the first audio component listed in the Service Map Message that matches the "frm" ISO639 language code IF  Descriptive Video Service is enabled AND "French" is the language preference.</v>
      </c>
      <c r="F789" s="31" t="str">
        <f>TR!E789</f>
        <v>Req</v>
      </c>
      <c r="G789" s="31" t="str">
        <f>IF(ISERROR(FIND("Adara",TR!F789)),"","Adara ")</f>
        <v xml:space="preserve">Adara </v>
      </c>
      <c r="H789" s="31" t="str">
        <f>IF(ISERROR(FIND("Copernicus",TR!F789)),"","Copernicus ")</f>
        <v xml:space="preserve">Copernicus </v>
      </c>
      <c r="I789" s="31" t="str">
        <f>IF(ISERROR(FIND("Deneb",TR!F789)),"","Deneb ")</f>
        <v xml:space="preserve">Deneb </v>
      </c>
      <c r="J789" s="37" t="str">
        <f t="shared" si="13"/>
        <v xml:space="preserve">Adara Copernicus Deneb </v>
      </c>
      <c r="K789" s="31" t="str">
        <f>IF(ISBLANK(TR!G789),"",TR!G789)</f>
        <v/>
      </c>
      <c r="L789" s="31" t="str">
        <f>IF(ISBLANK(TR!H789),"",TR!H789)</f>
        <v>FR-DSRSW-1443</v>
      </c>
      <c r="M789" s="30" t="str">
        <f>TR!J789</f>
        <v>Approved</v>
      </c>
      <c r="N789" s="31" t="str">
        <f>IF(OR(M789="Modified",M789="Cosmetic"),VLOOKUP(B789,PrevPFS!B$1:E$833,4,FALSE),"")</f>
        <v/>
      </c>
    </row>
    <row r="790" spans="1:14" ht="45" x14ac:dyDescent="0.25">
      <c r="A790" s="31" t="str">
        <f>IF(ISNONTEXT(TR!K790),"",TR!K790)</f>
        <v>TR-0-AUDSEL-FPR-1007</v>
      </c>
      <c r="B790" s="32" t="str">
        <f>TR!A790</f>
        <v>TR-DSRSW-2105</v>
      </c>
      <c r="C790" s="31" t="b">
        <f>ISERROR(FIND("-",TR!B790))</f>
        <v>0</v>
      </c>
      <c r="D790" s="31">
        <f>SetIndent(E790,(TR!C790-1)*2)</f>
        <v>4</v>
      </c>
      <c r="E790" s="35" t="str">
        <f>IF(ISERROR(FIND("-",TR!B790)),TR!B790&amp;" "&amp;TR!D790,TR!D790)</f>
        <v>The product SHALL follow the normal audio language selection requirements IF Descriptive Video Service is enabled AND no DVS audio stream is found to match the viewer's preferences.</v>
      </c>
      <c r="F790" s="31" t="str">
        <f>TR!E790</f>
        <v>Req</v>
      </c>
      <c r="G790" s="31" t="str">
        <f>IF(ISERROR(FIND("Adara",TR!F790)),"","Adara ")</f>
        <v xml:space="preserve">Adara </v>
      </c>
      <c r="H790" s="31" t="str">
        <f>IF(ISERROR(FIND("Copernicus",TR!F790)),"","Copernicus ")</f>
        <v xml:space="preserve">Copernicus </v>
      </c>
      <c r="I790" s="31" t="str">
        <f>IF(ISERROR(FIND("Deneb",TR!F790)),"","Deneb ")</f>
        <v xml:space="preserve">Deneb </v>
      </c>
      <c r="J790" s="37" t="str">
        <f t="shared" si="13"/>
        <v xml:space="preserve">Adara Copernicus Deneb </v>
      </c>
      <c r="K790" s="31" t="str">
        <f>IF(ISBLANK(TR!G790),"",TR!G790)</f>
        <v/>
      </c>
      <c r="L790" s="31" t="str">
        <f>IF(ISBLANK(TR!H790),"",TR!H790)</f>
        <v>FR-DSRSW-1443</v>
      </c>
      <c r="M790" s="30" t="str">
        <f>TR!J790</f>
        <v>Approved</v>
      </c>
      <c r="N790" s="31" t="str">
        <f>IF(OR(M790="Modified",M790="Cosmetic"),VLOOKUP(B790,PrevPFS!B$1:E$833,4,FALSE),"")</f>
        <v/>
      </c>
    </row>
    <row r="791" spans="1:14" ht="45" x14ac:dyDescent="0.25">
      <c r="A791" s="31" t="str">
        <f>IF(ISNONTEXT(TR!K791),"",TR!K791)</f>
        <v>TR-0-AUDSEL-FPR-1009</v>
      </c>
      <c r="B791" s="32" t="str">
        <f>TR!A791</f>
        <v>TR-DSRSW-2106</v>
      </c>
      <c r="C791" s="31" t="b">
        <f>ISERROR(FIND("-",TR!B791))</f>
        <v>0</v>
      </c>
      <c r="D791" s="31">
        <f>SetIndent(E791,(TR!C791-1)*2)</f>
        <v>4</v>
      </c>
      <c r="E791" s="35" t="str">
        <f>IF(ISERROR(FIND("-",TR!B791)),TR!B791&amp;" "&amp;TR!D791,TR!D791)</f>
        <v>The product SHALL follow the normal audio language selection requirements IF Descriptive Video Service is disabled.</v>
      </c>
      <c r="F791" s="31" t="str">
        <f>TR!E791</f>
        <v>Req</v>
      </c>
      <c r="G791" s="31" t="str">
        <f>IF(ISERROR(FIND("Adara",TR!F791)),"","Adara ")</f>
        <v xml:space="preserve">Adara </v>
      </c>
      <c r="H791" s="31" t="str">
        <f>IF(ISERROR(FIND("Copernicus",TR!F791)),"","Copernicus ")</f>
        <v xml:space="preserve">Copernicus </v>
      </c>
      <c r="I791" s="31" t="str">
        <f>IF(ISERROR(FIND("Deneb",TR!F791)),"","Deneb ")</f>
        <v xml:space="preserve">Deneb </v>
      </c>
      <c r="J791" s="37" t="str">
        <f t="shared" si="13"/>
        <v xml:space="preserve">Adara Copernicus Deneb </v>
      </c>
      <c r="K791" s="31" t="str">
        <f>IF(ISBLANK(TR!G791),"",TR!G791)</f>
        <v/>
      </c>
      <c r="L791" s="31" t="str">
        <f>IF(ISBLANK(TR!H791),"",TR!H791)</f>
        <v>FR-DSRSW-1443</v>
      </c>
      <c r="M791" s="30" t="str">
        <f>TR!J791</f>
        <v>Approved</v>
      </c>
      <c r="N791" s="31" t="str">
        <f>IF(OR(M791="Modified",M791="Cosmetic"),VLOOKUP(B791,PrevPFS!B$1:E$833,4,FALSE),"")</f>
        <v/>
      </c>
    </row>
    <row r="792" spans="1:14" ht="45" x14ac:dyDescent="0.25">
      <c r="A792" s="31" t="str">
        <f>IF(ISNONTEXT(TR!K792),"",TR!K792)</f>
        <v>FR-AUDCT-1017</v>
      </c>
      <c r="B792" s="32" t="str">
        <f>TR!A792</f>
        <v>TR-DSRSW-2107</v>
      </c>
      <c r="C792" s="31" t="b">
        <f>ISERROR(FIND("-",TR!B792))</f>
        <v>1</v>
      </c>
      <c r="D792" s="31">
        <f>SetIndent(E792,(TR!C792-1)*2)</f>
        <v>2</v>
      </c>
      <c r="E792" s="34" t="str">
        <f>IF(ISERROR(FIND("-",TR!B792)),TR!B792&amp;" "&amp;TR!D792,TR!D792)</f>
        <v>30.2 Dolby Digital Audio Dyamic Range Compression</v>
      </c>
      <c r="F792" s="31" t="str">
        <f>TR!E792</f>
        <v>Hdr</v>
      </c>
      <c r="G792" s="31" t="str">
        <f>IF(ISERROR(FIND("Adara",TR!F792)),"","Adara ")</f>
        <v xml:space="preserve">Adara </v>
      </c>
      <c r="H792" s="31" t="str">
        <f>IF(ISERROR(FIND("Copernicus",TR!F792)),"","Copernicus ")</f>
        <v xml:space="preserve">Copernicus </v>
      </c>
      <c r="I792" s="31" t="str">
        <f>IF(ISERROR(FIND("Deneb",TR!F792)),"","Deneb ")</f>
        <v xml:space="preserve">Deneb </v>
      </c>
      <c r="J792" s="37" t="str">
        <f t="shared" si="13"/>
        <v xml:space="preserve">Adara Copernicus Deneb </v>
      </c>
      <c r="K792" s="31" t="str">
        <f>IF(ISBLANK(TR!G792),"",TR!G792)</f>
        <v/>
      </c>
      <c r="L792" s="31" t="str">
        <f>IF(ISBLANK(TR!H792),"",TR!H792)</f>
        <v>FR-DSRSW-1444</v>
      </c>
      <c r="M792" s="30" t="str">
        <f>TR!J792</f>
        <v>Approved</v>
      </c>
      <c r="N792" s="31" t="str">
        <f>IF(OR(M792="Modified",M792="Cosmetic"),VLOOKUP(B792,PrevPFS!B$1:E$833,4,FALSE),"")</f>
        <v/>
      </c>
    </row>
    <row r="793" spans="1:14" ht="45" x14ac:dyDescent="0.25">
      <c r="A793" s="31" t="str">
        <f>IF(ISNONTEXT(TR!K793),"",TR!K793)</f>
        <v>TR-0-ANC-1691</v>
      </c>
      <c r="B793" s="32" t="str">
        <f>TR!A793</f>
        <v>TR-DSRSW-2108</v>
      </c>
      <c r="C793" s="31" t="b">
        <f>ISERROR(FIND("-",TR!B793))</f>
        <v>0</v>
      </c>
      <c r="D793" s="31">
        <f>SetIndent(E793,(TR!C793-1)*2)</f>
        <v>4</v>
      </c>
      <c r="E793" s="35" t="str">
        <f>IF(ISERROR(FIND("-",TR!B793)),TR!B793&amp;" "&amp;TR!D793,TR!D793)</f>
        <v>The product SHALL be capable of adjusting audio dynamic range compression for Dolby audio signals. [Note this includes Dolby Digital and Dolby Digital Plus audio signals.]</v>
      </c>
      <c r="F793" s="31" t="str">
        <f>TR!E793</f>
        <v>Req</v>
      </c>
      <c r="G793" s="31" t="str">
        <f>IF(ISERROR(FIND("Adara",TR!F793)),"","Adara ")</f>
        <v xml:space="preserve">Adara </v>
      </c>
      <c r="H793" s="31" t="str">
        <f>IF(ISERROR(FIND("Copernicus",TR!F793)),"","Copernicus ")</f>
        <v xml:space="preserve">Copernicus </v>
      </c>
      <c r="I793" s="31" t="str">
        <f>IF(ISERROR(FIND("Deneb",TR!F793)),"","Deneb ")</f>
        <v xml:space="preserve">Deneb </v>
      </c>
      <c r="J793" s="37" t="str">
        <f t="shared" si="13"/>
        <v xml:space="preserve">Adara Copernicus Deneb </v>
      </c>
      <c r="K793" s="31" t="str">
        <f>IF(ISBLANK(TR!G793),"",TR!G793)</f>
        <v/>
      </c>
      <c r="L793" s="31" t="str">
        <f>IF(ISBLANK(TR!H793),"",TR!H793)</f>
        <v>FR-DSRSW-1444</v>
      </c>
      <c r="M793" s="30" t="str">
        <f>TR!J793</f>
        <v>Approved</v>
      </c>
      <c r="N793" s="31" t="str">
        <f>IF(OR(M793="Modified",M793="Cosmetic"),VLOOKUP(B793,PrevPFS!B$1:E$833,4,FALSE),"")</f>
        <v/>
      </c>
    </row>
    <row r="794" spans="1:14" ht="75" x14ac:dyDescent="0.25">
      <c r="A794" s="31" t="str">
        <f>IF(ISNONTEXT(TR!K794),"",TR!K794)</f>
        <v>TR-0-ANC-1848</v>
      </c>
      <c r="B794" s="32" t="str">
        <f>TR!A794</f>
        <v>TR-DSRSW-2109</v>
      </c>
      <c r="C794" s="31" t="b">
        <f>ISERROR(FIND("-",TR!B794))</f>
        <v>0</v>
      </c>
      <c r="D794" s="31">
        <f>SetIndent(E794,(TR!C794-1)*2)</f>
        <v>4</v>
      </c>
      <c r="E794" s="35" t="str">
        <f>IF(ISERROR(FIND("-",TR!B794)),TR!B794&amp;" "&amp;TR!D794,TR!D794)</f>
        <v>The product SHALL support three modes of Dynamic Range Compression for Dolby Digital and Dolby Digital Plus audio inputs : a) "None" which corresponds to maximum dynamic range , b) "Light" which corresponds to standard dynamic range, c) "Heavy" which corresponds to minimum dynamic range, as specified by  [Note: this is specified in the Dolby Licensee Manual].</v>
      </c>
      <c r="F794" s="31" t="str">
        <f>TR!E794</f>
        <v>Req</v>
      </c>
      <c r="G794" s="31" t="str">
        <f>IF(ISERROR(FIND("Adara",TR!F794)),"","Adara ")</f>
        <v xml:space="preserve">Adara </v>
      </c>
      <c r="H794" s="31" t="str">
        <f>IF(ISERROR(FIND("Copernicus",TR!F794)),"","Copernicus ")</f>
        <v xml:space="preserve">Copernicus </v>
      </c>
      <c r="I794" s="31" t="str">
        <f>IF(ISERROR(FIND("Deneb",TR!F794)),"","Deneb ")</f>
        <v xml:space="preserve">Deneb </v>
      </c>
      <c r="J794" s="37" t="str">
        <f t="shared" si="13"/>
        <v xml:space="preserve">Adara Copernicus Deneb </v>
      </c>
      <c r="K794" s="31" t="str">
        <f>IF(ISBLANK(TR!G794),"",TR!G794)</f>
        <v/>
      </c>
      <c r="L794" s="31" t="str">
        <f>IF(ISBLANK(TR!H794),"",TR!H794)</f>
        <v>FR-DSRSW-1444</v>
      </c>
      <c r="M794" s="30" t="str">
        <f>TR!J794</f>
        <v>Approved</v>
      </c>
      <c r="N794" s="31" t="str">
        <f>IF(OR(M794="Modified",M794="Cosmetic"),VLOOKUP(B794,PrevPFS!B$1:E$833,4,FALSE),"")</f>
        <v/>
      </c>
    </row>
    <row r="795" spans="1:14" ht="45" x14ac:dyDescent="0.25">
      <c r="A795" s="31" t="str">
        <f>IF(ISNONTEXT(TR!K795),"",TR!K795)</f>
        <v>TR-0-ANC-1849</v>
      </c>
      <c r="B795" s="32" t="str">
        <f>TR!A795</f>
        <v>TR-DSRSW-2110</v>
      </c>
      <c r="C795" s="31" t="b">
        <f>ISERROR(FIND("-",TR!B795))</f>
        <v>0</v>
      </c>
      <c r="D795" s="31">
        <f>SetIndent(E795,(TR!C795-1)*2)</f>
        <v>4</v>
      </c>
      <c r="E795" s="35" t="str">
        <f>IF(ISERROR(FIND("-",TR!B795)),TR!B795&amp;" "&amp;TR!D795,TR!D795)</f>
        <v>The product SHALL save the last  Dynamic Range Compression setting in persistent storage and reuse it during start-up.</v>
      </c>
      <c r="F795" s="31" t="str">
        <f>TR!E795</f>
        <v>Req</v>
      </c>
      <c r="G795" s="31" t="str">
        <f>IF(ISERROR(FIND("Adara",TR!F795)),"","Adara ")</f>
        <v xml:space="preserve">Adara </v>
      </c>
      <c r="H795" s="31" t="str">
        <f>IF(ISERROR(FIND("Copernicus",TR!F795)),"","Copernicus ")</f>
        <v xml:space="preserve">Copernicus </v>
      </c>
      <c r="I795" s="31" t="str">
        <f>IF(ISERROR(FIND("Deneb",TR!F795)),"","Deneb ")</f>
        <v xml:space="preserve">Deneb </v>
      </c>
      <c r="J795" s="37" t="str">
        <f t="shared" si="13"/>
        <v xml:space="preserve">Adara Copernicus Deneb </v>
      </c>
      <c r="K795" s="31" t="str">
        <f>IF(ISBLANK(TR!G795),"",TR!G795)</f>
        <v/>
      </c>
      <c r="L795" s="31" t="str">
        <f>IF(ISBLANK(TR!H795),"",TR!H795)</f>
        <v>FR-DSRSW-1444</v>
      </c>
      <c r="M795" s="30" t="str">
        <f>TR!J795</f>
        <v>Approved</v>
      </c>
      <c r="N795" s="31" t="str">
        <f>IF(OR(M795="Modified",M795="Cosmetic"),VLOOKUP(B795,PrevPFS!B$1:E$833,4,FALSE),"")</f>
        <v/>
      </c>
    </row>
    <row r="796" spans="1:14" ht="45" x14ac:dyDescent="0.25">
      <c r="A796" s="31" t="str">
        <f>IF(ISNONTEXT(TR!K796),"",TR!K796)</f>
        <v>FR-SWIFS-1362</v>
      </c>
      <c r="B796" s="32" t="str">
        <f>TR!A796</f>
        <v>TR-DSRSW-1345</v>
      </c>
      <c r="C796" s="31" t="b">
        <f>ISERROR(FIND("-",TR!B796))</f>
        <v>1</v>
      </c>
      <c r="D796" s="31">
        <f>SetIndent(E796,(TR!C796-1)*2)</f>
        <v>2</v>
      </c>
      <c r="E796" s="34" t="str">
        <f>IF(ISERROR(FIND("-",TR!B796)),TR!B796&amp;" "&amp;TR!D796,TR!D796)</f>
        <v>30.3 Audio PID Selection</v>
      </c>
      <c r="F796" s="31" t="str">
        <f>TR!E796</f>
        <v>Hdr</v>
      </c>
      <c r="G796" s="31" t="str">
        <f>IF(ISERROR(FIND("Adara",TR!F796)),"","Adara ")</f>
        <v xml:space="preserve">Adara </v>
      </c>
      <c r="H796" s="31" t="str">
        <f>IF(ISERROR(FIND("Copernicus",TR!F796)),"","Copernicus ")</f>
        <v xml:space="preserve">Copernicus </v>
      </c>
      <c r="I796" s="31" t="str">
        <f>IF(ISERROR(FIND("Deneb",TR!F796)),"","Deneb ")</f>
        <v xml:space="preserve">Deneb </v>
      </c>
      <c r="J796" s="37" t="str">
        <f t="shared" si="13"/>
        <v xml:space="preserve">Adara Copernicus Deneb </v>
      </c>
      <c r="K796" s="31" t="str">
        <f>IF(ISBLANK(TR!G796),"",TR!G796)</f>
        <v/>
      </c>
      <c r="L796" s="31" t="str">
        <f>IF(ISBLANK(TR!H796),"",TR!H796)</f>
        <v>FR-DSRSW-1334</v>
      </c>
      <c r="M796" s="30" t="str">
        <f>TR!J796</f>
        <v>Approved</v>
      </c>
      <c r="N796" s="31" t="str">
        <f>IF(OR(M796="Modified",M796="Cosmetic"),VLOOKUP(B796,PrevPFS!B$1:E$833,4,FALSE),"")</f>
        <v/>
      </c>
    </row>
    <row r="797" spans="1:14" ht="45" x14ac:dyDescent="0.25">
      <c r="A797" s="31" t="str">
        <f>IF(ISNONTEXT(TR!K797),"",TR!K797)</f>
        <v>TR-0-AUDSEL-FPR-1016</v>
      </c>
      <c r="B797" s="32" t="str">
        <f>TR!A797</f>
        <v>TR-DSRSW-1346</v>
      </c>
      <c r="C797" s="31" t="b">
        <f>ISERROR(FIND("-",TR!B797))</f>
        <v>0</v>
      </c>
      <c r="D797" s="31">
        <f>SetIndent(E797,(TR!C797-1)*2)</f>
        <v>4</v>
      </c>
      <c r="E797" s="35" t="str">
        <f>IF(ISERROR(FIND("-",TR!B797)),TR!B797&amp;" "&amp;TR!D797,TR!D797)</f>
        <v>The product SHALL allow the application to select, for the current service, which audio stream that the product plays.</v>
      </c>
      <c r="F797" s="31" t="str">
        <f>TR!E797</f>
        <v>Req</v>
      </c>
      <c r="G797" s="31" t="str">
        <f>IF(ISERROR(FIND("Adara",TR!F797)),"","Adara ")</f>
        <v xml:space="preserve">Adara </v>
      </c>
      <c r="H797" s="31" t="str">
        <f>IF(ISERROR(FIND("Copernicus",TR!F797)),"","Copernicus ")</f>
        <v xml:space="preserve">Copernicus </v>
      </c>
      <c r="I797" s="31" t="str">
        <f>IF(ISERROR(FIND("Deneb",TR!F797)),"","Deneb ")</f>
        <v xml:space="preserve">Deneb </v>
      </c>
      <c r="J797" s="37" t="str">
        <f t="shared" si="13"/>
        <v xml:space="preserve">Adara Copernicus Deneb </v>
      </c>
      <c r="K797" s="31" t="str">
        <f>IF(ISBLANK(TR!G797),"",TR!G797)</f>
        <v/>
      </c>
      <c r="L797" s="31" t="str">
        <f>IF(ISBLANK(TR!H797),"",TR!H797)</f>
        <v>FR-DSRSW-1334</v>
      </c>
      <c r="M797" s="30" t="str">
        <f>TR!J797</f>
        <v>Approved</v>
      </c>
      <c r="N797" s="31" t="str">
        <f>IF(OR(M797="Modified",M797="Cosmetic"),VLOOKUP(B797,PrevPFS!B$1:E$833,4,FALSE),"")</f>
        <v/>
      </c>
    </row>
    <row r="798" spans="1:14" ht="45" x14ac:dyDescent="0.25">
      <c r="A798" s="31" t="str">
        <f>IF(ISNONTEXT(TR!K798),"",TR!K798)</f>
        <v>TR-0-AUDSEL-FPR-1017</v>
      </c>
      <c r="B798" s="32" t="str">
        <f>TR!A798</f>
        <v>TR-DSRSW-1347</v>
      </c>
      <c r="C798" s="31" t="b">
        <f>ISERROR(FIND("-",TR!B798))</f>
        <v>0</v>
      </c>
      <c r="D798" s="31">
        <f>SetIndent(E798,(TR!C798-1)*2)</f>
        <v>4</v>
      </c>
      <c r="E798" s="35" t="str">
        <f>IF(ISERROR(FIND("-",TR!B798)),TR!B798&amp;" "&amp;TR!D798,TR!D798)</f>
        <v xml:space="preserve">The product SHALL seamlessly (no audible pops, clicks, or noise) transition between audio streams when the application picks a different audio stream.  </v>
      </c>
      <c r="F798" s="31" t="str">
        <f>TR!E798</f>
        <v>Req</v>
      </c>
      <c r="G798" s="31" t="str">
        <f>IF(ISERROR(FIND("Adara",TR!F798)),"","Adara ")</f>
        <v xml:space="preserve">Adara </v>
      </c>
      <c r="H798" s="31" t="str">
        <f>IF(ISERROR(FIND("Copernicus",TR!F798)),"","Copernicus ")</f>
        <v xml:space="preserve">Copernicus </v>
      </c>
      <c r="I798" s="31" t="str">
        <f>IF(ISERROR(FIND("Deneb",TR!F798)),"","Deneb ")</f>
        <v xml:space="preserve">Deneb </v>
      </c>
      <c r="J798" s="37" t="str">
        <f t="shared" si="13"/>
        <v xml:space="preserve">Adara Copernicus Deneb </v>
      </c>
      <c r="K798" s="31" t="str">
        <f>IF(ISBLANK(TR!G798),"",TR!G798)</f>
        <v/>
      </c>
      <c r="L798" s="31" t="str">
        <f>IF(ISBLANK(TR!H798),"",TR!H798)</f>
        <v>FR-DSRSW-1334</v>
      </c>
      <c r="M798" s="30" t="str">
        <f>TR!J798</f>
        <v>Approved</v>
      </c>
      <c r="N798" s="31" t="str">
        <f>IF(OR(M798="Modified",M798="Cosmetic"),VLOOKUP(B798,PrevPFS!B$1:E$833,4,FALSE),"")</f>
        <v/>
      </c>
    </row>
    <row r="799" spans="1:14" ht="45" x14ac:dyDescent="0.25">
      <c r="A799" s="31" t="str">
        <f>IF(ISNONTEXT(TR!K799),"",TR!K799)</f>
        <v>TR-0-AUDSEL-FPR-1020</v>
      </c>
      <c r="B799" s="32" t="str">
        <f>TR!A799</f>
        <v>TR-DSRSW-1348</v>
      </c>
      <c r="C799" s="31" t="b">
        <f>ISERROR(FIND("-",TR!B799))</f>
        <v>0</v>
      </c>
      <c r="D799" s="31">
        <f>SetIndent(E799,(TR!C799-1)*2)</f>
        <v>4</v>
      </c>
      <c r="E799" s="35" t="str">
        <f>IF(ISERROR(FIND("-",TR!B799)),TR!B799&amp;" "&amp;TR!D799,TR!D799)</f>
        <v>The product SHALL present artifact-free video when the audio streams change.</v>
      </c>
      <c r="F799" s="31" t="str">
        <f>TR!E799</f>
        <v>Req</v>
      </c>
      <c r="G799" s="31" t="str">
        <f>IF(ISERROR(FIND("Adara",TR!F799)),"","Adara ")</f>
        <v xml:space="preserve">Adara </v>
      </c>
      <c r="H799" s="31" t="str">
        <f>IF(ISERROR(FIND("Copernicus",TR!F799)),"","Copernicus ")</f>
        <v xml:space="preserve">Copernicus </v>
      </c>
      <c r="I799" s="31" t="str">
        <f>IF(ISERROR(FIND("Deneb",TR!F799)),"","Deneb ")</f>
        <v xml:space="preserve">Deneb </v>
      </c>
      <c r="J799" s="37" t="str">
        <f t="shared" si="13"/>
        <v xml:space="preserve">Adara Copernicus Deneb </v>
      </c>
      <c r="K799" s="31" t="str">
        <f>IF(ISBLANK(TR!G799),"",TR!G799)</f>
        <v/>
      </c>
      <c r="L799" s="31" t="str">
        <f>IF(ISBLANK(TR!H799),"",TR!H799)</f>
        <v>FR-DSRSW-1334</v>
      </c>
      <c r="M799" s="30" t="str">
        <f>TR!J799</f>
        <v>Approved</v>
      </c>
      <c r="N799" s="31" t="str">
        <f>IF(OR(M799="Modified",M799="Cosmetic"),VLOOKUP(B799,PrevPFS!B$1:E$833,4,FALSE),"")</f>
        <v/>
      </c>
    </row>
    <row r="800" spans="1:14" ht="45" x14ac:dyDescent="0.25">
      <c r="A800" s="31" t="str">
        <f>IF(ISNONTEXT(TR!K800),"",TR!K800)</f>
        <v/>
      </c>
      <c r="B800" s="32" t="str">
        <f>TR!A800</f>
        <v>TR-DSRSW-2224</v>
      </c>
      <c r="C800" s="31" t="b">
        <f>ISERROR(FIND("-",TR!B800))</f>
        <v>1</v>
      </c>
      <c r="D800" s="31">
        <f>SetIndent(E800,(TR!C800-1)*2)</f>
        <v>0</v>
      </c>
      <c r="E800" s="33" t="str">
        <f>IF(ISERROR(FIND("-",TR!B800)),TR!B800&amp;" "&amp;TR!D800,TR!D800)</f>
        <v>31 Quality</v>
      </c>
      <c r="F800" s="31" t="str">
        <f>TR!E800</f>
        <v>Hdr</v>
      </c>
      <c r="G800" s="31" t="str">
        <f>IF(ISERROR(FIND("Adara",TR!F800)),"","Adara ")</f>
        <v xml:space="preserve">Adara </v>
      </c>
      <c r="H800" s="31" t="str">
        <f>IF(ISERROR(FIND("Copernicus",TR!F800)),"","Copernicus ")</f>
        <v xml:space="preserve">Copernicus </v>
      </c>
      <c r="I800" s="31" t="str">
        <f>IF(ISERROR(FIND("Deneb",TR!F800)),"","Deneb ")</f>
        <v xml:space="preserve">Deneb </v>
      </c>
      <c r="J800" s="37" t="str">
        <f t="shared" si="13"/>
        <v xml:space="preserve">Adara Copernicus Deneb </v>
      </c>
      <c r="K800" s="31" t="str">
        <f>IF(ISBLANK(TR!G800),"",TR!G800)</f>
        <v/>
      </c>
      <c r="L800" s="31" t="str">
        <f>IF(ISBLANK(TR!H800),"",TR!H800)</f>
        <v>FR-DSRSW-1469</v>
      </c>
      <c r="M800" s="30" t="str">
        <f>TR!J800</f>
        <v>Approved</v>
      </c>
      <c r="N800" s="31" t="str">
        <f>IF(OR(M800="Modified",M800="Cosmetic"),VLOOKUP(B800,PrevPFS!B$1:E$833,4,FALSE),"")</f>
        <v/>
      </c>
    </row>
    <row r="801" spans="1:14" ht="45" x14ac:dyDescent="0.25">
      <c r="A801" s="31" t="str">
        <f>IF(ISNONTEXT(TR!K801),"",TR!K801)</f>
        <v/>
      </c>
      <c r="B801" s="32" t="str">
        <f>TR!A801</f>
        <v>TR-DSRSW-2228</v>
      </c>
      <c r="C801" s="31" t="b">
        <f>ISERROR(FIND("-",TR!B801))</f>
        <v>1</v>
      </c>
      <c r="D801" s="31">
        <f>SetIndent(E801,(TR!C801-1)*2)</f>
        <v>2</v>
      </c>
      <c r="E801" s="34" t="str">
        <f>IF(ISERROR(FIND("-",TR!B801)),TR!B801&amp;" "&amp;TR!D801,TR!D801)</f>
        <v>31.1 Mean Time Between Reboots</v>
      </c>
      <c r="F801" s="31" t="str">
        <f>TR!E801</f>
        <v>Hdr</v>
      </c>
      <c r="G801" s="31" t="str">
        <f>IF(ISERROR(FIND("Adara",TR!F801)),"","Adara ")</f>
        <v xml:space="preserve">Adara </v>
      </c>
      <c r="H801" s="31" t="str">
        <f>IF(ISERROR(FIND("Copernicus",TR!F801)),"","Copernicus ")</f>
        <v xml:space="preserve">Copernicus </v>
      </c>
      <c r="I801" s="31" t="str">
        <f>IF(ISERROR(FIND("Deneb",TR!F801)),"","Deneb ")</f>
        <v xml:space="preserve">Deneb </v>
      </c>
      <c r="J801" s="37" t="str">
        <f t="shared" si="13"/>
        <v xml:space="preserve">Adara Copernicus Deneb </v>
      </c>
      <c r="K801" s="31" t="str">
        <f>IF(ISBLANK(TR!G801),"",TR!G801)</f>
        <v/>
      </c>
      <c r="L801" s="31" t="str">
        <f>IF(ISBLANK(TR!H801),"",TR!H801)</f>
        <v>FR-DSRSW-1470</v>
      </c>
      <c r="M801" s="30" t="str">
        <f>TR!J801</f>
        <v>Approved</v>
      </c>
      <c r="N801" s="31" t="str">
        <f>IF(OR(M801="Modified",M801="Cosmetic"),VLOOKUP(B801,PrevPFS!B$1:E$833,4,FALSE),"")</f>
        <v/>
      </c>
    </row>
    <row r="802" spans="1:14" ht="45" x14ac:dyDescent="0.25">
      <c r="A802" s="31" t="str">
        <f>IF(ISNONTEXT(TR!K802),"",TR!K802)</f>
        <v/>
      </c>
      <c r="B802" s="32" t="str">
        <f>TR!A802</f>
        <v>TR-DSRSW-2225</v>
      </c>
      <c r="C802" s="31" t="b">
        <f>ISERROR(FIND("-",TR!B802))</f>
        <v>0</v>
      </c>
      <c r="D802" s="31">
        <f>SetIndent(E802,(TR!C802-1)*2)</f>
        <v>4</v>
      </c>
      <c r="E802" s="35" t="str">
        <f>IF(ISERROR(FIND("-",TR!B802)),TR!B802&amp;" "&amp;TR!D802,TR!D802)</f>
        <v>The product SHALL achieve 30 days mean time between reboots (MTBR), while running ARRIS's standard stability rack test.</v>
      </c>
      <c r="F802" s="31" t="str">
        <f>TR!E802</f>
        <v>Req</v>
      </c>
      <c r="G802" s="31" t="str">
        <f>IF(ISERROR(FIND("Adara",TR!F802)),"","Adara ")</f>
        <v xml:space="preserve">Adara </v>
      </c>
      <c r="H802" s="31" t="str">
        <f>IF(ISERROR(FIND("Copernicus",TR!F802)),"","Copernicus ")</f>
        <v xml:space="preserve">Copernicus </v>
      </c>
      <c r="I802" s="31" t="str">
        <f>IF(ISERROR(FIND("Deneb",TR!F802)),"","Deneb ")</f>
        <v xml:space="preserve">Deneb </v>
      </c>
      <c r="J802" s="37" t="str">
        <f t="shared" si="13"/>
        <v xml:space="preserve">Adara Copernicus Deneb </v>
      </c>
      <c r="K802" s="31" t="str">
        <f>IF(ISBLANK(TR!G802),"",TR!G802)</f>
        <v/>
      </c>
      <c r="L802" s="31" t="str">
        <f>IF(ISBLANK(TR!H802),"",TR!H802)</f>
        <v>FR-DSRSW-1470</v>
      </c>
      <c r="M802" s="30" t="str">
        <f>TR!J802</f>
        <v>Approved</v>
      </c>
      <c r="N802" s="31" t="str">
        <f>IF(OR(M802="Modified",M802="Cosmetic"),VLOOKUP(B802,PrevPFS!B$1:E$833,4,FALSE),"")</f>
        <v/>
      </c>
    </row>
    <row r="803" spans="1:14" x14ac:dyDescent="0.25">
      <c r="A803" s="31" t="str">
        <f>IF(ISNONTEXT(TR!K803),"",TR!K803)</f>
        <v/>
      </c>
      <c r="B803" s="32" t="str">
        <f>TR!A803</f>
        <v>TR-DSRSW-2229</v>
      </c>
      <c r="C803" s="31" t="b">
        <f>ISERROR(FIND("-",TR!B803))</f>
        <v>1</v>
      </c>
      <c r="D803" s="31">
        <f>SetIndent(E803,(TR!C803-1)*2)</f>
        <v>2</v>
      </c>
      <c r="E803" s="34" t="str">
        <f>IF(ISERROR(FIND("-",TR!B803)),TR!B803&amp;" "&amp;TR!D803,TR!D803)</f>
        <v>31.2 Test Suite</v>
      </c>
      <c r="F803" s="31" t="str">
        <f>TR!E803</f>
        <v>Hdr</v>
      </c>
      <c r="G803" s="31" t="str">
        <f>IF(ISERROR(FIND("Adara",TR!F803)),"","Adara ")</f>
        <v/>
      </c>
      <c r="H803" s="31" t="str">
        <f>IF(ISERROR(FIND("Copernicus",TR!F803)),"","Copernicus ")</f>
        <v/>
      </c>
      <c r="I803" s="31" t="str">
        <f>IF(ISERROR(FIND("Deneb",TR!F803)),"","Deneb ")</f>
        <v xml:space="preserve">Deneb </v>
      </c>
      <c r="J803" s="37" t="str">
        <f t="shared" si="13"/>
        <v xml:space="preserve">Deneb </v>
      </c>
      <c r="K803" s="31" t="str">
        <f>IF(ISBLANK(TR!G803),"",TR!G803)</f>
        <v/>
      </c>
      <c r="L803" s="31" t="str">
        <f>IF(ISBLANK(TR!H803),"",TR!H803)</f>
        <v>FR-DSRSW-1471</v>
      </c>
      <c r="M803" s="30" t="str">
        <f>TR!J803</f>
        <v>Added</v>
      </c>
      <c r="N803" s="31" t="str">
        <f>IF(OR(M803="Modified",M803="Cosmetic"),VLOOKUP(B803,PrevPFS!B$1:E$833,4,FALSE),"")</f>
        <v/>
      </c>
    </row>
    <row r="804" spans="1:14" x14ac:dyDescent="0.25">
      <c r="A804" s="31" t="str">
        <f>IF(ISNONTEXT(TR!K804),"",TR!K804)</f>
        <v/>
      </c>
      <c r="B804" s="32" t="str">
        <f>TR!A804</f>
        <v>TR-DSRSW-2572</v>
      </c>
      <c r="C804" s="31" t="b">
        <f>ISERROR(FIND("-",TR!B804))</f>
        <v>1</v>
      </c>
      <c r="D804" s="31">
        <f>SetIndent(E804,(TR!C804-1)*2)</f>
        <v>2</v>
      </c>
      <c r="E804" s="34" t="str">
        <f>IF(ISERROR(FIND("-",TR!B804)),TR!B804&amp;" "&amp;TR!D804,TR!D804)</f>
        <v>31.3 Performance Tests</v>
      </c>
      <c r="F804" s="31" t="str">
        <f>TR!E804</f>
        <v>Hdr</v>
      </c>
      <c r="G804" s="31" t="str">
        <f>IF(ISERROR(FIND("Adara",TR!F804)),"","Adara ")</f>
        <v/>
      </c>
      <c r="H804" s="31" t="str">
        <f>IF(ISERROR(FIND("Copernicus",TR!F804)),"","Copernicus ")</f>
        <v/>
      </c>
      <c r="I804" s="31" t="str">
        <f>IF(ISERROR(FIND("Deneb",TR!F804)),"","Deneb ")</f>
        <v xml:space="preserve">Deneb </v>
      </c>
      <c r="J804" s="37" t="str">
        <f t="shared" si="13"/>
        <v xml:space="preserve">Deneb </v>
      </c>
      <c r="K804" s="31" t="str">
        <f>IF(ISBLANK(TR!G804),"",TR!G804)</f>
        <v/>
      </c>
      <c r="L804" s="31" t="str">
        <f>IF(ISBLANK(TR!H804),"",TR!H804)</f>
        <v/>
      </c>
      <c r="M804" s="30" t="str">
        <f>TR!J804</f>
        <v>Added</v>
      </c>
      <c r="N804" s="31" t="str">
        <f>IF(OR(M804="Modified",M804="Cosmetic"),VLOOKUP(B804,PrevPFS!B$1:E$833,4,FALSE),"")</f>
        <v/>
      </c>
    </row>
    <row r="805" spans="1:14" x14ac:dyDescent="0.25">
      <c r="A805" s="31" t="str">
        <f>IF(ISNONTEXT(TR!K805),"",TR!K805)</f>
        <v/>
      </c>
      <c r="B805" s="32" t="str">
        <f>TR!A805</f>
        <v>TR-DSRSW-2573</v>
      </c>
      <c r="C805" s="31" t="b">
        <f>ISERROR(FIND("-",TR!B805))</f>
        <v>1</v>
      </c>
      <c r="D805" s="31">
        <f>SetIndent(E805,(TR!C805-1)*2)</f>
        <v>4</v>
      </c>
      <c r="E805" s="35" t="str">
        <f>IF(ISERROR(FIND("-",TR!B805)),TR!B805&amp;" "&amp;TR!D805,TR!D805)</f>
        <v>31.3.1 Channel Surfing</v>
      </c>
      <c r="F805" s="31" t="str">
        <f>TR!E805</f>
        <v>Hdr</v>
      </c>
      <c r="G805" s="31" t="str">
        <f>IF(ISERROR(FIND("Adara",TR!F805)),"","Adara ")</f>
        <v/>
      </c>
      <c r="H805" s="31" t="str">
        <f>IF(ISERROR(FIND("Copernicus",TR!F805)),"","Copernicus ")</f>
        <v/>
      </c>
      <c r="I805" s="31" t="str">
        <f>IF(ISERROR(FIND("Deneb",TR!F805)),"","Deneb ")</f>
        <v xml:space="preserve">Deneb </v>
      </c>
      <c r="J805" s="37" t="str">
        <f t="shared" si="13"/>
        <v xml:space="preserve">Deneb </v>
      </c>
      <c r="K805" s="31" t="str">
        <f>IF(ISBLANK(TR!G805),"",TR!G805)</f>
        <v/>
      </c>
      <c r="L805" s="31" t="str">
        <f>IF(ISBLANK(TR!H805),"",TR!H805)</f>
        <v>FR-DSRSW-1549</v>
      </c>
      <c r="M805" s="30" t="str">
        <f>TR!J805</f>
        <v>Added</v>
      </c>
      <c r="N805" s="31" t="str">
        <f>IF(OR(M805="Modified",M805="Cosmetic"),VLOOKUP(B805,PrevPFS!B$1:E$833,4,FALSE),"")</f>
        <v/>
      </c>
    </row>
    <row r="806" spans="1:14" ht="30" x14ac:dyDescent="0.25">
      <c r="A806" s="31" t="str">
        <f>IF(ISNONTEXT(TR!K806),"",TR!K806)</f>
        <v/>
      </c>
      <c r="B806" s="32" t="str">
        <f>TR!A806</f>
        <v>TR-DSRSW-2574</v>
      </c>
      <c r="C806" s="31" t="b">
        <f>ISERROR(FIND("-",TR!B806))</f>
        <v>0</v>
      </c>
      <c r="D806" s="31">
        <f>SetIndent(E806,(TR!C806-1)*2)</f>
        <v>6</v>
      </c>
      <c r="E806" s="38" t="str">
        <f>IF(ISERROR(FIND("-",TR!B806)),TR!B806&amp;" "&amp;TR!D806,TR!D806)</f>
        <v>The product SHALL be capable of performing a successful channel change on the live feed every 6 seconds over 12 hours.</v>
      </c>
      <c r="F806" s="31" t="str">
        <f>TR!E806</f>
        <v>Req</v>
      </c>
      <c r="G806" s="31" t="str">
        <f>IF(ISERROR(FIND("Adara",TR!F806)),"","Adara ")</f>
        <v/>
      </c>
      <c r="H806" s="31" t="str">
        <f>IF(ISERROR(FIND("Copernicus",TR!F806)),"","Copernicus ")</f>
        <v/>
      </c>
      <c r="I806" s="31" t="str">
        <f>IF(ISERROR(FIND("Deneb",TR!F806)),"","Deneb ")</f>
        <v xml:space="preserve">Deneb </v>
      </c>
      <c r="J806" s="37" t="str">
        <f t="shared" si="13"/>
        <v xml:space="preserve">Deneb </v>
      </c>
      <c r="K806" s="31" t="str">
        <f>IF(ISBLANK(TR!G806),"",TR!G806)</f>
        <v/>
      </c>
      <c r="L806" s="31" t="str">
        <f>IF(ISBLANK(TR!H806),"",TR!H806)</f>
        <v>FR-DSRSW-1549</v>
      </c>
      <c r="M806" s="30" t="str">
        <f>TR!J806</f>
        <v>Added</v>
      </c>
      <c r="N806" s="31" t="str">
        <f>IF(OR(M806="Modified",M806="Cosmetic"),VLOOKUP(B806,PrevPFS!B$1:E$833,4,FALSE),"")</f>
        <v/>
      </c>
    </row>
    <row r="807" spans="1:14" ht="30" x14ac:dyDescent="0.25">
      <c r="A807" s="31" t="str">
        <f>IF(ISNONTEXT(TR!K807),"",TR!K807)</f>
        <v/>
      </c>
      <c r="B807" s="32" t="str">
        <f>TR!A807</f>
        <v>TR-DSRSW-2580</v>
      </c>
      <c r="C807" s="31" t="b">
        <f>ISERROR(FIND("-",TR!B807))</f>
        <v>0</v>
      </c>
      <c r="D807" s="31">
        <f>SetIndent(E807,(TR!C807-1)*2)</f>
        <v>6</v>
      </c>
      <c r="E807" s="38" t="str">
        <f>IF(ISERROR(FIND("-",TR!B807)),TR!B807&amp;" "&amp;TR!D807,TR!D807)</f>
        <v>The product SHALL be capable of performing a successful channel change on the live feed every 6 seconds over 12 hours, WHILE LOD is enabled.</v>
      </c>
      <c r="F807" s="31" t="str">
        <f>TR!E807</f>
        <v>Req</v>
      </c>
      <c r="G807" s="31" t="str">
        <f>IF(ISERROR(FIND("Adara",TR!F807)),"","Adara ")</f>
        <v/>
      </c>
      <c r="H807" s="31" t="str">
        <f>IF(ISERROR(FIND("Copernicus",TR!F807)),"","Copernicus ")</f>
        <v/>
      </c>
      <c r="I807" s="31" t="str">
        <f>IF(ISERROR(FIND("Deneb",TR!F807)),"","Deneb ")</f>
        <v xml:space="preserve">Deneb </v>
      </c>
      <c r="J807" s="37" t="str">
        <f t="shared" si="13"/>
        <v xml:space="preserve">Deneb </v>
      </c>
      <c r="K807" s="31" t="str">
        <f>IF(ISBLANK(TR!G807),"",TR!G807)</f>
        <v/>
      </c>
      <c r="L807" s="31" t="str">
        <f>IF(ISBLANK(TR!H807),"",TR!H807)</f>
        <v>FR-DSRSW-1549</v>
      </c>
      <c r="M807" s="30" t="str">
        <f>TR!J807</f>
        <v>Added</v>
      </c>
      <c r="N807" s="31" t="str">
        <f>IF(OR(M807="Modified",M807="Cosmetic"),VLOOKUP(B807,PrevPFS!B$1:E$833,4,FALSE),"")</f>
        <v/>
      </c>
    </row>
    <row r="808" spans="1:14" ht="45" x14ac:dyDescent="0.25">
      <c r="A808" s="31" t="str">
        <f>IF(ISNONTEXT(TR!K808),"",TR!K808)</f>
        <v/>
      </c>
      <c r="B808" s="32" t="str">
        <f>TR!A808</f>
        <v>TR-DSRSW-2578</v>
      </c>
      <c r="C808" s="31" t="b">
        <f>ISERROR(FIND("-",TR!B808))</f>
        <v>0</v>
      </c>
      <c r="D808" s="31">
        <f>SetIndent(E808,(TR!C808-1)*2)</f>
        <v>6</v>
      </c>
      <c r="E808" s="38" t="str">
        <f>IF(ISERROR(FIND("-",TR!B808)),TR!B808&amp;" "&amp;TR!D808,TR!D808)</f>
        <v>The product SHALL be capable of performing a successful channel change on the live feed every 6 seconds over 12 hours, WHILE LOD is enabled AND a recording is active in the background.</v>
      </c>
      <c r="F808" s="31" t="str">
        <f>TR!E808</f>
        <v>Req</v>
      </c>
      <c r="G808" s="31" t="str">
        <f>IF(ISERROR(FIND("Adara",TR!F808)),"","Adara ")</f>
        <v/>
      </c>
      <c r="H808" s="31" t="str">
        <f>IF(ISERROR(FIND("Copernicus",TR!F808)),"","Copernicus ")</f>
        <v/>
      </c>
      <c r="I808" s="31" t="str">
        <f>IF(ISERROR(FIND("Deneb",TR!F808)),"","Deneb ")</f>
        <v xml:space="preserve">Deneb </v>
      </c>
      <c r="J808" s="37" t="str">
        <f t="shared" si="13"/>
        <v xml:space="preserve">Deneb </v>
      </c>
      <c r="K808" s="31" t="str">
        <f>IF(ISBLANK(TR!G808),"",TR!G808)</f>
        <v/>
      </c>
      <c r="L808" s="31" t="str">
        <f>IF(ISBLANK(TR!H808),"",TR!H808)</f>
        <v>FR-DSRSW-1549</v>
      </c>
      <c r="M808" s="30" t="str">
        <f>TR!J808</f>
        <v>Added</v>
      </c>
      <c r="N808" s="31" t="str">
        <f>IF(OR(M808="Modified",M808="Cosmetic"),VLOOKUP(B808,PrevPFS!B$1:E$833,4,FALSE),"")</f>
        <v/>
      </c>
    </row>
    <row r="809" spans="1:14" ht="45" x14ac:dyDescent="0.25">
      <c r="A809" s="31" t="str">
        <f>IF(ISNONTEXT(TR!K809),"",TR!K809)</f>
        <v/>
      </c>
      <c r="B809" s="32" t="str">
        <f>TR!A809</f>
        <v>TR-DSRSW-2579</v>
      </c>
      <c r="C809" s="31" t="b">
        <f>ISERROR(FIND("-",TR!B809))</f>
        <v>0</v>
      </c>
      <c r="D809" s="31">
        <f>SetIndent(E809,(TR!C809-1)*2)</f>
        <v>6</v>
      </c>
      <c r="E809" s="38" t="str">
        <f>IF(ISERROR(FIND("-",TR!B809)),TR!B809&amp;" "&amp;TR!D809,TR!D809)</f>
        <v>The product SHALL be capable of performing a successful channel change on the live feed every 6 seconds over 12 hours, WHILE LOD is enabled AND a recording is active in the background AND VCOs are active.</v>
      </c>
      <c r="F809" s="31" t="str">
        <f>TR!E809</f>
        <v>Req</v>
      </c>
      <c r="G809" s="31" t="str">
        <f>IF(ISERROR(FIND("Adara",TR!F809)),"","Adara ")</f>
        <v/>
      </c>
      <c r="H809" s="31" t="str">
        <f>IF(ISERROR(FIND("Copernicus",TR!F809)),"","Copernicus ")</f>
        <v/>
      </c>
      <c r="I809" s="31" t="str">
        <f>IF(ISERROR(FIND("Deneb",TR!F809)),"","Deneb ")</f>
        <v xml:space="preserve">Deneb </v>
      </c>
      <c r="J809" s="37" t="str">
        <f t="shared" si="13"/>
        <v xml:space="preserve">Deneb </v>
      </c>
      <c r="K809" s="31" t="str">
        <f>IF(ISBLANK(TR!G809),"",TR!G809)</f>
        <v/>
      </c>
      <c r="L809" s="31" t="str">
        <f>IF(ISBLANK(TR!H809),"",TR!H809)</f>
        <v>FR-DSRSW-1549</v>
      </c>
      <c r="M809" s="30" t="str">
        <f>TR!J809</f>
        <v>Added</v>
      </c>
      <c r="N809" s="31" t="str">
        <f>IF(OR(M809="Modified",M809="Cosmetic"),VLOOKUP(B809,PrevPFS!B$1:E$833,4,FALSE),"")</f>
        <v/>
      </c>
    </row>
    <row r="810" spans="1:14" x14ac:dyDescent="0.25">
      <c r="A810" s="31" t="str">
        <f>IF(ISNONTEXT(TR!K810),"",TR!K810)</f>
        <v/>
      </c>
      <c r="B810" s="32" t="str">
        <f>TR!A810</f>
        <v>TR-DSRSW-2575</v>
      </c>
      <c r="C810" s="31" t="b">
        <f>ISERROR(FIND("-",TR!B810))</f>
        <v>1</v>
      </c>
      <c r="D810" s="31">
        <f>SetIndent(E810,(TR!C810-1)*2)</f>
        <v>4</v>
      </c>
      <c r="E810" s="35" t="str">
        <f>IF(ISERROR(FIND("-",TR!B810)),TR!B810&amp;" "&amp;TR!D810,TR!D810)</f>
        <v>31.3.2 DVR</v>
      </c>
      <c r="F810" s="31" t="str">
        <f>TR!E810</f>
        <v>Hdr</v>
      </c>
      <c r="G810" s="31" t="str">
        <f>IF(ISERROR(FIND("Adara",TR!F810)),"","Adara ")</f>
        <v/>
      </c>
      <c r="H810" s="31" t="str">
        <f>IF(ISERROR(FIND("Copernicus",TR!F810)),"","Copernicus ")</f>
        <v/>
      </c>
      <c r="I810" s="31" t="str">
        <f>IF(ISERROR(FIND("Deneb",TR!F810)),"","Deneb ")</f>
        <v xml:space="preserve">Deneb </v>
      </c>
      <c r="J810" s="37" t="str">
        <f t="shared" si="13"/>
        <v xml:space="preserve">Deneb </v>
      </c>
      <c r="K810" s="31" t="str">
        <f>IF(ISBLANK(TR!G810),"",TR!G810)</f>
        <v/>
      </c>
      <c r="L810" s="31" t="str">
        <f>IF(ISBLANK(TR!H810),"",TR!H810)</f>
        <v/>
      </c>
      <c r="M810" s="30" t="str">
        <f>TR!J810</f>
        <v>Added</v>
      </c>
      <c r="N810" s="31" t="str">
        <f>IF(OR(M810="Modified",M810="Cosmetic"),VLOOKUP(B810,PrevPFS!B$1:E$833,4,FALSE),"")</f>
        <v/>
      </c>
    </row>
    <row r="811" spans="1:14" ht="45" x14ac:dyDescent="0.25">
      <c r="A811" s="31" t="str">
        <f>IF(ISNONTEXT(TR!K811),"",TR!K811)</f>
        <v/>
      </c>
      <c r="B811" s="32" t="str">
        <f>TR!A811</f>
        <v>TR-DSRSW-2581</v>
      </c>
      <c r="C811" s="31" t="b">
        <f>ISERROR(FIND("-",TR!B811))</f>
        <v>0</v>
      </c>
      <c r="D811" s="31">
        <f>SetIndent(E811,(TR!C811-1)*2)</f>
        <v>6</v>
      </c>
      <c r="E811" s="38" t="str">
        <f>IF(ISERROR(FIND("-",TR!B811)),TR!B811&amp;" "&amp;TR!D811,TR!D811)</f>
        <v xml:space="preserve">The product SHALL, if signal loss occurs during an active recording, allow the user to play and perform trick-play across the gaps caused by signal loss while the recording event is still active. </v>
      </c>
      <c r="F811" s="31" t="str">
        <f>TR!E811</f>
        <v>Req</v>
      </c>
      <c r="G811" s="31" t="str">
        <f>IF(ISERROR(FIND("Adara",TR!F811)),"","Adara ")</f>
        <v/>
      </c>
      <c r="H811" s="31" t="str">
        <f>IF(ISERROR(FIND("Copernicus",TR!F811)),"","Copernicus ")</f>
        <v/>
      </c>
      <c r="I811" s="31" t="str">
        <f>IF(ISERROR(FIND("Deneb",TR!F811)),"","Deneb ")</f>
        <v xml:space="preserve">Deneb </v>
      </c>
      <c r="J811" s="37" t="str">
        <f t="shared" ref="J811:J818" si="14">G811&amp;H811&amp;I811</f>
        <v xml:space="preserve">Deneb </v>
      </c>
      <c r="K811" s="31" t="str">
        <f>IF(ISBLANK(TR!G811),"",TR!G811)</f>
        <v/>
      </c>
      <c r="L811" s="31" t="str">
        <f>IF(ISBLANK(TR!H811),"",TR!H811)</f>
        <v>FR-DSRSW-1550</v>
      </c>
      <c r="M811" s="30" t="str">
        <f>TR!J811</f>
        <v>Added</v>
      </c>
      <c r="N811" s="31" t="str">
        <f>IF(OR(M811="Modified",M811="Cosmetic"),VLOOKUP(B811,PrevPFS!B$1:E$833,4,FALSE),"")</f>
        <v/>
      </c>
    </row>
    <row r="812" spans="1:14" ht="45" x14ac:dyDescent="0.25">
      <c r="A812" s="31" t="str">
        <f>IF(ISNONTEXT(TR!K812),"",TR!K812)</f>
        <v/>
      </c>
      <c r="B812" s="32" t="str">
        <f>TR!A812</f>
        <v>TR-DSRSW-2582</v>
      </c>
      <c r="C812" s="31" t="b">
        <f>ISERROR(FIND("-",TR!B812))</f>
        <v>0</v>
      </c>
      <c r="D812" s="31">
        <f>SetIndent(E812,(TR!C812-1)*2)</f>
        <v>6</v>
      </c>
      <c r="E812" s="38" t="str">
        <f>IF(ISERROR(FIND("-",TR!B812)),TR!B812&amp;" "&amp;TR!D812,TR!D812)</f>
        <v xml:space="preserve">The product SHALL, if signal loss occurs during an active recording, allow the user to play and perform trick-play across the gaps caused by signal loss after the recording event is complete. </v>
      </c>
      <c r="F812" s="31" t="str">
        <f>TR!E812</f>
        <v>Req</v>
      </c>
      <c r="G812" s="31" t="str">
        <f>IF(ISERROR(FIND("Adara",TR!F812)),"","Adara ")</f>
        <v/>
      </c>
      <c r="H812" s="31" t="str">
        <f>IF(ISERROR(FIND("Copernicus",TR!F812)),"","Copernicus ")</f>
        <v/>
      </c>
      <c r="I812" s="31" t="str">
        <f>IF(ISERROR(FIND("Deneb",TR!F812)),"","Deneb ")</f>
        <v xml:space="preserve">Deneb </v>
      </c>
      <c r="J812" s="37" t="str">
        <f t="shared" si="14"/>
        <v xml:space="preserve">Deneb </v>
      </c>
      <c r="K812" s="31" t="str">
        <f>IF(ISBLANK(TR!G812),"",TR!G812)</f>
        <v/>
      </c>
      <c r="L812" s="31" t="str">
        <f>IF(ISBLANK(TR!H812),"",TR!H812)</f>
        <v>FR-DSRSW-1550</v>
      </c>
      <c r="M812" s="30" t="str">
        <f>TR!J812</f>
        <v>Added</v>
      </c>
      <c r="N812" s="31" t="str">
        <f>IF(OR(M812="Modified",M812="Cosmetic"),VLOOKUP(B812,PrevPFS!B$1:E$833,4,FALSE),"")</f>
        <v/>
      </c>
    </row>
    <row r="813" spans="1:14" ht="30" x14ac:dyDescent="0.25">
      <c r="A813" s="31" t="str">
        <f>IF(ISNONTEXT(TR!K813),"",TR!K813)</f>
        <v/>
      </c>
      <c r="B813" s="32" t="str">
        <f>TR!A813</f>
        <v>TR-DSRSW-2583</v>
      </c>
      <c r="C813" s="31" t="b">
        <f>ISERROR(FIND("-",TR!B813))</f>
        <v>0</v>
      </c>
      <c r="D813" s="31">
        <f>SetIndent(E813,(TR!C813-1)*2)</f>
        <v>6</v>
      </c>
      <c r="E813" s="38" t="str">
        <f>IF(ISERROR(FIND("-",TR!B813)),TR!B813&amp;" "&amp;TR!D813,TR!D813)</f>
        <v>The product SHALL allow perform random trick-play operations on an active LOD program without failure.</v>
      </c>
      <c r="F813" s="31" t="str">
        <f>TR!E813</f>
        <v>Req</v>
      </c>
      <c r="G813" s="31" t="str">
        <f>IF(ISERROR(FIND("Adara",TR!F813)),"","Adara ")</f>
        <v/>
      </c>
      <c r="H813" s="31" t="str">
        <f>IF(ISERROR(FIND("Copernicus",TR!F813)),"","Copernicus ")</f>
        <v/>
      </c>
      <c r="I813" s="31" t="str">
        <f>IF(ISERROR(FIND("Deneb",TR!F813)),"","Deneb ")</f>
        <v xml:space="preserve">Deneb </v>
      </c>
      <c r="J813" s="37" t="str">
        <f t="shared" si="14"/>
        <v xml:space="preserve">Deneb </v>
      </c>
      <c r="K813" s="31" t="str">
        <f>IF(ISBLANK(TR!G813),"",TR!G813)</f>
        <v/>
      </c>
      <c r="L813" s="31" t="str">
        <f>IF(ISBLANK(TR!H813),"",TR!H813)</f>
        <v>FR-DSRSW-1545</v>
      </c>
      <c r="M813" s="30" t="str">
        <f>TR!J813</f>
        <v>Added</v>
      </c>
      <c r="N813" s="31" t="str">
        <f>IF(OR(M813="Modified",M813="Cosmetic"),VLOOKUP(B813,PrevPFS!B$1:E$833,4,FALSE),"")</f>
        <v/>
      </c>
    </row>
    <row r="814" spans="1:14" x14ac:dyDescent="0.25">
      <c r="A814" s="31" t="str">
        <f>IF(ISNONTEXT(TR!K814),"",TR!K814)</f>
        <v/>
      </c>
      <c r="B814" s="32" t="str">
        <f>TR!A814</f>
        <v>TR-DSRSW-2584</v>
      </c>
      <c r="C814" s="31" t="b">
        <f>ISERROR(FIND("-",TR!B814))</f>
        <v>0</v>
      </c>
      <c r="D814" s="31">
        <f>SetIndent(E814,(TR!C814-1)*2)</f>
        <v>6</v>
      </c>
      <c r="E814" s="38" t="str">
        <f>IF(ISERROR(FIND("-",TR!B814)),TR!B814&amp;" "&amp;TR!D814,TR!D814)</f>
        <v>The product SHALL support at least 6 VCO transitions during a recording.</v>
      </c>
      <c r="F814" s="31" t="str">
        <f>TR!E814</f>
        <v>Req</v>
      </c>
      <c r="G814" s="31" t="str">
        <f>IF(ISERROR(FIND("Adara",TR!F814)),"","Adara ")</f>
        <v/>
      </c>
      <c r="H814" s="31" t="str">
        <f>IF(ISERROR(FIND("Copernicus",TR!F814)),"","Copernicus ")</f>
        <v/>
      </c>
      <c r="I814" s="31" t="str">
        <f>IF(ISERROR(FIND("Deneb",TR!F814)),"","Deneb ")</f>
        <v xml:space="preserve">Deneb </v>
      </c>
      <c r="J814" s="37" t="str">
        <f t="shared" si="14"/>
        <v xml:space="preserve">Deneb </v>
      </c>
      <c r="K814" s="31" t="str">
        <f>IF(ISBLANK(TR!G814),"",TR!G814)</f>
        <v/>
      </c>
      <c r="L814" s="31" t="str">
        <f>IF(ISBLANK(TR!H814),"",TR!H814)</f>
        <v>FR-DSRSW-1545</v>
      </c>
      <c r="M814" s="30" t="str">
        <f>TR!J814</f>
        <v>Added</v>
      </c>
      <c r="N814" s="31" t="str">
        <f>IF(OR(M814="Modified",M814="Cosmetic"),VLOOKUP(B814,PrevPFS!B$1:E$833,4,FALSE),"")</f>
        <v/>
      </c>
    </row>
    <row r="815" spans="1:14" x14ac:dyDescent="0.25">
      <c r="A815" s="31" t="str">
        <f>IF(ISNONTEXT(TR!K815),"",TR!K815)</f>
        <v/>
      </c>
      <c r="B815" s="32" t="str">
        <f>TR!A815</f>
        <v>TR-DSRSW-2585</v>
      </c>
      <c r="C815" s="31" t="b">
        <f>ISERROR(FIND("-",TR!B815))</f>
        <v>0</v>
      </c>
      <c r="D815" s="31">
        <f>SetIndent(E815,(TR!C815-1)*2)</f>
        <v>6</v>
      </c>
      <c r="E815" s="38" t="str">
        <f>IF(ISERROR(FIND("-",TR!B815)),TR!B815&amp;" "&amp;TR!D815,TR!D815)</f>
        <v>The product SHALL support signal loss and recovery transitions during a recording.</v>
      </c>
      <c r="F815" s="31" t="str">
        <f>TR!E815</f>
        <v>Req</v>
      </c>
      <c r="G815" s="31" t="str">
        <f>IF(ISERROR(FIND("Adara",TR!F815)),"","Adara ")</f>
        <v/>
      </c>
      <c r="H815" s="31" t="str">
        <f>IF(ISERROR(FIND("Copernicus",TR!F815)),"","Copernicus ")</f>
        <v/>
      </c>
      <c r="I815" s="31" t="str">
        <f>IF(ISERROR(FIND("Deneb",TR!F815)),"","Deneb ")</f>
        <v xml:space="preserve">Deneb </v>
      </c>
      <c r="J815" s="37" t="str">
        <f t="shared" si="14"/>
        <v xml:space="preserve">Deneb </v>
      </c>
      <c r="K815" s="31" t="str">
        <f>IF(ISBLANK(TR!G815),"",TR!G815)</f>
        <v/>
      </c>
      <c r="L815" s="31" t="str">
        <f>IF(ISBLANK(TR!H815),"",TR!H815)</f>
        <v>FR-DSRSW-1545</v>
      </c>
      <c r="M815" s="30" t="str">
        <f>TR!J815</f>
        <v>Added</v>
      </c>
      <c r="N815" s="31" t="str">
        <f>IF(OR(M815="Modified",M815="Cosmetic"),VLOOKUP(B815,PrevPFS!B$1:E$833,4,FALSE),"")</f>
        <v/>
      </c>
    </row>
    <row r="816" spans="1:14" x14ac:dyDescent="0.25">
      <c r="A816" s="31" t="str">
        <f>IF(ISNONTEXT(TR!K816),"",TR!K816)</f>
        <v/>
      </c>
      <c r="B816" s="32" t="str">
        <f>TR!A816</f>
        <v>TR-DSRSW-2576</v>
      </c>
      <c r="C816" s="31" t="b">
        <f>ISERROR(FIND("-",TR!B816))</f>
        <v>1</v>
      </c>
      <c r="D816" s="31">
        <f>SetIndent(E816,(TR!C816-1)*2)</f>
        <v>4</v>
      </c>
      <c r="E816" s="35" t="str">
        <f>IF(ISERROR(FIND("-",TR!B816)),TR!B816&amp;" "&amp;TR!D816,TR!D816)</f>
        <v>31.3.3 IP VOD Streaming</v>
      </c>
      <c r="F816" s="31" t="str">
        <f>TR!E816</f>
        <v>Hdr</v>
      </c>
      <c r="G816" s="31" t="str">
        <f>IF(ISERROR(FIND("Adara",TR!F816)),"","Adara ")</f>
        <v/>
      </c>
      <c r="H816" s="31" t="str">
        <f>IF(ISERROR(FIND("Copernicus",TR!F816)),"","Copernicus ")</f>
        <v/>
      </c>
      <c r="I816" s="31" t="str">
        <f>IF(ISERROR(FIND("Deneb",TR!F816)),"","Deneb ")</f>
        <v xml:space="preserve">Deneb </v>
      </c>
      <c r="J816" s="37" t="str">
        <f t="shared" si="14"/>
        <v xml:space="preserve">Deneb </v>
      </c>
      <c r="K816" s="31" t="str">
        <f>IF(ISBLANK(TR!G816),"",TR!G816)</f>
        <v/>
      </c>
      <c r="L816" s="31" t="str">
        <f>IF(ISBLANK(TR!H816),"",TR!H816)</f>
        <v>FR-DSRSW-1546</v>
      </c>
      <c r="M816" s="30" t="str">
        <f>TR!J816</f>
        <v>Added</v>
      </c>
      <c r="N816" s="31" t="str">
        <f>IF(OR(M816="Modified",M816="Cosmetic"),VLOOKUP(B816,PrevPFS!B$1:E$833,4,FALSE),"")</f>
        <v/>
      </c>
    </row>
    <row r="817" spans="1:14" ht="30" x14ac:dyDescent="0.25">
      <c r="A817" s="31" t="str">
        <f>IF(ISNONTEXT(TR!K817),"",TR!K817)</f>
        <v/>
      </c>
      <c r="B817" s="32" t="str">
        <f>TR!A817</f>
        <v>TR-DSRSW-2586</v>
      </c>
      <c r="C817" s="31" t="b">
        <f>ISERROR(FIND("-",TR!B817))</f>
        <v>0</v>
      </c>
      <c r="D817" s="31">
        <f>SetIndent(E817,(TR!C817-1)*2)</f>
        <v>6</v>
      </c>
      <c r="E817" s="38" t="str">
        <f>IF(ISERROR(FIND("-",TR!B817)),TR!B817&amp;" "&amp;TR!D817,TR!D817)</f>
        <v>The product SHALL be capable of switching between IP VOD and satellite programs (live or recorded [if supported]).</v>
      </c>
      <c r="F817" s="31" t="str">
        <f>TR!E817</f>
        <v>Req</v>
      </c>
      <c r="G817" s="31" t="str">
        <f>IF(ISERROR(FIND("Adara",TR!F817)),"","Adara ")</f>
        <v/>
      </c>
      <c r="H817" s="31" t="str">
        <f>IF(ISERROR(FIND("Copernicus",TR!F817)),"","Copernicus ")</f>
        <v/>
      </c>
      <c r="I817" s="31" t="str">
        <f>IF(ISERROR(FIND("Deneb",TR!F817)),"","Deneb ")</f>
        <v xml:space="preserve">Deneb </v>
      </c>
      <c r="J817" s="37" t="str">
        <f t="shared" si="14"/>
        <v xml:space="preserve">Deneb </v>
      </c>
      <c r="K817" s="31" t="str">
        <f>IF(ISBLANK(TR!G817),"",TR!G817)</f>
        <v/>
      </c>
      <c r="L817" s="31" t="str">
        <f>IF(ISBLANK(TR!H817),"",TR!H817)</f>
        <v>FR-DSRSW-1546</v>
      </c>
      <c r="M817" s="30" t="str">
        <f>TR!J817</f>
        <v>Added</v>
      </c>
      <c r="N817" s="31" t="str">
        <f>IF(OR(M817="Modified",M817="Cosmetic"),VLOOKUP(B817,PrevPFS!B$1:E$833,4,FALSE),"")</f>
        <v/>
      </c>
    </row>
    <row r="818" spans="1:14" x14ac:dyDescent="0.25">
      <c r="A818" s="31" t="str">
        <f>IF(ISNONTEXT(TR!K818),"",TR!K818)</f>
        <v/>
      </c>
      <c r="B818" s="32" t="str">
        <f>TR!A818</f>
        <v>TR-DSRSW-2577</v>
      </c>
      <c r="C818" s="31" t="b">
        <f>ISERROR(FIND("-",TR!B818))</f>
        <v>1</v>
      </c>
      <c r="D818" s="31">
        <f>SetIndent(E818,(TR!C818-1)*2)</f>
        <v>4</v>
      </c>
      <c r="E818" s="35" t="str">
        <f>IF(ISERROR(FIND("-",TR!B818)),TR!B818&amp;" "&amp;TR!D818,TR!D818)</f>
        <v>31.3.4 Live Feed and Long Turn</v>
      </c>
      <c r="F818" s="31" t="str">
        <f>TR!E818</f>
        <v>Hdr</v>
      </c>
      <c r="G818" s="31" t="str">
        <f>IF(ISERROR(FIND("Adara",TR!F818)),"","Adara ")</f>
        <v/>
      </c>
      <c r="H818" s="31" t="str">
        <f>IF(ISERROR(FIND("Copernicus",TR!F818)),"","Copernicus ")</f>
        <v/>
      </c>
      <c r="I818" s="31" t="str">
        <f>IF(ISERROR(FIND("Deneb",TR!F818)),"","Deneb ")</f>
        <v xml:space="preserve">Deneb </v>
      </c>
      <c r="J818" s="37" t="str">
        <f t="shared" si="14"/>
        <v xml:space="preserve">Deneb </v>
      </c>
      <c r="K818" s="31" t="str">
        <f>IF(ISBLANK(TR!G818),"",TR!G818)</f>
        <v/>
      </c>
      <c r="L818" s="31" t="str">
        <f>IF(ISBLANK(TR!H818),"",TR!H818)</f>
        <v/>
      </c>
      <c r="M818" s="30" t="str">
        <f>TR!J818</f>
        <v>Added</v>
      </c>
      <c r="N818" s="31" t="str">
        <f>IF(OR(M818="Modified",M818="Cosmetic"),VLOOKUP(B818,PrevPFS!B$1:E$833,4,FALSE),"")</f>
        <v/>
      </c>
    </row>
    <row r="819" spans="1:14" ht="30" x14ac:dyDescent="0.25">
      <c r="A819" s="31" t="str">
        <f>IF(ISNONTEXT(TR!K819),"",TR!K819)</f>
        <v/>
      </c>
      <c r="B819" s="32" t="str">
        <f>TR!A819</f>
        <v>TR-DSRSW-2587</v>
      </c>
      <c r="C819" s="31" t="b">
        <f>ISERROR(FIND("-",TR!B819))</f>
        <v>0</v>
      </c>
      <c r="D819" s="31">
        <f>SetIndent(E819,(TR!C819-1)*2)</f>
        <v>6</v>
      </c>
      <c r="E819" s="38" t="str">
        <f>IF(ISERROR(FIND("-",TR!B819)),TR!B819&amp;" "&amp;TR!D819,TR!D819)</f>
        <v>The product SHALL achieve a reset rate of one reset or less per month (30 days) during normal operation.</v>
      </c>
      <c r="F819" s="31" t="str">
        <f>TR!E819</f>
        <v>Req</v>
      </c>
      <c r="G819" s="31" t="str">
        <f>IF(ISERROR(FIND("Adara",TR!F819)),"","Adara ")</f>
        <v/>
      </c>
      <c r="H819" s="31" t="str">
        <f>IF(ISERROR(FIND("Copernicus",TR!F819)),"","Copernicus ")</f>
        <v/>
      </c>
      <c r="I819" s="31" t="str">
        <f>IF(ISERROR(FIND("Deneb",TR!F819)),"","Deneb ")</f>
        <v xml:space="preserve">Deneb </v>
      </c>
      <c r="J819" s="37" t="str">
        <f t="shared" ref="J819:J820" si="15">G819&amp;H819&amp;I819</f>
        <v xml:space="preserve">Deneb </v>
      </c>
      <c r="K819" s="31" t="str">
        <f>IF(ISBLANK(TR!G819),"",TR!G819)</f>
        <v/>
      </c>
      <c r="L819" s="31" t="str">
        <f>IF(ISBLANK(TR!H819),"",TR!H819)</f>
        <v>FR-DSRSW-1547</v>
      </c>
      <c r="M819" s="30" t="str">
        <f>TR!J819</f>
        <v>Added</v>
      </c>
    </row>
    <row r="820" spans="1:14" ht="60" x14ac:dyDescent="0.25">
      <c r="A820" s="31" t="str">
        <f>IF(ISNONTEXT(TR!K820),"",TR!K820)</f>
        <v/>
      </c>
      <c r="B820" s="32" t="str">
        <f>TR!A820</f>
        <v>TR-DSRSW-2588</v>
      </c>
      <c r="C820" s="31"/>
      <c r="D820" s="31"/>
      <c r="E820" s="38" t="str">
        <f>IF(ISERROR(FIND("-",TR!B820)),TR!B820&amp;" "&amp;TR!D820,TR!D820)</f>
        <v>The product SHALL maintain a consistent and quality user experience regardless of the number of recordings and hard drive percentage full (internal and external).  Consistent” means that the normal operations, such as channel changes, are the same speed.   “Quality” means that user interfaces, response times, etc., are not impacted.</v>
      </c>
      <c r="F820" s="31" t="str">
        <f>TR!E820</f>
        <v>Req</v>
      </c>
      <c r="G820" s="31"/>
      <c r="H820" s="31"/>
      <c r="J820" s="37" t="str">
        <f t="shared" si="15"/>
        <v/>
      </c>
      <c r="K820" s="31"/>
      <c r="L820" s="31" t="str">
        <f>IF(ISBLANK(TR!H820),"",TR!H820)</f>
        <v>FR-DSRSW-1548</v>
      </c>
      <c r="M820" s="30" t="str">
        <f>TR!J820</f>
        <v>Added</v>
      </c>
      <c r="N820" s="31"/>
    </row>
    <row r="821" spans="1:14" x14ac:dyDescent="0.25">
      <c r="B821" s="32"/>
      <c r="C821" s="31"/>
      <c r="D821" s="31"/>
      <c r="E821" s="38"/>
      <c r="F821" s="31"/>
      <c r="G821" s="31"/>
      <c r="H821" s="31"/>
      <c r="J821" s="37"/>
      <c r="K821" s="31"/>
      <c r="M821" s="30"/>
      <c r="N821" s="31"/>
    </row>
    <row r="822" spans="1:14" x14ac:dyDescent="0.25">
      <c r="B822" s="32"/>
      <c r="E822" s="38"/>
      <c r="F822" s="31"/>
      <c r="J822" s="37"/>
      <c r="M822" s="30"/>
      <c r="N822" s="31"/>
    </row>
    <row r="823" spans="1:14" x14ac:dyDescent="0.25">
      <c r="B823" s="32"/>
      <c r="E823" s="38"/>
      <c r="F823" s="31"/>
      <c r="J823" s="37"/>
      <c r="M823" s="30"/>
      <c r="N823" s="31"/>
    </row>
    <row r="824" spans="1:14" x14ac:dyDescent="0.25">
      <c r="E824" s="11"/>
      <c r="M824" s="6"/>
    </row>
    <row r="825" spans="1:14" x14ac:dyDescent="0.25">
      <c r="E825" s="11"/>
      <c r="M825" s="6"/>
    </row>
    <row r="826" spans="1:14" x14ac:dyDescent="0.25">
      <c r="E826" s="11"/>
      <c r="M826" s="6"/>
    </row>
    <row r="827" spans="1:14" x14ac:dyDescent="0.25">
      <c r="E827" s="11"/>
      <c r="M827" s="6"/>
    </row>
    <row r="828" spans="1:14" x14ac:dyDescent="0.25">
      <c r="E828" s="11"/>
      <c r="M828" s="6"/>
    </row>
    <row r="829" spans="1:14" x14ac:dyDescent="0.25">
      <c r="E829" s="11"/>
      <c r="M829" s="6"/>
    </row>
    <row r="830" spans="1:14" x14ac:dyDescent="0.25">
      <c r="E830" s="11"/>
      <c r="M830" s="6"/>
    </row>
    <row r="831" spans="1:14" x14ac:dyDescent="0.25">
      <c r="E831" s="11"/>
      <c r="M831" s="6"/>
    </row>
    <row r="832" spans="1:14" x14ac:dyDescent="0.25">
      <c r="E832" s="11"/>
      <c r="M832" s="6"/>
    </row>
    <row r="833" spans="5:13" x14ac:dyDescent="0.25">
      <c r="E833" s="11"/>
      <c r="M833" s="6"/>
    </row>
    <row r="834" spans="5:13" x14ac:dyDescent="0.25">
      <c r="E834" s="11"/>
      <c r="M834" s="6"/>
    </row>
    <row r="835" spans="5:13" x14ac:dyDescent="0.25">
      <c r="E835" s="11"/>
      <c r="M835" s="6"/>
    </row>
    <row r="836" spans="5:13" x14ac:dyDescent="0.25">
      <c r="E836" s="11"/>
      <c r="M836" s="6"/>
    </row>
    <row r="837" spans="5:13" x14ac:dyDescent="0.25">
      <c r="E837" s="11"/>
      <c r="M837" s="6"/>
    </row>
  </sheetData>
  <autoFilter ref="A1:Q837" xr:uid="{00000000-0009-0000-0000-000007000000}"/>
  <conditionalFormatting sqref="E1:E837">
    <cfRule type="expression" dxfId="208" priority="17">
      <formula>$C1</formula>
    </cfRule>
  </conditionalFormatting>
  <conditionalFormatting sqref="M2:M837">
    <cfRule type="cellIs" dxfId="207" priority="13" operator="notEqual">
      <formula>"Approved"</formula>
    </cfRule>
  </conditionalFormatting>
  <conditionalFormatting sqref="F1:F1048576">
    <cfRule type="cellIs" dxfId="206" priority="9" operator="equal">
      <formula>"Req"</formula>
    </cfRule>
  </conditionalFormatting>
  <conditionalFormatting sqref="J2:J1048576">
    <cfRule type="cellIs" dxfId="205" priority="8" operator="equal">
      <formula>"Adara 1.1"</formula>
    </cfRule>
  </conditionalFormatting>
  <conditionalFormatting sqref="J1">
    <cfRule type="cellIs" dxfId="204" priority="7" operator="equal">
      <formula>"Adara 1.1"</formula>
    </cfRule>
  </conditionalFormatting>
  <conditionalFormatting sqref="E1:E1048576">
    <cfRule type="expression" dxfId="203" priority="1">
      <formula>M1="Deleted"</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Q925"/>
  <sheetViews>
    <sheetView zoomScaleNormal="100" workbookViewId="0">
      <pane ySplit="1" topLeftCell="A398" activePane="bottomLeft" state="frozen"/>
      <selection pane="bottomLeft" activeCell="E404" sqref="E404"/>
    </sheetView>
  </sheetViews>
  <sheetFormatPr defaultColWidth="8.85546875" defaultRowHeight="15" x14ac:dyDescent="0.25"/>
  <cols>
    <col min="1" max="1" width="17.7109375" style="31" customWidth="1"/>
    <col min="2" max="2" width="15.7109375" style="32" customWidth="1"/>
    <col min="3" max="4" width="8.85546875" style="31" hidden="1" customWidth="1"/>
    <col min="5" max="5" width="90.28515625" style="31" customWidth="1"/>
    <col min="6" max="6" width="6.28515625" style="31" customWidth="1"/>
    <col min="7" max="9" width="13.85546875" style="31" hidden="1" customWidth="1"/>
    <col min="10" max="10" width="11.85546875" style="37" customWidth="1"/>
    <col min="11" max="11" width="16.28515625" style="31" hidden="1" customWidth="1"/>
    <col min="12" max="12" width="17.28515625" style="31" customWidth="1"/>
    <col min="13" max="13" width="11.42578125" style="31" customWidth="1"/>
    <col min="14" max="14" width="68.85546875" style="31" customWidth="1"/>
    <col min="15" max="16" width="8.85546875" style="30"/>
    <col min="17" max="17" width="29.85546875" style="40" customWidth="1"/>
    <col min="18" max="16384" width="8.85546875" style="30"/>
  </cols>
  <sheetData>
    <row r="1" spans="1:17" s="17" customFormat="1" ht="16.5" thickTop="1" thickBot="1" x14ac:dyDescent="0.3">
      <c r="A1" s="15" t="s">
        <v>3398</v>
      </c>
      <c r="B1" s="15" t="s">
        <v>502</v>
      </c>
      <c r="C1" s="15" t="s">
        <v>635</v>
      </c>
      <c r="D1" s="15" t="e">
        <v>#VALUE!</v>
      </c>
      <c r="E1" s="16" t="s">
        <v>2226</v>
      </c>
      <c r="F1" s="15" t="s">
        <v>8</v>
      </c>
      <c r="G1" s="15"/>
      <c r="H1" s="15"/>
      <c r="I1" s="15"/>
      <c r="J1" s="15" t="s">
        <v>633</v>
      </c>
      <c r="K1" s="15" t="s">
        <v>122</v>
      </c>
      <c r="L1" s="15" t="s">
        <v>2227</v>
      </c>
      <c r="M1" s="44" t="s">
        <v>3979</v>
      </c>
      <c r="N1" s="15" t="s">
        <v>3859</v>
      </c>
      <c r="Q1" s="39"/>
    </row>
    <row r="2" spans="1:17" s="17" customFormat="1" ht="57.75" thickTop="1" thickBot="1" x14ac:dyDescent="0.3">
      <c r="A2" s="15"/>
      <c r="B2" s="15"/>
      <c r="C2" s="15"/>
      <c r="D2" s="15"/>
      <c r="E2" s="42" t="s">
        <v>3978</v>
      </c>
      <c r="F2" s="15"/>
      <c r="G2" s="15"/>
      <c r="H2" s="15"/>
      <c r="I2" s="15"/>
      <c r="J2" s="15"/>
      <c r="K2" s="15"/>
      <c r="L2" s="15"/>
      <c r="M2" s="43" t="s">
        <v>3983</v>
      </c>
      <c r="N2" s="15" t="s">
        <v>3980</v>
      </c>
      <c r="Q2" s="39"/>
    </row>
    <row r="3" spans="1:17" ht="75" x14ac:dyDescent="0.25">
      <c r="A3" s="31" t="s">
        <v>2230</v>
      </c>
      <c r="B3" s="32" t="s">
        <v>637</v>
      </c>
      <c r="C3" s="31" t="b">
        <v>1</v>
      </c>
      <c r="D3" s="31">
        <v>0</v>
      </c>
      <c r="E3" s="33" t="s">
        <v>2327</v>
      </c>
      <c r="F3" s="31" t="s">
        <v>3443</v>
      </c>
      <c r="G3" s="31" t="s">
        <v>3665</v>
      </c>
      <c r="H3" s="31" t="s">
        <v>3666</v>
      </c>
      <c r="I3" s="31" t="s">
        <v>3842</v>
      </c>
      <c r="J3" s="37" t="s">
        <v>4047</v>
      </c>
      <c r="K3" s="31" t="s">
        <v>2328</v>
      </c>
      <c r="L3" s="31" t="s">
        <v>2328</v>
      </c>
      <c r="M3" s="31" t="s">
        <v>2232</v>
      </c>
      <c r="N3" s="31" t="s">
        <v>2328</v>
      </c>
    </row>
    <row r="4" spans="1:17" ht="75" x14ac:dyDescent="0.25">
      <c r="A4" s="31" t="s">
        <v>2328</v>
      </c>
      <c r="B4" s="32" t="s">
        <v>3573</v>
      </c>
      <c r="C4" s="31" t="b">
        <v>0</v>
      </c>
      <c r="D4" s="31">
        <v>2</v>
      </c>
      <c r="E4" s="34" t="s">
        <v>3575</v>
      </c>
      <c r="F4" s="31" t="s">
        <v>139</v>
      </c>
      <c r="G4" s="31" t="s">
        <v>3665</v>
      </c>
      <c r="H4" s="31" t="s">
        <v>3666</v>
      </c>
      <c r="I4" s="31" t="s">
        <v>3842</v>
      </c>
      <c r="J4" s="37" t="s">
        <v>4047</v>
      </c>
      <c r="K4" s="31" t="s">
        <v>2328</v>
      </c>
      <c r="L4" s="31" t="s">
        <v>2328</v>
      </c>
      <c r="M4" s="31" t="s">
        <v>2232</v>
      </c>
      <c r="N4" s="31" t="s">
        <v>2328</v>
      </c>
    </row>
    <row r="5" spans="1:17" ht="75" x14ac:dyDescent="0.25">
      <c r="A5" s="31" t="s">
        <v>2328</v>
      </c>
      <c r="B5" s="32" t="s">
        <v>667</v>
      </c>
      <c r="C5" s="31" t="b">
        <v>1</v>
      </c>
      <c r="D5" s="31">
        <v>0</v>
      </c>
      <c r="E5" s="33" t="s">
        <v>2330</v>
      </c>
      <c r="F5" s="31" t="s">
        <v>3443</v>
      </c>
      <c r="G5" s="31" t="s">
        <v>3665</v>
      </c>
      <c r="H5" s="31" t="s">
        <v>3666</v>
      </c>
      <c r="I5" s="31" t="s">
        <v>3842</v>
      </c>
      <c r="J5" s="37" t="s">
        <v>4047</v>
      </c>
      <c r="K5" s="31" t="s">
        <v>2328</v>
      </c>
      <c r="L5" s="31" t="s">
        <v>2328</v>
      </c>
      <c r="M5" s="31" t="s">
        <v>2232</v>
      </c>
      <c r="N5" s="31" t="s">
        <v>2328</v>
      </c>
    </row>
    <row r="6" spans="1:17" ht="75" x14ac:dyDescent="0.25">
      <c r="A6" s="31" t="s">
        <v>2328</v>
      </c>
      <c r="B6" s="32" t="s">
        <v>3576</v>
      </c>
      <c r="C6" s="31" t="b">
        <v>0</v>
      </c>
      <c r="D6" s="31">
        <v>2</v>
      </c>
      <c r="E6" s="34" t="s">
        <v>3418</v>
      </c>
      <c r="F6" s="31" t="s">
        <v>139</v>
      </c>
      <c r="G6" s="31" t="s">
        <v>3665</v>
      </c>
      <c r="H6" s="31" t="s">
        <v>3666</v>
      </c>
      <c r="I6" s="31" t="s">
        <v>3842</v>
      </c>
      <c r="J6" s="37" t="s">
        <v>4047</v>
      </c>
      <c r="K6" s="31" t="s">
        <v>2328</v>
      </c>
      <c r="L6" s="31" t="s">
        <v>2328</v>
      </c>
      <c r="M6" s="31" t="s">
        <v>2232</v>
      </c>
      <c r="N6" s="31" t="s">
        <v>2328</v>
      </c>
    </row>
    <row r="7" spans="1:17" ht="75" x14ac:dyDescent="0.25">
      <c r="A7" s="31" t="s">
        <v>2328</v>
      </c>
      <c r="B7" s="32" t="s">
        <v>679</v>
      </c>
      <c r="C7" s="31" t="b">
        <v>1</v>
      </c>
      <c r="D7" s="31">
        <v>0</v>
      </c>
      <c r="E7" s="33" t="s">
        <v>2388</v>
      </c>
      <c r="F7" s="31" t="s">
        <v>3443</v>
      </c>
      <c r="G7" s="31" t="s">
        <v>3665</v>
      </c>
      <c r="H7" s="31" t="s">
        <v>3666</v>
      </c>
      <c r="I7" s="31" t="s">
        <v>3842</v>
      </c>
      <c r="J7" s="37" t="s">
        <v>4047</v>
      </c>
      <c r="K7" s="31" t="s">
        <v>2328</v>
      </c>
      <c r="L7" s="31" t="s">
        <v>2328</v>
      </c>
      <c r="M7" s="31" t="s">
        <v>2232</v>
      </c>
      <c r="N7" s="31" t="s">
        <v>2328</v>
      </c>
    </row>
    <row r="8" spans="1:17" ht="75" x14ac:dyDescent="0.25">
      <c r="A8" s="31" t="s">
        <v>2328</v>
      </c>
      <c r="B8" s="32" t="s">
        <v>3578</v>
      </c>
      <c r="C8" s="31" t="b">
        <v>0</v>
      </c>
      <c r="D8" s="31">
        <v>2</v>
      </c>
      <c r="E8" s="34" t="s">
        <v>3418</v>
      </c>
      <c r="F8" s="31" t="s">
        <v>139</v>
      </c>
      <c r="G8" s="31" t="s">
        <v>3665</v>
      </c>
      <c r="H8" s="31" t="s">
        <v>3666</v>
      </c>
      <c r="I8" s="31" t="s">
        <v>3842</v>
      </c>
      <c r="J8" s="37" t="s">
        <v>4047</v>
      </c>
      <c r="K8" s="31" t="s">
        <v>2328</v>
      </c>
      <c r="L8" s="31" t="s">
        <v>2328</v>
      </c>
      <c r="M8" s="31" t="s">
        <v>2232</v>
      </c>
      <c r="N8" s="31" t="s">
        <v>2328</v>
      </c>
    </row>
    <row r="9" spans="1:17" ht="75" x14ac:dyDescent="0.25">
      <c r="A9" s="31" t="s">
        <v>2328</v>
      </c>
      <c r="B9" s="32" t="s">
        <v>2233</v>
      </c>
      <c r="C9" s="31" t="b">
        <v>1</v>
      </c>
      <c r="D9" s="31">
        <v>0</v>
      </c>
      <c r="E9" s="33" t="s">
        <v>2331</v>
      </c>
      <c r="F9" s="31" t="s">
        <v>3443</v>
      </c>
      <c r="G9" s="31" t="s">
        <v>3665</v>
      </c>
      <c r="H9" s="31" t="s">
        <v>3666</v>
      </c>
      <c r="I9" s="31" t="s">
        <v>3842</v>
      </c>
      <c r="J9" s="37" t="s">
        <v>4047</v>
      </c>
      <c r="K9" s="31" t="s">
        <v>2328</v>
      </c>
      <c r="L9" s="31" t="s">
        <v>206</v>
      </c>
      <c r="M9" s="31" t="s">
        <v>2232</v>
      </c>
      <c r="N9" s="31" t="s">
        <v>2328</v>
      </c>
    </row>
    <row r="10" spans="1:17" ht="75" x14ac:dyDescent="0.25">
      <c r="A10" s="31" t="s">
        <v>2328</v>
      </c>
      <c r="B10" s="32" t="s">
        <v>688</v>
      </c>
      <c r="C10" s="31" t="b">
        <v>0</v>
      </c>
      <c r="D10" s="31">
        <v>2</v>
      </c>
      <c r="E10" s="34" t="s">
        <v>2234</v>
      </c>
      <c r="F10" s="31" t="s">
        <v>131</v>
      </c>
      <c r="G10" s="31" t="s">
        <v>3665</v>
      </c>
      <c r="H10" s="31" t="s">
        <v>3666</v>
      </c>
      <c r="I10" s="31" t="s">
        <v>3842</v>
      </c>
      <c r="J10" s="37" t="s">
        <v>4047</v>
      </c>
      <c r="K10" s="31" t="s">
        <v>2328</v>
      </c>
      <c r="L10" s="31" t="s">
        <v>209</v>
      </c>
      <c r="M10" s="31" t="s">
        <v>2232</v>
      </c>
      <c r="N10" s="31" t="s">
        <v>2328</v>
      </c>
    </row>
    <row r="11" spans="1:17" ht="75" x14ac:dyDescent="0.25">
      <c r="A11" s="31" t="s">
        <v>2328</v>
      </c>
      <c r="B11" s="32" t="s">
        <v>690</v>
      </c>
      <c r="C11" s="31" t="b">
        <v>0</v>
      </c>
      <c r="D11" s="31">
        <v>2</v>
      </c>
      <c r="E11" s="34" t="s">
        <v>692</v>
      </c>
      <c r="F11" s="31" t="s">
        <v>131</v>
      </c>
      <c r="G11" s="31" t="s">
        <v>3665</v>
      </c>
      <c r="H11" s="31" t="s">
        <v>3666</v>
      </c>
      <c r="I11" s="31" t="s">
        <v>3842</v>
      </c>
      <c r="J11" s="37" t="s">
        <v>4047</v>
      </c>
      <c r="K11" s="31" t="s">
        <v>2328</v>
      </c>
      <c r="L11" s="31" t="s">
        <v>211</v>
      </c>
      <c r="M11" s="31" t="s">
        <v>2232</v>
      </c>
      <c r="N11" s="31" t="s">
        <v>2328</v>
      </c>
    </row>
    <row r="12" spans="1:17" ht="75" x14ac:dyDescent="0.25">
      <c r="A12" s="31" t="s">
        <v>2328</v>
      </c>
      <c r="B12" s="32" t="s">
        <v>3579</v>
      </c>
      <c r="C12" s="31" t="b">
        <v>0</v>
      </c>
      <c r="D12" s="31">
        <v>2</v>
      </c>
      <c r="E12" s="34" t="s">
        <v>3581</v>
      </c>
      <c r="F12" s="31" t="s">
        <v>131</v>
      </c>
      <c r="G12" s="31" t="s">
        <v>2328</v>
      </c>
      <c r="H12" s="31" t="s">
        <v>3666</v>
      </c>
      <c r="I12" s="31" t="s">
        <v>3842</v>
      </c>
      <c r="J12" s="37" t="s">
        <v>4047</v>
      </c>
      <c r="K12" s="31" t="s">
        <v>2328</v>
      </c>
      <c r="L12" s="31" t="s">
        <v>211</v>
      </c>
      <c r="M12" s="31" t="s">
        <v>2232</v>
      </c>
      <c r="N12" s="31" t="s">
        <v>2328</v>
      </c>
    </row>
    <row r="13" spans="1:17" ht="75" x14ac:dyDescent="0.25">
      <c r="A13" s="31" t="s">
        <v>3681</v>
      </c>
      <c r="B13" s="32" t="s">
        <v>3676</v>
      </c>
      <c r="C13" s="31" t="b">
        <v>0</v>
      </c>
      <c r="D13" s="31">
        <v>2</v>
      </c>
      <c r="E13" s="34" t="s">
        <v>3678</v>
      </c>
      <c r="F13" s="31" t="s">
        <v>131</v>
      </c>
      <c r="G13" s="31" t="s">
        <v>3665</v>
      </c>
      <c r="H13" s="31" t="s">
        <v>3666</v>
      </c>
      <c r="I13" s="31" t="s">
        <v>3842</v>
      </c>
      <c r="J13" s="37" t="s">
        <v>4047</v>
      </c>
      <c r="K13" s="31" t="s">
        <v>2328</v>
      </c>
      <c r="L13" s="31" t="s">
        <v>3679</v>
      </c>
      <c r="M13" s="31" t="s">
        <v>2232</v>
      </c>
    </row>
    <row r="14" spans="1:17" ht="75" x14ac:dyDescent="0.25">
      <c r="A14" s="31" t="s">
        <v>3681</v>
      </c>
      <c r="B14" s="32" t="s">
        <v>3682</v>
      </c>
      <c r="C14" s="31" t="b">
        <v>0</v>
      </c>
      <c r="D14" s="31">
        <v>2</v>
      </c>
      <c r="E14" s="34" t="s">
        <v>3684</v>
      </c>
      <c r="F14" s="31" t="s">
        <v>131</v>
      </c>
      <c r="G14" s="31" t="s">
        <v>3665</v>
      </c>
      <c r="H14" s="31" t="s">
        <v>3666</v>
      </c>
      <c r="I14" s="31" t="s">
        <v>3842</v>
      </c>
      <c r="J14" s="37" t="s">
        <v>4047</v>
      </c>
      <c r="K14" s="31" t="s">
        <v>2328</v>
      </c>
      <c r="L14" s="31" t="s">
        <v>3679</v>
      </c>
      <c r="M14" s="31" t="s">
        <v>2232</v>
      </c>
      <c r="N14" s="31" t="s">
        <v>2328</v>
      </c>
    </row>
    <row r="15" spans="1:17" ht="75" x14ac:dyDescent="0.25">
      <c r="A15" s="31" t="s">
        <v>3681</v>
      </c>
      <c r="B15" s="32" t="s">
        <v>3685</v>
      </c>
      <c r="C15" s="31" t="b">
        <v>0</v>
      </c>
      <c r="D15" s="31">
        <v>2</v>
      </c>
      <c r="E15" s="34" t="s">
        <v>3687</v>
      </c>
      <c r="F15" s="31" t="s">
        <v>131</v>
      </c>
      <c r="G15" s="31" t="s">
        <v>2328</v>
      </c>
      <c r="H15" s="31" t="s">
        <v>3666</v>
      </c>
      <c r="I15" s="31" t="s">
        <v>3842</v>
      </c>
      <c r="J15" s="37" t="s">
        <v>4047</v>
      </c>
      <c r="K15" s="31" t="s">
        <v>2328</v>
      </c>
      <c r="L15" s="31" t="s">
        <v>3679</v>
      </c>
      <c r="M15" s="31" t="s">
        <v>2232</v>
      </c>
      <c r="N15" s="31" t="s">
        <v>2328</v>
      </c>
    </row>
    <row r="16" spans="1:17" ht="75" x14ac:dyDescent="0.25">
      <c r="A16" s="31" t="s">
        <v>2328</v>
      </c>
      <c r="B16" s="32" t="s">
        <v>2236</v>
      </c>
      <c r="C16" s="31" t="b">
        <v>1</v>
      </c>
      <c r="D16" s="31">
        <v>0</v>
      </c>
      <c r="E16" s="33" t="s">
        <v>2332</v>
      </c>
      <c r="F16" s="31" t="s">
        <v>3443</v>
      </c>
      <c r="G16" s="31" t="s">
        <v>3665</v>
      </c>
      <c r="H16" s="31" t="s">
        <v>3666</v>
      </c>
      <c r="I16" s="31" t="s">
        <v>3842</v>
      </c>
      <c r="J16" s="37" t="s">
        <v>4047</v>
      </c>
      <c r="K16" s="31" t="s">
        <v>2328</v>
      </c>
      <c r="L16" s="31" t="s">
        <v>214</v>
      </c>
      <c r="M16" s="31" t="s">
        <v>2232</v>
      </c>
      <c r="N16" s="31" t="s">
        <v>2328</v>
      </c>
    </row>
    <row r="17" spans="1:14" ht="75" x14ac:dyDescent="0.25">
      <c r="A17" s="31" t="s">
        <v>2728</v>
      </c>
      <c r="B17" s="32" t="s">
        <v>693</v>
      </c>
      <c r="C17" s="31" t="b">
        <v>0</v>
      </c>
      <c r="D17" s="31">
        <v>2</v>
      </c>
      <c r="E17" s="34" t="s">
        <v>694</v>
      </c>
      <c r="F17" s="31" t="s">
        <v>131</v>
      </c>
      <c r="G17" s="31" t="s">
        <v>3665</v>
      </c>
      <c r="H17" s="31" t="s">
        <v>3666</v>
      </c>
      <c r="I17" s="31" t="s">
        <v>3842</v>
      </c>
      <c r="J17" s="37" t="s">
        <v>4047</v>
      </c>
      <c r="K17" s="31" t="s">
        <v>2328</v>
      </c>
      <c r="L17" s="31" t="s">
        <v>216</v>
      </c>
      <c r="M17" s="31" t="s">
        <v>2232</v>
      </c>
      <c r="N17" s="31" t="s">
        <v>2328</v>
      </c>
    </row>
    <row r="18" spans="1:14" ht="75" x14ac:dyDescent="0.25">
      <c r="A18" s="31" t="s">
        <v>2729</v>
      </c>
      <c r="B18" s="32" t="s">
        <v>695</v>
      </c>
      <c r="C18" s="31" t="b">
        <v>0</v>
      </c>
      <c r="D18" s="31">
        <v>2</v>
      </c>
      <c r="E18" s="34" t="s">
        <v>697</v>
      </c>
      <c r="F18" s="31" t="s">
        <v>131</v>
      </c>
      <c r="G18" s="31" t="s">
        <v>3665</v>
      </c>
      <c r="H18" s="31" t="s">
        <v>3666</v>
      </c>
      <c r="I18" s="31" t="s">
        <v>3842</v>
      </c>
      <c r="J18" s="37" t="s">
        <v>4047</v>
      </c>
      <c r="K18" s="31" t="s">
        <v>2328</v>
      </c>
      <c r="L18" s="31" t="s">
        <v>216</v>
      </c>
      <c r="M18" s="31" t="s">
        <v>2232</v>
      </c>
      <c r="N18" s="31" t="s">
        <v>2328</v>
      </c>
    </row>
    <row r="19" spans="1:14" ht="75" x14ac:dyDescent="0.25">
      <c r="A19" s="31" t="s">
        <v>2730</v>
      </c>
      <c r="B19" s="32" t="s">
        <v>698</v>
      </c>
      <c r="C19" s="31" t="b">
        <v>0</v>
      </c>
      <c r="D19" s="31">
        <v>2</v>
      </c>
      <c r="E19" s="34" t="s">
        <v>700</v>
      </c>
      <c r="F19" s="31" t="s">
        <v>131</v>
      </c>
      <c r="G19" s="31" t="s">
        <v>3665</v>
      </c>
      <c r="H19" s="31" t="s">
        <v>3666</v>
      </c>
      <c r="I19" s="31" t="s">
        <v>3842</v>
      </c>
      <c r="J19" s="37" t="s">
        <v>4047</v>
      </c>
      <c r="K19" s="31" t="s">
        <v>2328</v>
      </c>
      <c r="L19" s="31" t="s">
        <v>216</v>
      </c>
      <c r="M19" s="31" t="s">
        <v>2232</v>
      </c>
      <c r="N19" s="31" t="s">
        <v>2328</v>
      </c>
    </row>
    <row r="20" spans="1:14" ht="75" x14ac:dyDescent="0.25">
      <c r="A20" s="31" t="s">
        <v>2328</v>
      </c>
      <c r="B20" s="32" t="s">
        <v>701</v>
      </c>
      <c r="C20" s="31" t="b">
        <v>1</v>
      </c>
      <c r="D20" s="31">
        <v>0</v>
      </c>
      <c r="E20" s="33" t="s">
        <v>2425</v>
      </c>
      <c r="F20" s="31" t="s">
        <v>3443</v>
      </c>
      <c r="G20" s="31" t="s">
        <v>3665</v>
      </c>
      <c r="H20" s="31" t="s">
        <v>3666</v>
      </c>
      <c r="I20" s="31" t="s">
        <v>3842</v>
      </c>
      <c r="J20" s="37" t="s">
        <v>4047</v>
      </c>
      <c r="K20" s="31" t="s">
        <v>2328</v>
      </c>
      <c r="L20" s="31" t="s">
        <v>3660</v>
      </c>
      <c r="M20" s="31" t="s">
        <v>2232</v>
      </c>
      <c r="N20" s="31" t="s">
        <v>2328</v>
      </c>
    </row>
    <row r="21" spans="1:14" ht="75" x14ac:dyDescent="0.25">
      <c r="A21" s="31" t="s">
        <v>2328</v>
      </c>
      <c r="B21" s="32" t="s">
        <v>703</v>
      </c>
      <c r="C21" s="31" t="b">
        <v>0</v>
      </c>
      <c r="D21" s="31">
        <v>2</v>
      </c>
      <c r="E21" s="34" t="s">
        <v>704</v>
      </c>
      <c r="F21" s="31" t="s">
        <v>131</v>
      </c>
      <c r="G21" s="31" t="s">
        <v>3665</v>
      </c>
      <c r="H21" s="31" t="s">
        <v>3666</v>
      </c>
      <c r="I21" s="31" t="s">
        <v>3842</v>
      </c>
      <c r="J21" s="37" t="s">
        <v>4047</v>
      </c>
      <c r="K21" s="31" t="s">
        <v>2328</v>
      </c>
      <c r="L21" s="31" t="s">
        <v>221</v>
      </c>
      <c r="M21" s="31" t="s">
        <v>2232</v>
      </c>
      <c r="N21" s="31" t="s">
        <v>2328</v>
      </c>
    </row>
    <row r="22" spans="1:14" ht="75" x14ac:dyDescent="0.25">
      <c r="A22" s="31" t="s">
        <v>2328</v>
      </c>
      <c r="B22" s="32" t="s">
        <v>705</v>
      </c>
      <c r="C22" s="31" t="b">
        <v>1</v>
      </c>
      <c r="D22" s="31">
        <v>0</v>
      </c>
      <c r="E22" s="33" t="s">
        <v>2334</v>
      </c>
      <c r="F22" s="31" t="s">
        <v>3443</v>
      </c>
      <c r="G22" s="31" t="s">
        <v>3665</v>
      </c>
      <c r="H22" s="31" t="s">
        <v>3666</v>
      </c>
      <c r="I22" s="31" t="s">
        <v>3842</v>
      </c>
      <c r="J22" s="37" t="s">
        <v>4047</v>
      </c>
      <c r="K22" s="31" t="s">
        <v>2328</v>
      </c>
      <c r="L22" s="31" t="s">
        <v>224</v>
      </c>
      <c r="M22" s="31" t="s">
        <v>2232</v>
      </c>
      <c r="N22" s="31" t="s">
        <v>2328</v>
      </c>
    </row>
    <row r="23" spans="1:14" ht="75" x14ac:dyDescent="0.25">
      <c r="A23" s="31" t="s">
        <v>2328</v>
      </c>
      <c r="B23" s="32" t="s">
        <v>706</v>
      </c>
      <c r="C23" s="31" t="b">
        <v>1</v>
      </c>
      <c r="D23" s="31">
        <v>2</v>
      </c>
      <c r="E23" s="34" t="s">
        <v>2335</v>
      </c>
      <c r="F23" s="31" t="s">
        <v>3443</v>
      </c>
      <c r="G23" s="31" t="s">
        <v>3665</v>
      </c>
      <c r="H23" s="31" t="s">
        <v>3666</v>
      </c>
      <c r="I23" s="31" t="s">
        <v>3842</v>
      </c>
      <c r="J23" s="37" t="s">
        <v>4047</v>
      </c>
      <c r="K23" s="31" t="s">
        <v>2328</v>
      </c>
      <c r="L23" s="31" t="s">
        <v>227</v>
      </c>
      <c r="M23" s="31" t="s">
        <v>2232</v>
      </c>
      <c r="N23" s="31" t="s">
        <v>2328</v>
      </c>
    </row>
    <row r="24" spans="1:14" ht="75" x14ac:dyDescent="0.25">
      <c r="A24" s="31" t="s">
        <v>2731</v>
      </c>
      <c r="B24" s="32" t="s">
        <v>707</v>
      </c>
      <c r="C24" s="31" t="b">
        <v>0</v>
      </c>
      <c r="D24" s="31">
        <v>4</v>
      </c>
      <c r="E24" s="35" t="s">
        <v>3582</v>
      </c>
      <c r="F24" s="31" t="s">
        <v>131</v>
      </c>
      <c r="G24" s="31" t="s">
        <v>3665</v>
      </c>
      <c r="H24" s="31" t="s">
        <v>3666</v>
      </c>
      <c r="I24" s="31" t="s">
        <v>3842</v>
      </c>
      <c r="J24" s="37" t="s">
        <v>4047</v>
      </c>
      <c r="K24" s="31" t="s">
        <v>2328</v>
      </c>
      <c r="L24" s="31" t="s">
        <v>230</v>
      </c>
      <c r="M24" s="31" t="s">
        <v>2232</v>
      </c>
      <c r="N24" s="31" t="s">
        <v>2328</v>
      </c>
    </row>
    <row r="25" spans="1:14" ht="75" x14ac:dyDescent="0.25">
      <c r="A25" s="31" t="s">
        <v>2731</v>
      </c>
      <c r="B25" s="32" t="s">
        <v>3583</v>
      </c>
      <c r="C25" s="31" t="b">
        <v>0</v>
      </c>
      <c r="D25" s="31">
        <v>4</v>
      </c>
      <c r="E25" s="35" t="s">
        <v>3585</v>
      </c>
      <c r="F25" s="31" t="s">
        <v>131</v>
      </c>
      <c r="G25" s="31" t="s">
        <v>3665</v>
      </c>
      <c r="H25" s="31" t="s">
        <v>3666</v>
      </c>
      <c r="I25" s="31" t="s">
        <v>3842</v>
      </c>
      <c r="J25" s="37" t="s">
        <v>4047</v>
      </c>
      <c r="K25" s="31" t="s">
        <v>2328</v>
      </c>
      <c r="L25" s="31" t="s">
        <v>230</v>
      </c>
      <c r="M25" s="31" t="s">
        <v>2232</v>
      </c>
      <c r="N25" s="31" t="s">
        <v>2328</v>
      </c>
    </row>
    <row r="26" spans="1:14" ht="75" x14ac:dyDescent="0.25">
      <c r="A26" s="31" t="s">
        <v>2328</v>
      </c>
      <c r="B26" s="32" t="s">
        <v>2238</v>
      </c>
      <c r="C26" s="31" t="b">
        <v>1</v>
      </c>
      <c r="D26" s="31">
        <v>2</v>
      </c>
      <c r="E26" s="34" t="s">
        <v>3341</v>
      </c>
      <c r="F26" s="31" t="s">
        <v>3443</v>
      </c>
      <c r="G26" s="31" t="s">
        <v>3665</v>
      </c>
      <c r="H26" s="31" t="s">
        <v>3666</v>
      </c>
      <c r="I26" s="31" t="s">
        <v>3842</v>
      </c>
      <c r="J26" s="37" t="s">
        <v>4047</v>
      </c>
      <c r="K26" s="31" t="s">
        <v>2328</v>
      </c>
      <c r="L26" s="31" t="s">
        <v>224</v>
      </c>
      <c r="M26" s="31" t="s">
        <v>2232</v>
      </c>
      <c r="N26" s="31" t="s">
        <v>2328</v>
      </c>
    </row>
    <row r="27" spans="1:14" ht="75" x14ac:dyDescent="0.25">
      <c r="A27" s="31" t="s">
        <v>2328</v>
      </c>
      <c r="B27" s="32" t="s">
        <v>708</v>
      </c>
      <c r="C27" s="31" t="b">
        <v>1</v>
      </c>
      <c r="D27" s="31">
        <v>4</v>
      </c>
      <c r="E27" s="35" t="s">
        <v>2426</v>
      </c>
      <c r="F27" s="31" t="s">
        <v>3443</v>
      </c>
      <c r="G27" s="31" t="s">
        <v>3665</v>
      </c>
      <c r="H27" s="31" t="s">
        <v>3666</v>
      </c>
      <c r="I27" s="31" t="s">
        <v>3842</v>
      </c>
      <c r="J27" s="37" t="s">
        <v>4047</v>
      </c>
      <c r="K27" s="31" t="s">
        <v>2328</v>
      </c>
      <c r="L27" s="31" t="s">
        <v>231</v>
      </c>
      <c r="M27" s="31" t="s">
        <v>2232</v>
      </c>
      <c r="N27" s="31" t="s">
        <v>2328</v>
      </c>
    </row>
    <row r="28" spans="1:14" ht="75" x14ac:dyDescent="0.25">
      <c r="A28" s="31" t="s">
        <v>2732</v>
      </c>
      <c r="B28" s="32" t="s">
        <v>710</v>
      </c>
      <c r="C28" s="31" t="b">
        <v>0</v>
      </c>
      <c r="D28" s="31">
        <v>6</v>
      </c>
      <c r="E28" s="38" t="s">
        <v>712</v>
      </c>
      <c r="F28" s="31" t="s">
        <v>131</v>
      </c>
      <c r="G28" s="31" t="s">
        <v>3665</v>
      </c>
      <c r="H28" s="31" t="s">
        <v>3666</v>
      </c>
      <c r="I28" s="31" t="s">
        <v>3842</v>
      </c>
      <c r="J28" s="37" t="s">
        <v>4047</v>
      </c>
      <c r="K28" s="31" t="s">
        <v>2328</v>
      </c>
      <c r="L28" s="31" t="s">
        <v>243</v>
      </c>
      <c r="M28" s="31" t="s">
        <v>2232</v>
      </c>
      <c r="N28" s="31" t="s">
        <v>2328</v>
      </c>
    </row>
    <row r="29" spans="1:14" ht="75" x14ac:dyDescent="0.25">
      <c r="A29" s="31" t="s">
        <v>2732</v>
      </c>
      <c r="B29" s="32" t="s">
        <v>713</v>
      </c>
      <c r="C29" s="31" t="b">
        <v>0</v>
      </c>
      <c r="D29" s="31">
        <v>6</v>
      </c>
      <c r="E29" s="38" t="s">
        <v>4186</v>
      </c>
      <c r="F29" s="31" t="s">
        <v>131</v>
      </c>
      <c r="G29" s="31" t="s">
        <v>3665</v>
      </c>
      <c r="H29" s="31" t="s">
        <v>3666</v>
      </c>
      <c r="I29" s="31" t="s">
        <v>3842</v>
      </c>
      <c r="J29" s="37" t="s">
        <v>4047</v>
      </c>
      <c r="K29" s="31" t="s">
        <v>2328</v>
      </c>
      <c r="L29" s="31" t="s">
        <v>3661</v>
      </c>
      <c r="M29" s="31" t="s">
        <v>2232</v>
      </c>
      <c r="N29" s="31" t="s">
        <v>2328</v>
      </c>
    </row>
    <row r="30" spans="1:14" ht="75" x14ac:dyDescent="0.25">
      <c r="A30" s="31" t="s">
        <v>2732</v>
      </c>
      <c r="B30" s="32" t="s">
        <v>716</v>
      </c>
      <c r="C30" s="31" t="b">
        <v>0</v>
      </c>
      <c r="D30" s="31">
        <v>6</v>
      </c>
      <c r="E30" s="38" t="s">
        <v>120</v>
      </c>
      <c r="F30" s="31" t="s">
        <v>131</v>
      </c>
      <c r="G30" s="31" t="s">
        <v>3665</v>
      </c>
      <c r="H30" s="31" t="s">
        <v>3666</v>
      </c>
      <c r="I30" s="31" t="s">
        <v>3842</v>
      </c>
      <c r="J30" s="37" t="s">
        <v>4047</v>
      </c>
      <c r="K30" s="31" t="s">
        <v>2328</v>
      </c>
      <c r="L30" s="31" t="s">
        <v>241</v>
      </c>
      <c r="M30" s="31" t="s">
        <v>2232</v>
      </c>
      <c r="N30" s="31" t="s">
        <v>2328</v>
      </c>
    </row>
    <row r="31" spans="1:14" ht="75" x14ac:dyDescent="0.25">
      <c r="A31" s="31" t="s">
        <v>2328</v>
      </c>
      <c r="B31" s="32" t="s">
        <v>718</v>
      </c>
      <c r="C31" s="31" t="b">
        <v>1</v>
      </c>
      <c r="D31" s="31">
        <v>4</v>
      </c>
      <c r="E31" s="35" t="s">
        <v>2413</v>
      </c>
      <c r="F31" s="31" t="s">
        <v>3443</v>
      </c>
      <c r="G31" s="31" t="s">
        <v>3665</v>
      </c>
      <c r="H31" s="31" t="s">
        <v>3666</v>
      </c>
      <c r="I31" s="31" t="s">
        <v>3842</v>
      </c>
      <c r="J31" s="37" t="s">
        <v>4047</v>
      </c>
      <c r="K31" s="31" t="s">
        <v>2328</v>
      </c>
      <c r="L31" s="31" t="s">
        <v>246</v>
      </c>
      <c r="M31" s="31" t="s">
        <v>2232</v>
      </c>
      <c r="N31" s="31" t="s">
        <v>2328</v>
      </c>
    </row>
    <row r="32" spans="1:14" ht="75" x14ac:dyDescent="0.25">
      <c r="A32" s="31" t="s">
        <v>2328</v>
      </c>
      <c r="B32" s="32" t="s">
        <v>720</v>
      </c>
      <c r="C32" s="31" t="b">
        <v>1</v>
      </c>
      <c r="D32" s="31">
        <v>6</v>
      </c>
      <c r="E32" s="38" t="s">
        <v>2412</v>
      </c>
      <c r="F32" s="31" t="s">
        <v>3443</v>
      </c>
      <c r="G32" s="31" t="s">
        <v>3665</v>
      </c>
      <c r="H32" s="31" t="s">
        <v>3666</v>
      </c>
      <c r="I32" s="31" t="s">
        <v>3842</v>
      </c>
      <c r="J32" s="37" t="s">
        <v>4047</v>
      </c>
      <c r="K32" s="31" t="s">
        <v>2328</v>
      </c>
      <c r="L32" s="31" t="s">
        <v>246</v>
      </c>
      <c r="M32" s="31" t="s">
        <v>2232</v>
      </c>
      <c r="N32" s="31" t="s">
        <v>2328</v>
      </c>
    </row>
    <row r="33" spans="1:14" ht="75" x14ac:dyDescent="0.25">
      <c r="A33" s="31" t="s">
        <v>2328</v>
      </c>
      <c r="B33" s="32" t="s">
        <v>723</v>
      </c>
      <c r="C33" s="31" t="b">
        <v>0</v>
      </c>
      <c r="D33" s="31">
        <v>8</v>
      </c>
      <c r="E33" s="36" t="s">
        <v>250</v>
      </c>
      <c r="F33" s="31" t="s">
        <v>131</v>
      </c>
      <c r="G33" s="31" t="s">
        <v>3665</v>
      </c>
      <c r="H33" s="31" t="s">
        <v>3666</v>
      </c>
      <c r="I33" s="31" t="s">
        <v>3842</v>
      </c>
      <c r="J33" s="37" t="s">
        <v>4047</v>
      </c>
      <c r="K33" s="31" t="s">
        <v>2328</v>
      </c>
      <c r="L33" s="31" t="s">
        <v>249</v>
      </c>
      <c r="M33" s="31" t="s">
        <v>2232</v>
      </c>
      <c r="N33" s="31" t="s">
        <v>2328</v>
      </c>
    </row>
    <row r="34" spans="1:14" ht="75" x14ac:dyDescent="0.25">
      <c r="A34" s="31" t="s">
        <v>2328</v>
      </c>
      <c r="B34" s="32" t="s">
        <v>3689</v>
      </c>
      <c r="C34" s="31" t="b">
        <v>0</v>
      </c>
      <c r="D34" s="31">
        <v>8</v>
      </c>
      <c r="E34" s="36" t="s">
        <v>3691</v>
      </c>
      <c r="F34" s="31" t="s">
        <v>131</v>
      </c>
      <c r="G34" s="31" t="s">
        <v>2328</v>
      </c>
      <c r="H34" s="31" t="s">
        <v>2328</v>
      </c>
      <c r="I34" s="31" t="s">
        <v>3842</v>
      </c>
      <c r="J34" s="37" t="s">
        <v>4047</v>
      </c>
      <c r="K34" s="31" t="s">
        <v>2328</v>
      </c>
      <c r="L34" s="31" t="s">
        <v>3693</v>
      </c>
      <c r="M34" s="31" t="s">
        <v>2232</v>
      </c>
      <c r="N34" s="31" t="s">
        <v>2328</v>
      </c>
    </row>
    <row r="35" spans="1:14" ht="75" x14ac:dyDescent="0.25">
      <c r="A35" s="31" t="s">
        <v>2733</v>
      </c>
      <c r="B35" s="32" t="s">
        <v>725</v>
      </c>
      <c r="C35" s="31" t="b">
        <v>1</v>
      </c>
      <c r="D35" s="31">
        <v>6</v>
      </c>
      <c r="E35" s="38" t="s">
        <v>3538</v>
      </c>
      <c r="F35" s="31" t="s">
        <v>3443</v>
      </c>
      <c r="G35" s="31" t="s">
        <v>3665</v>
      </c>
      <c r="H35" s="31" t="s">
        <v>3666</v>
      </c>
      <c r="I35" s="31" t="s">
        <v>3842</v>
      </c>
      <c r="J35" s="37" t="s">
        <v>4047</v>
      </c>
      <c r="K35" s="31" t="s">
        <v>2328</v>
      </c>
      <c r="L35" s="31" t="s">
        <v>252</v>
      </c>
      <c r="M35" s="31" t="s">
        <v>2232</v>
      </c>
      <c r="N35" s="31" t="s">
        <v>2328</v>
      </c>
    </row>
    <row r="36" spans="1:14" ht="75" x14ac:dyDescent="0.25">
      <c r="A36" s="31" t="s">
        <v>2733</v>
      </c>
      <c r="B36" s="32" t="s">
        <v>3445</v>
      </c>
      <c r="C36" s="31" t="b">
        <v>0</v>
      </c>
      <c r="D36" s="31">
        <v>8</v>
      </c>
      <c r="E36" s="36" t="s">
        <v>3446</v>
      </c>
      <c r="F36" s="31" t="s">
        <v>139</v>
      </c>
      <c r="G36" s="31" t="s">
        <v>3665</v>
      </c>
      <c r="H36" s="31" t="s">
        <v>3666</v>
      </c>
      <c r="I36" s="31" t="s">
        <v>3842</v>
      </c>
      <c r="J36" s="37" t="s">
        <v>4047</v>
      </c>
      <c r="K36" s="31" t="s">
        <v>2328</v>
      </c>
      <c r="L36" s="31" t="s">
        <v>2328</v>
      </c>
      <c r="M36" s="31" t="s">
        <v>2232</v>
      </c>
      <c r="N36" s="31" t="s">
        <v>2328</v>
      </c>
    </row>
    <row r="37" spans="1:14" ht="75" x14ac:dyDescent="0.25">
      <c r="A37" s="31" t="s">
        <v>2734</v>
      </c>
      <c r="B37" s="32" t="s">
        <v>727</v>
      </c>
      <c r="C37" s="31" t="b">
        <v>0</v>
      </c>
      <c r="D37" s="31">
        <v>8</v>
      </c>
      <c r="E37" s="36" t="s">
        <v>729</v>
      </c>
      <c r="F37" s="31" t="s">
        <v>131</v>
      </c>
      <c r="G37" s="31" t="s">
        <v>3665</v>
      </c>
      <c r="H37" s="31" t="s">
        <v>3666</v>
      </c>
      <c r="I37" s="31" t="s">
        <v>3842</v>
      </c>
      <c r="J37" s="37" t="s">
        <v>4047</v>
      </c>
      <c r="K37" s="31" t="s">
        <v>2328</v>
      </c>
      <c r="L37" s="31" t="s">
        <v>252</v>
      </c>
      <c r="M37" s="31" t="s">
        <v>2232</v>
      </c>
      <c r="N37" s="31" t="s">
        <v>2328</v>
      </c>
    </row>
    <row r="38" spans="1:14" ht="75" x14ac:dyDescent="0.25">
      <c r="A38" s="31" t="s">
        <v>2735</v>
      </c>
      <c r="B38" s="32" t="s">
        <v>730</v>
      </c>
      <c r="C38" s="31" t="b">
        <v>1</v>
      </c>
      <c r="D38" s="31">
        <v>4</v>
      </c>
      <c r="E38" s="35" t="s">
        <v>3539</v>
      </c>
      <c r="F38" s="31" t="s">
        <v>3443</v>
      </c>
      <c r="G38" s="31" t="s">
        <v>3665</v>
      </c>
      <c r="H38" s="31" t="s">
        <v>3666</v>
      </c>
      <c r="I38" s="31" t="s">
        <v>3842</v>
      </c>
      <c r="J38" s="37" t="s">
        <v>4047</v>
      </c>
      <c r="K38" s="31" t="s">
        <v>2328</v>
      </c>
      <c r="L38" s="31" t="s">
        <v>256</v>
      </c>
      <c r="M38" s="31" t="s">
        <v>2232</v>
      </c>
      <c r="N38" s="31" t="s">
        <v>2328</v>
      </c>
    </row>
    <row r="39" spans="1:14" ht="75" x14ac:dyDescent="0.25">
      <c r="A39" s="31" t="s">
        <v>2736</v>
      </c>
      <c r="B39" s="32" t="s">
        <v>732</v>
      </c>
      <c r="C39" s="31" t="b">
        <v>0</v>
      </c>
      <c r="D39" s="31">
        <v>6</v>
      </c>
      <c r="E39" s="38" t="s">
        <v>734</v>
      </c>
      <c r="F39" s="31" t="s">
        <v>131</v>
      </c>
      <c r="G39" s="31" t="s">
        <v>3665</v>
      </c>
      <c r="H39" s="31" t="s">
        <v>3666</v>
      </c>
      <c r="I39" s="31" t="s">
        <v>3842</v>
      </c>
      <c r="J39" s="37" t="s">
        <v>4047</v>
      </c>
      <c r="K39" s="31" t="s">
        <v>2328</v>
      </c>
      <c r="L39" s="31" t="s">
        <v>256</v>
      </c>
      <c r="M39" s="31" t="s">
        <v>2232</v>
      </c>
      <c r="N39" s="31" t="s">
        <v>2328</v>
      </c>
    </row>
    <row r="40" spans="1:14" ht="75" x14ac:dyDescent="0.25">
      <c r="A40" s="31" t="s">
        <v>2737</v>
      </c>
      <c r="B40" s="32" t="s">
        <v>735</v>
      </c>
      <c r="C40" s="31" t="b">
        <v>1</v>
      </c>
      <c r="D40" s="31">
        <v>4</v>
      </c>
      <c r="E40" s="35" t="s">
        <v>2410</v>
      </c>
      <c r="F40" s="31" t="s">
        <v>3443</v>
      </c>
      <c r="G40" s="31" t="s">
        <v>3665</v>
      </c>
      <c r="H40" s="31" t="s">
        <v>3666</v>
      </c>
      <c r="I40" s="31" t="s">
        <v>3842</v>
      </c>
      <c r="J40" s="37" t="s">
        <v>4047</v>
      </c>
      <c r="K40" s="31" t="s">
        <v>2328</v>
      </c>
      <c r="L40" s="31" t="s">
        <v>260</v>
      </c>
      <c r="M40" s="31" t="s">
        <v>2232</v>
      </c>
      <c r="N40" s="31" t="s">
        <v>2328</v>
      </c>
    </row>
    <row r="41" spans="1:14" ht="75" x14ac:dyDescent="0.25">
      <c r="A41" s="31" t="s">
        <v>2328</v>
      </c>
      <c r="B41" s="32" t="s">
        <v>737</v>
      </c>
      <c r="C41" s="31" t="b">
        <v>0</v>
      </c>
      <c r="D41" s="31">
        <v>6</v>
      </c>
      <c r="E41" s="38" t="s">
        <v>739</v>
      </c>
      <c r="F41" s="31" t="s">
        <v>139</v>
      </c>
      <c r="G41" s="31" t="s">
        <v>3665</v>
      </c>
      <c r="H41" s="31" t="s">
        <v>3666</v>
      </c>
      <c r="I41" s="31" t="s">
        <v>3842</v>
      </c>
      <c r="J41" s="37" t="s">
        <v>4047</v>
      </c>
      <c r="K41" s="31" t="s">
        <v>2328</v>
      </c>
      <c r="L41" s="31" t="s">
        <v>260</v>
      </c>
      <c r="M41" s="31" t="s">
        <v>2232</v>
      </c>
      <c r="N41" s="31" t="s">
        <v>2328</v>
      </c>
    </row>
    <row r="42" spans="1:14" ht="75" x14ac:dyDescent="0.25">
      <c r="A42" s="31" t="s">
        <v>2738</v>
      </c>
      <c r="B42" s="32" t="s">
        <v>740</v>
      </c>
      <c r="C42" s="31" t="b">
        <v>0</v>
      </c>
      <c r="D42" s="31">
        <v>6</v>
      </c>
      <c r="E42" s="38" t="s">
        <v>742</v>
      </c>
      <c r="F42" s="31" t="s">
        <v>131</v>
      </c>
      <c r="G42" s="31" t="s">
        <v>3665</v>
      </c>
      <c r="H42" s="31" t="s">
        <v>3666</v>
      </c>
      <c r="I42" s="31" t="s">
        <v>3842</v>
      </c>
      <c r="J42" s="37" t="s">
        <v>4047</v>
      </c>
      <c r="K42" s="31" t="s">
        <v>2328</v>
      </c>
      <c r="L42" s="31" t="s">
        <v>260</v>
      </c>
      <c r="M42" s="31" t="s">
        <v>2232</v>
      </c>
      <c r="N42" s="31" t="s">
        <v>2328</v>
      </c>
    </row>
    <row r="43" spans="1:14" ht="75" x14ac:dyDescent="0.25">
      <c r="A43" s="31" t="s">
        <v>2739</v>
      </c>
      <c r="B43" s="32" t="s">
        <v>743</v>
      </c>
      <c r="C43" s="31" t="b">
        <v>0</v>
      </c>
      <c r="D43" s="31">
        <v>6</v>
      </c>
      <c r="E43" s="38" t="s">
        <v>745</v>
      </c>
      <c r="F43" s="31" t="s">
        <v>131</v>
      </c>
      <c r="G43" s="31" t="s">
        <v>3665</v>
      </c>
      <c r="H43" s="31" t="s">
        <v>3666</v>
      </c>
      <c r="I43" s="31" t="s">
        <v>3842</v>
      </c>
      <c r="J43" s="37" t="s">
        <v>4047</v>
      </c>
      <c r="K43" s="31" t="s">
        <v>2328</v>
      </c>
      <c r="L43" s="31" t="s">
        <v>260</v>
      </c>
      <c r="M43" s="31" t="s">
        <v>2232</v>
      </c>
      <c r="N43" s="31" t="s">
        <v>2328</v>
      </c>
    </row>
    <row r="44" spans="1:14" ht="75" x14ac:dyDescent="0.25">
      <c r="A44" s="31" t="s">
        <v>2740</v>
      </c>
      <c r="B44" s="32" t="s">
        <v>746</v>
      </c>
      <c r="C44" s="31" t="b">
        <v>0</v>
      </c>
      <c r="D44" s="31">
        <v>6</v>
      </c>
      <c r="E44" s="38" t="s">
        <v>748</v>
      </c>
      <c r="F44" s="31" t="s">
        <v>131</v>
      </c>
      <c r="G44" s="31" t="s">
        <v>3665</v>
      </c>
      <c r="H44" s="31" t="s">
        <v>3666</v>
      </c>
      <c r="I44" s="31" t="s">
        <v>3842</v>
      </c>
      <c r="J44" s="37" t="s">
        <v>4047</v>
      </c>
      <c r="K44" s="31" t="s">
        <v>2328</v>
      </c>
      <c r="L44" s="31" t="s">
        <v>260</v>
      </c>
      <c r="M44" s="31" t="s">
        <v>2232</v>
      </c>
      <c r="N44" s="31" t="s">
        <v>2328</v>
      </c>
    </row>
    <row r="45" spans="1:14" ht="75" x14ac:dyDescent="0.25">
      <c r="A45" s="31" t="s">
        <v>2741</v>
      </c>
      <c r="B45" s="32" t="s">
        <v>749</v>
      </c>
      <c r="C45" s="31" t="b">
        <v>0</v>
      </c>
      <c r="D45" s="31">
        <v>6</v>
      </c>
      <c r="E45" s="38" t="s">
        <v>751</v>
      </c>
      <c r="F45" s="31" t="s">
        <v>131</v>
      </c>
      <c r="G45" s="31" t="s">
        <v>3665</v>
      </c>
      <c r="H45" s="31" t="s">
        <v>3666</v>
      </c>
      <c r="I45" s="31" t="s">
        <v>3842</v>
      </c>
      <c r="J45" s="37" t="s">
        <v>4047</v>
      </c>
      <c r="K45" s="31" t="s">
        <v>2328</v>
      </c>
      <c r="L45" s="31" t="s">
        <v>260</v>
      </c>
      <c r="M45" s="31" t="s">
        <v>2232</v>
      </c>
      <c r="N45" s="31" t="s">
        <v>2328</v>
      </c>
    </row>
    <row r="46" spans="1:14" ht="75" x14ac:dyDescent="0.25">
      <c r="A46" s="31" t="s">
        <v>2742</v>
      </c>
      <c r="B46" s="32" t="s">
        <v>752</v>
      </c>
      <c r="C46" s="31" t="b">
        <v>0</v>
      </c>
      <c r="D46" s="31">
        <v>6</v>
      </c>
      <c r="E46" s="38" t="s">
        <v>754</v>
      </c>
      <c r="F46" s="31" t="s">
        <v>131</v>
      </c>
      <c r="G46" s="31" t="s">
        <v>3665</v>
      </c>
      <c r="H46" s="31" t="s">
        <v>3666</v>
      </c>
      <c r="I46" s="31" t="s">
        <v>3842</v>
      </c>
      <c r="J46" s="37" t="s">
        <v>4047</v>
      </c>
      <c r="K46" s="31" t="s">
        <v>2328</v>
      </c>
      <c r="L46" s="31" t="s">
        <v>260</v>
      </c>
      <c r="M46" s="31" t="s">
        <v>2232</v>
      </c>
      <c r="N46" s="31" t="s">
        <v>2328</v>
      </c>
    </row>
    <row r="47" spans="1:14" ht="75" x14ac:dyDescent="0.25">
      <c r="A47" s="31" t="s">
        <v>2743</v>
      </c>
      <c r="B47" s="32" t="s">
        <v>755</v>
      </c>
      <c r="C47" s="31" t="b">
        <v>0</v>
      </c>
      <c r="D47" s="31">
        <v>6</v>
      </c>
      <c r="E47" s="38" t="s">
        <v>757</v>
      </c>
      <c r="F47" s="31" t="s">
        <v>131</v>
      </c>
      <c r="G47" s="31" t="s">
        <v>3665</v>
      </c>
      <c r="H47" s="31" t="s">
        <v>3666</v>
      </c>
      <c r="I47" s="31" t="s">
        <v>3842</v>
      </c>
      <c r="J47" s="37" t="s">
        <v>4047</v>
      </c>
      <c r="K47" s="31" t="s">
        <v>2328</v>
      </c>
      <c r="L47" s="31" t="s">
        <v>260</v>
      </c>
      <c r="M47" s="31" t="s">
        <v>2232</v>
      </c>
      <c r="N47" s="31" t="s">
        <v>2328</v>
      </c>
    </row>
    <row r="48" spans="1:14" ht="75" x14ac:dyDescent="0.25">
      <c r="A48" s="31" t="s">
        <v>2744</v>
      </c>
      <c r="B48" s="32" t="s">
        <v>758</v>
      </c>
      <c r="C48" s="31" t="b">
        <v>0</v>
      </c>
      <c r="D48" s="31">
        <v>6</v>
      </c>
      <c r="E48" s="38" t="s">
        <v>760</v>
      </c>
      <c r="F48" s="31" t="s">
        <v>131</v>
      </c>
      <c r="G48" s="31" t="s">
        <v>3665</v>
      </c>
      <c r="H48" s="31" t="s">
        <v>3666</v>
      </c>
      <c r="I48" s="31" t="s">
        <v>3842</v>
      </c>
      <c r="J48" s="37" t="s">
        <v>4047</v>
      </c>
      <c r="K48" s="31" t="s">
        <v>2328</v>
      </c>
      <c r="L48" s="31" t="s">
        <v>260</v>
      </c>
      <c r="M48" s="31" t="s">
        <v>2232</v>
      </c>
      <c r="N48" s="31" t="s">
        <v>2328</v>
      </c>
    </row>
    <row r="49" spans="1:17" ht="75" x14ac:dyDescent="0.25">
      <c r="A49" s="31" t="s">
        <v>2745</v>
      </c>
      <c r="B49" s="32" t="s">
        <v>761</v>
      </c>
      <c r="C49" s="31" t="b">
        <v>0</v>
      </c>
      <c r="D49" s="31">
        <v>6</v>
      </c>
      <c r="E49" s="38" t="s">
        <v>763</v>
      </c>
      <c r="F49" s="31" t="s">
        <v>131</v>
      </c>
      <c r="G49" s="31" t="s">
        <v>3665</v>
      </c>
      <c r="H49" s="31" t="s">
        <v>3666</v>
      </c>
      <c r="I49" s="31" t="s">
        <v>3842</v>
      </c>
      <c r="J49" s="37" t="s">
        <v>4047</v>
      </c>
      <c r="K49" s="31" t="s">
        <v>2328</v>
      </c>
      <c r="L49" s="31" t="s">
        <v>260</v>
      </c>
      <c r="M49" s="31" t="s">
        <v>2232</v>
      </c>
      <c r="N49" s="31" t="s">
        <v>2328</v>
      </c>
    </row>
    <row r="50" spans="1:17" ht="75" x14ac:dyDescent="0.25">
      <c r="A50" s="31" t="s">
        <v>2746</v>
      </c>
      <c r="B50" s="32" t="s">
        <v>764</v>
      </c>
      <c r="C50" s="31" t="b">
        <v>1</v>
      </c>
      <c r="D50" s="31">
        <v>4</v>
      </c>
      <c r="E50" s="35" t="s">
        <v>2411</v>
      </c>
      <c r="F50" s="31" t="s">
        <v>3443</v>
      </c>
      <c r="G50" s="31" t="s">
        <v>3665</v>
      </c>
      <c r="H50" s="31" t="s">
        <v>3666</v>
      </c>
      <c r="I50" s="31" t="s">
        <v>3842</v>
      </c>
      <c r="J50" s="37" t="s">
        <v>4047</v>
      </c>
      <c r="K50" s="31" t="s">
        <v>2328</v>
      </c>
      <c r="L50" s="31" t="s">
        <v>262</v>
      </c>
      <c r="M50" s="31" t="s">
        <v>2232</v>
      </c>
      <c r="N50" s="31" t="s">
        <v>2328</v>
      </c>
    </row>
    <row r="51" spans="1:17" ht="75" x14ac:dyDescent="0.25">
      <c r="A51" s="31" t="s">
        <v>2747</v>
      </c>
      <c r="B51" s="32" t="s">
        <v>766</v>
      </c>
      <c r="C51" s="31" t="b">
        <v>0</v>
      </c>
      <c r="D51" s="31">
        <v>6</v>
      </c>
      <c r="E51" s="38" t="s">
        <v>768</v>
      </c>
      <c r="F51" s="31" t="s">
        <v>131</v>
      </c>
      <c r="G51" s="31" t="s">
        <v>3665</v>
      </c>
      <c r="H51" s="31" t="s">
        <v>3666</v>
      </c>
      <c r="I51" s="31" t="s">
        <v>3842</v>
      </c>
      <c r="J51" s="37" t="s">
        <v>4047</v>
      </c>
      <c r="K51" s="31" t="s">
        <v>2328</v>
      </c>
      <c r="L51" s="31" t="s">
        <v>265</v>
      </c>
      <c r="M51" s="31" t="s">
        <v>2232</v>
      </c>
      <c r="N51" s="31" t="s">
        <v>2328</v>
      </c>
    </row>
    <row r="52" spans="1:17" ht="75" x14ac:dyDescent="0.25">
      <c r="A52" s="31" t="s">
        <v>2748</v>
      </c>
      <c r="B52" s="32" t="s">
        <v>769</v>
      </c>
      <c r="C52" s="31" t="b">
        <v>0</v>
      </c>
      <c r="D52" s="31">
        <v>6</v>
      </c>
      <c r="E52" s="38" t="s">
        <v>771</v>
      </c>
      <c r="F52" s="31" t="s">
        <v>131</v>
      </c>
      <c r="G52" s="31" t="s">
        <v>3665</v>
      </c>
      <c r="H52" s="31" t="s">
        <v>3666</v>
      </c>
      <c r="I52" s="31" t="s">
        <v>3842</v>
      </c>
      <c r="J52" s="37" t="s">
        <v>4047</v>
      </c>
      <c r="K52" s="31" t="s">
        <v>2328</v>
      </c>
      <c r="L52" s="31" t="s">
        <v>265</v>
      </c>
      <c r="M52" s="31" t="s">
        <v>2232</v>
      </c>
      <c r="N52" s="31" t="s">
        <v>2328</v>
      </c>
    </row>
    <row r="53" spans="1:17" ht="75" x14ac:dyDescent="0.25">
      <c r="A53" s="31" t="s">
        <v>2749</v>
      </c>
      <c r="B53" s="32" t="s">
        <v>772</v>
      </c>
      <c r="C53" s="31" t="b">
        <v>0</v>
      </c>
      <c r="D53" s="31">
        <v>6</v>
      </c>
      <c r="E53" s="38" t="s">
        <v>26</v>
      </c>
      <c r="F53" s="31" t="s">
        <v>131</v>
      </c>
      <c r="G53" s="31" t="s">
        <v>3665</v>
      </c>
      <c r="H53" s="31" t="s">
        <v>3666</v>
      </c>
      <c r="I53" s="31" t="s">
        <v>3842</v>
      </c>
      <c r="J53" s="37" t="s">
        <v>4047</v>
      </c>
      <c r="K53" s="31" t="s">
        <v>2328</v>
      </c>
      <c r="L53" s="31" t="s">
        <v>265</v>
      </c>
      <c r="M53" s="31" t="s">
        <v>2232</v>
      </c>
      <c r="N53" s="31" t="s">
        <v>2328</v>
      </c>
    </row>
    <row r="54" spans="1:17" ht="75" x14ac:dyDescent="0.25">
      <c r="A54" s="31" t="s">
        <v>2750</v>
      </c>
      <c r="B54" s="32" t="s">
        <v>774</v>
      </c>
      <c r="C54" s="31" t="b">
        <v>0</v>
      </c>
      <c r="D54" s="31">
        <v>6</v>
      </c>
      <c r="E54" s="38" t="s">
        <v>776</v>
      </c>
      <c r="F54" s="31" t="s">
        <v>131</v>
      </c>
      <c r="G54" s="31" t="s">
        <v>3665</v>
      </c>
      <c r="H54" s="31" t="s">
        <v>3666</v>
      </c>
      <c r="I54" s="31" t="s">
        <v>3842</v>
      </c>
      <c r="J54" s="37" t="s">
        <v>4047</v>
      </c>
      <c r="K54" s="31" t="s">
        <v>2328</v>
      </c>
      <c r="L54" s="31" t="s">
        <v>265</v>
      </c>
      <c r="M54" s="31" t="s">
        <v>2232</v>
      </c>
      <c r="N54" s="31" t="s">
        <v>2328</v>
      </c>
    </row>
    <row r="55" spans="1:17" ht="75" x14ac:dyDescent="0.25">
      <c r="A55" s="31" t="s">
        <v>2751</v>
      </c>
      <c r="B55" s="32" t="s">
        <v>777</v>
      </c>
      <c r="C55" s="31" t="b">
        <v>0</v>
      </c>
      <c r="D55" s="31">
        <v>6</v>
      </c>
      <c r="E55" s="38" t="s">
        <v>25</v>
      </c>
      <c r="F55" s="31" t="s">
        <v>131</v>
      </c>
      <c r="G55" s="31" t="s">
        <v>3665</v>
      </c>
      <c r="H55" s="31" t="s">
        <v>3666</v>
      </c>
      <c r="I55" s="31" t="s">
        <v>3842</v>
      </c>
      <c r="J55" s="37" t="s">
        <v>4047</v>
      </c>
      <c r="K55" s="31" t="s">
        <v>2328</v>
      </c>
      <c r="L55" s="31" t="s">
        <v>265</v>
      </c>
      <c r="M55" s="31" t="s">
        <v>2232</v>
      </c>
      <c r="N55" s="31" t="s">
        <v>2328</v>
      </c>
    </row>
    <row r="56" spans="1:17" ht="75" x14ac:dyDescent="0.25">
      <c r="A56" s="31" t="s">
        <v>2752</v>
      </c>
      <c r="B56" s="32" t="s">
        <v>779</v>
      </c>
      <c r="C56" s="31" t="b">
        <v>0</v>
      </c>
      <c r="D56" s="31">
        <v>6</v>
      </c>
      <c r="E56" s="38" t="s">
        <v>781</v>
      </c>
      <c r="F56" s="31" t="s">
        <v>131</v>
      </c>
      <c r="G56" s="31" t="s">
        <v>3665</v>
      </c>
      <c r="H56" s="31" t="s">
        <v>3666</v>
      </c>
      <c r="I56" s="31" t="s">
        <v>3842</v>
      </c>
      <c r="J56" s="37" t="s">
        <v>4047</v>
      </c>
      <c r="K56" s="31" t="s">
        <v>2328</v>
      </c>
      <c r="L56" s="31" t="s">
        <v>265</v>
      </c>
      <c r="M56" s="31" t="s">
        <v>2232</v>
      </c>
      <c r="N56" s="31" t="s">
        <v>2328</v>
      </c>
    </row>
    <row r="57" spans="1:17" ht="75" x14ac:dyDescent="0.25">
      <c r="A57" s="31" t="s">
        <v>2753</v>
      </c>
      <c r="B57" s="32" t="s">
        <v>782</v>
      </c>
      <c r="C57" s="31" t="b">
        <v>0</v>
      </c>
      <c r="D57" s="31">
        <v>6</v>
      </c>
      <c r="E57" s="38" t="s">
        <v>24</v>
      </c>
      <c r="F57" s="31" t="s">
        <v>131</v>
      </c>
      <c r="G57" s="31" t="s">
        <v>3665</v>
      </c>
      <c r="H57" s="31" t="s">
        <v>3666</v>
      </c>
      <c r="I57" s="31" t="s">
        <v>3842</v>
      </c>
      <c r="J57" s="37" t="s">
        <v>4047</v>
      </c>
      <c r="K57" s="31" t="s">
        <v>3586</v>
      </c>
      <c r="L57" s="31" t="s">
        <v>265</v>
      </c>
      <c r="M57" s="31" t="s">
        <v>2232</v>
      </c>
      <c r="N57" s="31" t="s">
        <v>2328</v>
      </c>
    </row>
    <row r="58" spans="1:17" ht="75" x14ac:dyDescent="0.25">
      <c r="A58" s="31" t="s">
        <v>2754</v>
      </c>
      <c r="B58" s="32" t="s">
        <v>784</v>
      </c>
      <c r="C58" s="31" t="b">
        <v>0</v>
      </c>
      <c r="D58" s="31">
        <v>6</v>
      </c>
      <c r="E58" s="38" t="s">
        <v>786</v>
      </c>
      <c r="F58" s="31" t="s">
        <v>131</v>
      </c>
      <c r="G58" s="31" t="s">
        <v>3665</v>
      </c>
      <c r="H58" s="31" t="s">
        <v>3666</v>
      </c>
      <c r="I58" s="31" t="s">
        <v>3842</v>
      </c>
      <c r="J58" s="37" t="s">
        <v>4047</v>
      </c>
      <c r="K58" s="31" t="s">
        <v>2328</v>
      </c>
      <c r="L58" s="31" t="s">
        <v>265</v>
      </c>
      <c r="M58" s="31" t="s">
        <v>2232</v>
      </c>
      <c r="N58" s="31" t="s">
        <v>2328</v>
      </c>
    </row>
    <row r="59" spans="1:17" ht="75" x14ac:dyDescent="0.25">
      <c r="A59" s="31" t="s">
        <v>2755</v>
      </c>
      <c r="B59" s="32" t="s">
        <v>787</v>
      </c>
      <c r="C59" s="31" t="b">
        <v>0</v>
      </c>
      <c r="D59" s="31">
        <v>6</v>
      </c>
      <c r="E59" s="38" t="s">
        <v>23</v>
      </c>
      <c r="F59" s="31" t="s">
        <v>131</v>
      </c>
      <c r="G59" s="31" t="s">
        <v>3665</v>
      </c>
      <c r="H59" s="31" t="s">
        <v>3666</v>
      </c>
      <c r="I59" s="31" t="s">
        <v>3842</v>
      </c>
      <c r="J59" s="37" t="s">
        <v>4047</v>
      </c>
      <c r="K59" s="31" t="s">
        <v>2328</v>
      </c>
      <c r="L59" s="31" t="s">
        <v>265</v>
      </c>
      <c r="M59" s="31" t="s">
        <v>2232</v>
      </c>
      <c r="N59" s="31" t="s">
        <v>2328</v>
      </c>
    </row>
    <row r="60" spans="1:17" ht="75" x14ac:dyDescent="0.25">
      <c r="A60" s="31" t="s">
        <v>2756</v>
      </c>
      <c r="B60" s="32" t="s">
        <v>789</v>
      </c>
      <c r="C60" s="31" t="b">
        <v>0</v>
      </c>
      <c r="D60" s="31">
        <v>6</v>
      </c>
      <c r="E60" s="38" t="s">
        <v>22</v>
      </c>
      <c r="F60" s="31" t="s">
        <v>131</v>
      </c>
      <c r="G60" s="31" t="s">
        <v>3665</v>
      </c>
      <c r="H60" s="31" t="s">
        <v>3666</v>
      </c>
      <c r="I60" s="31" t="s">
        <v>3842</v>
      </c>
      <c r="J60" s="37" t="s">
        <v>4047</v>
      </c>
      <c r="K60" s="31" t="s">
        <v>2328</v>
      </c>
      <c r="L60" s="31" t="s">
        <v>265</v>
      </c>
      <c r="M60" s="31" t="s">
        <v>2232</v>
      </c>
      <c r="N60" s="31" t="s">
        <v>2328</v>
      </c>
    </row>
    <row r="61" spans="1:17" ht="75" x14ac:dyDescent="0.25">
      <c r="A61" s="31" t="s">
        <v>2757</v>
      </c>
      <c r="B61" s="32" t="s">
        <v>791</v>
      </c>
      <c r="C61" s="31" t="b">
        <v>0</v>
      </c>
      <c r="D61" s="31">
        <v>6</v>
      </c>
      <c r="E61" s="38" t="s">
        <v>21</v>
      </c>
      <c r="F61" s="31" t="s">
        <v>131</v>
      </c>
      <c r="G61" s="31" t="s">
        <v>3665</v>
      </c>
      <c r="H61" s="31" t="s">
        <v>3666</v>
      </c>
      <c r="I61" s="31" t="s">
        <v>3842</v>
      </c>
      <c r="J61" s="37" t="s">
        <v>4047</v>
      </c>
      <c r="K61" s="31" t="s">
        <v>2328</v>
      </c>
      <c r="L61" s="31" t="s">
        <v>265</v>
      </c>
      <c r="M61" s="31" t="s">
        <v>2232</v>
      </c>
      <c r="N61" s="31" t="s">
        <v>2328</v>
      </c>
    </row>
    <row r="62" spans="1:17" ht="75" x14ac:dyDescent="0.25">
      <c r="A62" s="31" t="s">
        <v>2758</v>
      </c>
      <c r="B62" s="32" t="s">
        <v>793</v>
      </c>
      <c r="C62" s="31" t="b">
        <v>0</v>
      </c>
      <c r="D62" s="31">
        <v>6</v>
      </c>
      <c r="E62" s="38" t="s">
        <v>20</v>
      </c>
      <c r="F62" s="31" t="s">
        <v>131</v>
      </c>
      <c r="G62" s="31" t="s">
        <v>3665</v>
      </c>
      <c r="H62" s="31" t="s">
        <v>3666</v>
      </c>
      <c r="I62" s="31" t="s">
        <v>3842</v>
      </c>
      <c r="J62" s="37" t="s">
        <v>4047</v>
      </c>
      <c r="K62" s="31" t="s">
        <v>2328</v>
      </c>
      <c r="L62" s="31" t="s">
        <v>265</v>
      </c>
      <c r="M62" s="31" t="s">
        <v>2232</v>
      </c>
      <c r="N62" s="31" t="s">
        <v>2328</v>
      </c>
    </row>
    <row r="63" spans="1:17" ht="75" x14ac:dyDescent="0.25">
      <c r="A63" s="31" t="s">
        <v>2759</v>
      </c>
      <c r="B63" s="32" t="s">
        <v>795</v>
      </c>
      <c r="C63" s="31" t="b">
        <v>0</v>
      </c>
      <c r="D63" s="31">
        <v>6</v>
      </c>
      <c r="E63" s="38" t="s">
        <v>797</v>
      </c>
      <c r="F63" s="31" t="s">
        <v>131</v>
      </c>
      <c r="G63" s="31" t="s">
        <v>3665</v>
      </c>
      <c r="H63" s="31" t="s">
        <v>3666</v>
      </c>
      <c r="I63" s="31" t="s">
        <v>3842</v>
      </c>
      <c r="J63" s="37" t="s">
        <v>4047</v>
      </c>
      <c r="K63" s="31" t="s">
        <v>2328</v>
      </c>
      <c r="L63" s="31" t="s">
        <v>265</v>
      </c>
      <c r="M63" s="31" t="s">
        <v>2232</v>
      </c>
      <c r="N63" s="31" t="s">
        <v>2328</v>
      </c>
    </row>
    <row r="64" spans="1:17" s="17" customFormat="1" x14ac:dyDescent="0.25">
      <c r="A64" s="15"/>
      <c r="B64" s="15"/>
      <c r="C64" s="15"/>
      <c r="D64" s="15"/>
      <c r="E64" s="16" t="s">
        <v>3985</v>
      </c>
      <c r="F64" s="15"/>
      <c r="G64" s="15"/>
      <c r="H64" s="15"/>
      <c r="I64" s="15"/>
      <c r="J64" s="15"/>
      <c r="K64" s="15"/>
      <c r="L64" s="15"/>
      <c r="M64" s="45"/>
      <c r="N64" s="15"/>
      <c r="Q64" s="39"/>
    </row>
    <row r="65" spans="1:14" ht="75" x14ac:dyDescent="0.25">
      <c r="A65" s="31" t="s">
        <v>2328</v>
      </c>
      <c r="B65" s="32" t="s">
        <v>805</v>
      </c>
      <c r="C65" s="31" t="b">
        <v>1</v>
      </c>
      <c r="D65" s="31">
        <v>2</v>
      </c>
      <c r="E65" s="33" t="s">
        <v>3986</v>
      </c>
      <c r="F65" s="31" t="s">
        <v>3443</v>
      </c>
      <c r="G65" s="31" t="s">
        <v>3665</v>
      </c>
      <c r="H65" s="31" t="s">
        <v>3666</v>
      </c>
      <c r="I65" s="31" t="s">
        <v>3842</v>
      </c>
      <c r="J65" s="37" t="s">
        <v>4047</v>
      </c>
      <c r="K65" s="31" t="s">
        <v>2328</v>
      </c>
      <c r="L65" s="31" t="s">
        <v>267</v>
      </c>
      <c r="M65" s="31" t="s">
        <v>2232</v>
      </c>
      <c r="N65" s="31" t="s">
        <v>2328</v>
      </c>
    </row>
    <row r="66" spans="1:14" ht="75" x14ac:dyDescent="0.25">
      <c r="A66" s="31" t="s">
        <v>2761</v>
      </c>
      <c r="B66" s="32" t="s">
        <v>807</v>
      </c>
      <c r="C66" s="31" t="b">
        <v>0</v>
      </c>
      <c r="D66" s="31">
        <v>4</v>
      </c>
      <c r="E66" s="33" t="s">
        <v>809</v>
      </c>
      <c r="F66" s="31" t="s">
        <v>131</v>
      </c>
      <c r="G66" s="31" t="s">
        <v>3665</v>
      </c>
      <c r="H66" s="31" t="s">
        <v>3666</v>
      </c>
      <c r="I66" s="31" t="s">
        <v>3842</v>
      </c>
      <c r="J66" s="37" t="s">
        <v>4047</v>
      </c>
      <c r="K66" s="31" t="s">
        <v>3587</v>
      </c>
      <c r="L66" s="31" t="s">
        <v>270</v>
      </c>
      <c r="M66" s="31" t="s">
        <v>2232</v>
      </c>
      <c r="N66" s="31" t="s">
        <v>2328</v>
      </c>
    </row>
    <row r="67" spans="1:14" ht="75" x14ac:dyDescent="0.25">
      <c r="A67" s="31" t="s">
        <v>2328</v>
      </c>
      <c r="B67" s="32" t="s">
        <v>810</v>
      </c>
      <c r="C67" s="31" t="b">
        <v>1</v>
      </c>
      <c r="D67" s="31">
        <v>2</v>
      </c>
      <c r="E67" s="33" t="s">
        <v>3987</v>
      </c>
      <c r="F67" s="31" t="s">
        <v>3443</v>
      </c>
      <c r="G67" s="31" t="s">
        <v>3665</v>
      </c>
      <c r="H67" s="31" t="s">
        <v>3666</v>
      </c>
      <c r="I67" s="31" t="s">
        <v>3842</v>
      </c>
      <c r="J67" s="37" t="s">
        <v>4047</v>
      </c>
      <c r="K67" s="31" t="s">
        <v>2328</v>
      </c>
      <c r="L67" s="31" t="s">
        <v>267</v>
      </c>
      <c r="M67" s="31" t="s">
        <v>2232</v>
      </c>
      <c r="N67" s="31" t="s">
        <v>2328</v>
      </c>
    </row>
    <row r="68" spans="1:14" ht="75" x14ac:dyDescent="0.25">
      <c r="A68" s="31" t="s">
        <v>2762</v>
      </c>
      <c r="B68" s="32" t="s">
        <v>812</v>
      </c>
      <c r="C68" s="31" t="b">
        <v>0</v>
      </c>
      <c r="D68" s="31">
        <v>4</v>
      </c>
      <c r="E68" s="33" t="s">
        <v>30</v>
      </c>
      <c r="F68" s="31" t="s">
        <v>131</v>
      </c>
      <c r="G68" s="31" t="s">
        <v>3665</v>
      </c>
      <c r="H68" s="31" t="s">
        <v>3666</v>
      </c>
      <c r="I68" s="31" t="s">
        <v>3842</v>
      </c>
      <c r="J68" s="37" t="s">
        <v>4047</v>
      </c>
      <c r="K68" s="31" t="s">
        <v>2328</v>
      </c>
      <c r="L68" s="31" t="s">
        <v>270</v>
      </c>
      <c r="M68" s="31" t="s">
        <v>2232</v>
      </c>
      <c r="N68" s="31" t="s">
        <v>2328</v>
      </c>
    </row>
    <row r="69" spans="1:14" ht="75" x14ac:dyDescent="0.25">
      <c r="A69" s="31" t="s">
        <v>2328</v>
      </c>
      <c r="B69" s="32" t="s">
        <v>814</v>
      </c>
      <c r="C69" s="31" t="b">
        <v>0</v>
      </c>
      <c r="D69" s="31">
        <v>4</v>
      </c>
      <c r="E69" s="33" t="s">
        <v>816</v>
      </c>
      <c r="F69" s="31" t="s">
        <v>131</v>
      </c>
      <c r="G69" s="31" t="s">
        <v>3665</v>
      </c>
      <c r="H69" s="31" t="s">
        <v>3666</v>
      </c>
      <c r="I69" s="31" t="s">
        <v>3842</v>
      </c>
      <c r="J69" s="37" t="s">
        <v>4047</v>
      </c>
      <c r="K69" s="31" t="s">
        <v>3588</v>
      </c>
      <c r="L69" s="31" t="s">
        <v>270</v>
      </c>
      <c r="M69" s="31" t="s">
        <v>2232</v>
      </c>
      <c r="N69" s="31" t="s">
        <v>2328</v>
      </c>
    </row>
    <row r="70" spans="1:14" ht="75" x14ac:dyDescent="0.25">
      <c r="A70" s="31" t="s">
        <v>2763</v>
      </c>
      <c r="B70" s="32" t="s">
        <v>817</v>
      </c>
      <c r="C70" s="31" t="b">
        <v>0</v>
      </c>
      <c r="D70" s="31">
        <v>4</v>
      </c>
      <c r="E70" s="33" t="s">
        <v>819</v>
      </c>
      <c r="F70" s="31" t="s">
        <v>131</v>
      </c>
      <c r="G70" s="31" t="s">
        <v>3665</v>
      </c>
      <c r="H70" s="31" t="s">
        <v>3666</v>
      </c>
      <c r="I70" s="31" t="s">
        <v>3842</v>
      </c>
      <c r="J70" s="37" t="s">
        <v>4047</v>
      </c>
      <c r="K70" s="31" t="s">
        <v>2328</v>
      </c>
      <c r="L70" s="31" t="s">
        <v>270</v>
      </c>
      <c r="M70" s="31" t="s">
        <v>2232</v>
      </c>
      <c r="N70" s="31" t="s">
        <v>2328</v>
      </c>
    </row>
    <row r="71" spans="1:14" ht="75" x14ac:dyDescent="0.25">
      <c r="A71" s="31" t="s">
        <v>2764</v>
      </c>
      <c r="B71" s="32" t="s">
        <v>820</v>
      </c>
      <c r="C71" s="31" t="b">
        <v>0</v>
      </c>
      <c r="D71" s="31">
        <v>4</v>
      </c>
      <c r="E71" s="33" t="s">
        <v>822</v>
      </c>
      <c r="F71" s="31" t="s">
        <v>131</v>
      </c>
      <c r="G71" s="31" t="s">
        <v>3665</v>
      </c>
      <c r="H71" s="31" t="s">
        <v>3666</v>
      </c>
      <c r="I71" s="31" t="s">
        <v>3842</v>
      </c>
      <c r="J71" s="37" t="s">
        <v>4047</v>
      </c>
      <c r="K71" s="31" t="s">
        <v>2328</v>
      </c>
      <c r="L71" s="31" t="s">
        <v>270</v>
      </c>
      <c r="M71" s="31" t="s">
        <v>2232</v>
      </c>
      <c r="N71" s="31" t="s">
        <v>2328</v>
      </c>
    </row>
    <row r="72" spans="1:14" ht="75" x14ac:dyDescent="0.25">
      <c r="A72" s="31" t="s">
        <v>2765</v>
      </c>
      <c r="B72" s="32" t="s">
        <v>823</v>
      </c>
      <c r="C72" s="31" t="b">
        <v>0</v>
      </c>
      <c r="D72" s="31">
        <v>4</v>
      </c>
      <c r="E72" s="33" t="s">
        <v>3308</v>
      </c>
      <c r="F72" s="31" t="s">
        <v>131</v>
      </c>
      <c r="G72" s="31" t="s">
        <v>3665</v>
      </c>
      <c r="H72" s="31" t="s">
        <v>3666</v>
      </c>
      <c r="I72" s="31" t="s">
        <v>3842</v>
      </c>
      <c r="J72" s="37" t="s">
        <v>4047</v>
      </c>
      <c r="K72" s="31" t="s">
        <v>2328</v>
      </c>
      <c r="L72" s="31" t="s">
        <v>270</v>
      </c>
      <c r="M72" s="31" t="s">
        <v>2232</v>
      </c>
      <c r="N72" s="31" t="s">
        <v>2328</v>
      </c>
    </row>
    <row r="73" spans="1:14" ht="30" x14ac:dyDescent="0.25">
      <c r="B73" s="32" t="s">
        <v>4032</v>
      </c>
      <c r="C73" s="31" t="b">
        <v>0</v>
      </c>
      <c r="D73" s="31">
        <v>6</v>
      </c>
      <c r="E73" s="46" t="s">
        <v>4029</v>
      </c>
      <c r="F73" s="31" t="s">
        <v>131</v>
      </c>
      <c r="G73" s="31" t="s">
        <v>3665</v>
      </c>
      <c r="H73" s="31" t="s">
        <v>3666</v>
      </c>
      <c r="I73" s="31" t="s">
        <v>3842</v>
      </c>
      <c r="J73" s="37" t="s">
        <v>4038</v>
      </c>
      <c r="K73" s="31" t="s">
        <v>2328</v>
      </c>
      <c r="L73" s="31" t="s">
        <v>4002</v>
      </c>
      <c r="M73" s="31" t="s">
        <v>3419</v>
      </c>
    </row>
    <row r="74" spans="1:14" ht="75" x14ac:dyDescent="0.25">
      <c r="A74" s="31" t="s">
        <v>2328</v>
      </c>
      <c r="B74" s="32" t="s">
        <v>825</v>
      </c>
      <c r="C74" s="31" t="b">
        <v>1</v>
      </c>
      <c r="D74" s="31">
        <v>2</v>
      </c>
      <c r="E74" s="33" t="s">
        <v>3988</v>
      </c>
      <c r="F74" s="31" t="s">
        <v>3443</v>
      </c>
      <c r="G74" s="31" t="s">
        <v>3665</v>
      </c>
      <c r="H74" s="31" t="s">
        <v>3666</v>
      </c>
      <c r="I74" s="31" t="s">
        <v>3842</v>
      </c>
      <c r="J74" s="37" t="s">
        <v>4047</v>
      </c>
      <c r="K74" s="31" t="s">
        <v>2328</v>
      </c>
      <c r="L74" s="31" t="s">
        <v>270</v>
      </c>
      <c r="M74" s="31" t="s">
        <v>2232</v>
      </c>
      <c r="N74" s="31" t="s">
        <v>2328</v>
      </c>
    </row>
    <row r="75" spans="1:14" ht="75" x14ac:dyDescent="0.25">
      <c r="A75" s="31" t="s">
        <v>2766</v>
      </c>
      <c r="B75" s="32" t="s">
        <v>827</v>
      </c>
      <c r="C75" s="31" t="b">
        <v>0</v>
      </c>
      <c r="D75" s="31">
        <v>4</v>
      </c>
      <c r="E75" s="33" t="s">
        <v>829</v>
      </c>
      <c r="F75" s="31" t="s">
        <v>131</v>
      </c>
      <c r="G75" s="31" t="s">
        <v>3665</v>
      </c>
      <c r="H75" s="31" t="s">
        <v>3666</v>
      </c>
      <c r="I75" s="31" t="s">
        <v>3842</v>
      </c>
      <c r="J75" s="37" t="s">
        <v>4047</v>
      </c>
      <c r="K75" s="31" t="s">
        <v>2328</v>
      </c>
      <c r="L75" s="31" t="s">
        <v>270</v>
      </c>
      <c r="M75" s="31" t="s">
        <v>2232</v>
      </c>
      <c r="N75" s="31" t="s">
        <v>2328</v>
      </c>
    </row>
    <row r="76" spans="1:14" ht="75" x14ac:dyDescent="0.25">
      <c r="A76" s="31" t="s">
        <v>2767</v>
      </c>
      <c r="B76" s="32" t="s">
        <v>830</v>
      </c>
      <c r="C76" s="31" t="b">
        <v>0</v>
      </c>
      <c r="D76" s="31">
        <v>4</v>
      </c>
      <c r="E76" s="33" t="s">
        <v>832</v>
      </c>
      <c r="F76" s="31" t="s">
        <v>131</v>
      </c>
      <c r="G76" s="31" t="s">
        <v>3665</v>
      </c>
      <c r="H76" s="31" t="s">
        <v>3666</v>
      </c>
      <c r="I76" s="31" t="s">
        <v>3842</v>
      </c>
      <c r="J76" s="37" t="s">
        <v>4047</v>
      </c>
      <c r="K76" s="31" t="s">
        <v>2328</v>
      </c>
      <c r="L76" s="31" t="s">
        <v>270</v>
      </c>
      <c r="M76" s="31" t="s">
        <v>2232</v>
      </c>
      <c r="N76" s="31" t="s">
        <v>2328</v>
      </c>
    </row>
    <row r="77" spans="1:14" ht="75" x14ac:dyDescent="0.25">
      <c r="A77" s="31" t="s">
        <v>2768</v>
      </c>
      <c r="B77" s="32" t="s">
        <v>833</v>
      </c>
      <c r="C77" s="31" t="b">
        <v>0</v>
      </c>
      <c r="D77" s="31">
        <v>4</v>
      </c>
      <c r="E77" s="33" t="s">
        <v>835</v>
      </c>
      <c r="F77" s="31" t="s">
        <v>131</v>
      </c>
      <c r="G77" s="31" t="s">
        <v>3665</v>
      </c>
      <c r="H77" s="31" t="s">
        <v>3666</v>
      </c>
      <c r="I77" s="31" t="s">
        <v>3842</v>
      </c>
      <c r="J77" s="37" t="s">
        <v>4047</v>
      </c>
      <c r="K77" s="31" t="s">
        <v>2328</v>
      </c>
      <c r="L77" s="31" t="s">
        <v>270</v>
      </c>
      <c r="M77" s="31" t="s">
        <v>2232</v>
      </c>
      <c r="N77" s="31" t="s">
        <v>2328</v>
      </c>
    </row>
    <row r="78" spans="1:14" ht="75" x14ac:dyDescent="0.25">
      <c r="A78" s="31" t="s">
        <v>2769</v>
      </c>
      <c r="B78" s="32" t="s">
        <v>836</v>
      </c>
      <c r="C78" s="31" t="b">
        <v>0</v>
      </c>
      <c r="D78" s="31">
        <v>4</v>
      </c>
      <c r="E78" s="33" t="s">
        <v>838</v>
      </c>
      <c r="F78" s="31" t="s">
        <v>131</v>
      </c>
      <c r="G78" s="31" t="s">
        <v>3665</v>
      </c>
      <c r="H78" s="31" t="s">
        <v>3666</v>
      </c>
      <c r="I78" s="31" t="s">
        <v>3842</v>
      </c>
      <c r="J78" s="37" t="s">
        <v>4047</v>
      </c>
      <c r="K78" s="31" t="s">
        <v>2328</v>
      </c>
      <c r="L78" s="31" t="s">
        <v>270</v>
      </c>
      <c r="M78" s="31" t="s">
        <v>2232</v>
      </c>
      <c r="N78" s="31" t="s">
        <v>2328</v>
      </c>
    </row>
    <row r="79" spans="1:14" ht="75" x14ac:dyDescent="0.25">
      <c r="A79" s="31" t="s">
        <v>2770</v>
      </c>
      <c r="B79" s="32" t="s">
        <v>839</v>
      </c>
      <c r="C79" s="31" t="b">
        <v>0</v>
      </c>
      <c r="D79" s="31">
        <v>4</v>
      </c>
      <c r="E79" s="33" t="s">
        <v>841</v>
      </c>
      <c r="F79" s="31" t="s">
        <v>131</v>
      </c>
      <c r="G79" s="31" t="s">
        <v>3665</v>
      </c>
      <c r="H79" s="31" t="s">
        <v>3666</v>
      </c>
      <c r="I79" s="31" t="s">
        <v>3842</v>
      </c>
      <c r="J79" s="37" t="s">
        <v>4047</v>
      </c>
      <c r="K79" s="31" t="s">
        <v>2328</v>
      </c>
      <c r="L79" s="31" t="s">
        <v>270</v>
      </c>
      <c r="M79" s="31" t="s">
        <v>2232</v>
      </c>
      <c r="N79" s="31" t="s">
        <v>2328</v>
      </c>
    </row>
    <row r="80" spans="1:14" ht="75" x14ac:dyDescent="0.25">
      <c r="A80" s="31" t="s">
        <v>2771</v>
      </c>
      <c r="B80" s="32" t="s">
        <v>842</v>
      </c>
      <c r="C80" s="31" t="b">
        <v>0</v>
      </c>
      <c r="D80" s="31">
        <v>4</v>
      </c>
      <c r="E80" s="33" t="s">
        <v>844</v>
      </c>
      <c r="F80" s="31" t="s">
        <v>131</v>
      </c>
      <c r="G80" s="31" t="s">
        <v>3665</v>
      </c>
      <c r="H80" s="31" t="s">
        <v>3666</v>
      </c>
      <c r="I80" s="31" t="s">
        <v>3842</v>
      </c>
      <c r="J80" s="37" t="s">
        <v>4047</v>
      </c>
      <c r="K80" s="31" t="s">
        <v>2328</v>
      </c>
      <c r="L80" s="31" t="s">
        <v>270</v>
      </c>
      <c r="M80" s="31" t="s">
        <v>2232</v>
      </c>
      <c r="N80" s="31" t="s">
        <v>2328</v>
      </c>
    </row>
    <row r="81" spans="1:14" ht="75" x14ac:dyDescent="0.25">
      <c r="A81" s="31" t="s">
        <v>2772</v>
      </c>
      <c r="B81" s="32" t="s">
        <v>845</v>
      </c>
      <c r="C81" s="31" t="b">
        <v>0</v>
      </c>
      <c r="D81" s="31">
        <v>4</v>
      </c>
      <c r="E81" s="33" t="s">
        <v>847</v>
      </c>
      <c r="F81" s="31" t="s">
        <v>131</v>
      </c>
      <c r="G81" s="31" t="s">
        <v>3665</v>
      </c>
      <c r="H81" s="31" t="s">
        <v>3666</v>
      </c>
      <c r="I81" s="31" t="s">
        <v>3842</v>
      </c>
      <c r="J81" s="37" t="s">
        <v>4047</v>
      </c>
      <c r="K81" s="31" t="s">
        <v>2328</v>
      </c>
      <c r="L81" s="31" t="s">
        <v>270</v>
      </c>
      <c r="M81" s="31" t="s">
        <v>2232</v>
      </c>
      <c r="N81" s="31" t="s">
        <v>2328</v>
      </c>
    </row>
    <row r="82" spans="1:14" ht="75" x14ac:dyDescent="0.25">
      <c r="A82" s="31" t="s">
        <v>2773</v>
      </c>
      <c r="B82" s="32" t="s">
        <v>848</v>
      </c>
      <c r="C82" s="31" t="b">
        <v>0</v>
      </c>
      <c r="D82" s="31">
        <v>4</v>
      </c>
      <c r="E82" s="33" t="s">
        <v>850</v>
      </c>
      <c r="F82" s="31" t="s">
        <v>131</v>
      </c>
      <c r="G82" s="31" t="s">
        <v>3665</v>
      </c>
      <c r="H82" s="31" t="s">
        <v>3666</v>
      </c>
      <c r="I82" s="31" t="s">
        <v>3842</v>
      </c>
      <c r="J82" s="37" t="s">
        <v>4047</v>
      </c>
      <c r="K82" s="31" t="s">
        <v>2328</v>
      </c>
      <c r="L82" s="31" t="s">
        <v>270</v>
      </c>
      <c r="M82" s="31" t="s">
        <v>2232</v>
      </c>
      <c r="N82" s="31" t="s">
        <v>2328</v>
      </c>
    </row>
    <row r="83" spans="1:14" ht="75" x14ac:dyDescent="0.25">
      <c r="A83" s="31" t="s">
        <v>2774</v>
      </c>
      <c r="B83" s="32" t="s">
        <v>851</v>
      </c>
      <c r="C83" s="31" t="b">
        <v>0</v>
      </c>
      <c r="D83" s="31">
        <v>4</v>
      </c>
      <c r="E83" s="33" t="s">
        <v>853</v>
      </c>
      <c r="F83" s="31" t="s">
        <v>131</v>
      </c>
      <c r="G83" s="31" t="s">
        <v>3665</v>
      </c>
      <c r="H83" s="31" t="s">
        <v>3666</v>
      </c>
      <c r="I83" s="31" t="s">
        <v>3842</v>
      </c>
      <c r="J83" s="37" t="s">
        <v>4047</v>
      </c>
      <c r="K83" s="31" t="s">
        <v>2328</v>
      </c>
      <c r="L83" s="31" t="s">
        <v>270</v>
      </c>
      <c r="M83" s="31" t="s">
        <v>2232</v>
      </c>
      <c r="N83" s="31" t="s">
        <v>2328</v>
      </c>
    </row>
    <row r="84" spans="1:14" ht="75" x14ac:dyDescent="0.25">
      <c r="A84" s="31" t="s">
        <v>2775</v>
      </c>
      <c r="B84" s="32" t="s">
        <v>854</v>
      </c>
      <c r="C84" s="31" t="b">
        <v>0</v>
      </c>
      <c r="D84" s="31">
        <v>4</v>
      </c>
      <c r="E84" s="33" t="s">
        <v>856</v>
      </c>
      <c r="F84" s="31" t="s">
        <v>131</v>
      </c>
      <c r="G84" s="31" t="s">
        <v>3665</v>
      </c>
      <c r="H84" s="31" t="s">
        <v>3666</v>
      </c>
      <c r="I84" s="31" t="s">
        <v>3842</v>
      </c>
      <c r="J84" s="37" t="s">
        <v>4047</v>
      </c>
      <c r="K84" s="31" t="s">
        <v>2328</v>
      </c>
      <c r="L84" s="31" t="s">
        <v>270</v>
      </c>
      <c r="M84" s="31" t="s">
        <v>2232</v>
      </c>
      <c r="N84" s="31" t="s">
        <v>2328</v>
      </c>
    </row>
    <row r="85" spans="1:14" ht="75" x14ac:dyDescent="0.25">
      <c r="A85" s="31" t="s">
        <v>2776</v>
      </c>
      <c r="B85" s="32" t="s">
        <v>857</v>
      </c>
      <c r="C85" s="31" t="b">
        <v>0</v>
      </c>
      <c r="D85" s="31">
        <v>4</v>
      </c>
      <c r="E85" s="33" t="s">
        <v>859</v>
      </c>
      <c r="F85" s="31" t="s">
        <v>131</v>
      </c>
      <c r="G85" s="31" t="s">
        <v>3665</v>
      </c>
      <c r="H85" s="31" t="s">
        <v>3666</v>
      </c>
      <c r="I85" s="31" t="s">
        <v>3842</v>
      </c>
      <c r="J85" s="37" t="s">
        <v>4047</v>
      </c>
      <c r="K85" s="31" t="s">
        <v>2328</v>
      </c>
      <c r="L85" s="31" t="s">
        <v>270</v>
      </c>
      <c r="M85" s="31" t="s">
        <v>2232</v>
      </c>
      <c r="N85" s="31" t="s">
        <v>2328</v>
      </c>
    </row>
    <row r="86" spans="1:14" ht="75" x14ac:dyDescent="0.25">
      <c r="A86" s="31" t="s">
        <v>2777</v>
      </c>
      <c r="B86" s="32" t="s">
        <v>860</v>
      </c>
      <c r="C86" s="31" t="b">
        <v>0</v>
      </c>
      <c r="D86" s="31">
        <v>4</v>
      </c>
      <c r="E86" s="33" t="s">
        <v>862</v>
      </c>
      <c r="F86" s="31" t="s">
        <v>131</v>
      </c>
      <c r="G86" s="31" t="s">
        <v>3665</v>
      </c>
      <c r="H86" s="31" t="s">
        <v>3666</v>
      </c>
      <c r="I86" s="31" t="s">
        <v>3842</v>
      </c>
      <c r="J86" s="37" t="s">
        <v>4047</v>
      </c>
      <c r="K86" s="31" t="s">
        <v>2328</v>
      </c>
      <c r="L86" s="31" t="s">
        <v>270</v>
      </c>
      <c r="M86" s="31" t="s">
        <v>2232</v>
      </c>
      <c r="N86" s="31" t="s">
        <v>2328</v>
      </c>
    </row>
    <row r="87" spans="1:14" ht="75" x14ac:dyDescent="0.25">
      <c r="A87" s="31" t="s">
        <v>2760</v>
      </c>
      <c r="B87" s="32" t="s">
        <v>803</v>
      </c>
      <c r="C87" s="31" t="b">
        <v>1</v>
      </c>
      <c r="D87" s="31">
        <v>0</v>
      </c>
      <c r="E87" s="33" t="s">
        <v>3984</v>
      </c>
      <c r="F87" s="31" t="s">
        <v>3443</v>
      </c>
      <c r="G87" s="31" t="s">
        <v>3665</v>
      </c>
      <c r="H87" s="31" t="s">
        <v>3666</v>
      </c>
      <c r="I87" s="31" t="s">
        <v>3842</v>
      </c>
      <c r="J87" s="37" t="s">
        <v>4047</v>
      </c>
      <c r="K87" s="31" t="s">
        <v>2328</v>
      </c>
      <c r="L87" s="31" t="s">
        <v>267</v>
      </c>
      <c r="M87" s="31" t="s">
        <v>2232</v>
      </c>
      <c r="N87" s="31" t="s">
        <v>2328</v>
      </c>
    </row>
    <row r="88" spans="1:14" ht="75" x14ac:dyDescent="0.25">
      <c r="A88" s="31" t="s">
        <v>2328</v>
      </c>
      <c r="B88" s="32" t="s">
        <v>863</v>
      </c>
      <c r="C88" s="31" t="b">
        <v>1</v>
      </c>
      <c r="D88" s="31">
        <v>2</v>
      </c>
      <c r="E88" s="33" t="s">
        <v>3989</v>
      </c>
      <c r="F88" s="31" t="s">
        <v>3443</v>
      </c>
      <c r="G88" s="31" t="s">
        <v>3665</v>
      </c>
      <c r="H88" s="31" t="s">
        <v>3666</v>
      </c>
      <c r="I88" s="31" t="s">
        <v>3842</v>
      </c>
      <c r="J88" s="37" t="s">
        <v>4047</v>
      </c>
      <c r="K88" s="31" t="s">
        <v>2328</v>
      </c>
      <c r="L88" s="31" t="s">
        <v>270</v>
      </c>
      <c r="M88" s="31" t="s">
        <v>2232</v>
      </c>
      <c r="N88" s="31" t="s">
        <v>2328</v>
      </c>
    </row>
    <row r="89" spans="1:14" ht="75" x14ac:dyDescent="0.25">
      <c r="A89" s="31" t="s">
        <v>2328</v>
      </c>
      <c r="B89" s="32" t="s">
        <v>3451</v>
      </c>
      <c r="C89" s="31" t="b">
        <v>0</v>
      </c>
      <c r="D89" s="31">
        <v>4</v>
      </c>
      <c r="E89" s="33" t="s">
        <v>3450</v>
      </c>
      <c r="F89" s="31" t="s">
        <v>139</v>
      </c>
      <c r="G89" s="31" t="s">
        <v>3665</v>
      </c>
      <c r="H89" s="31" t="s">
        <v>3666</v>
      </c>
      <c r="I89" s="31" t="s">
        <v>3842</v>
      </c>
      <c r="J89" s="37" t="s">
        <v>4047</v>
      </c>
      <c r="K89" s="31" t="s">
        <v>2328</v>
      </c>
      <c r="L89" s="31" t="s">
        <v>2328</v>
      </c>
      <c r="M89" s="31" t="s">
        <v>2232</v>
      </c>
      <c r="N89" s="31" t="s">
        <v>2328</v>
      </c>
    </row>
    <row r="90" spans="1:14" ht="75" x14ac:dyDescent="0.25">
      <c r="A90" s="31" t="s">
        <v>2328</v>
      </c>
      <c r="B90" s="32" t="s">
        <v>864</v>
      </c>
      <c r="C90" s="31" t="b">
        <v>1</v>
      </c>
      <c r="D90" s="31">
        <v>4</v>
      </c>
      <c r="E90" s="33" t="s">
        <v>3990</v>
      </c>
      <c r="F90" s="31" t="s">
        <v>3443</v>
      </c>
      <c r="G90" s="31" t="s">
        <v>3665</v>
      </c>
      <c r="H90" s="31" t="s">
        <v>3666</v>
      </c>
      <c r="I90" s="31" t="s">
        <v>3842</v>
      </c>
      <c r="J90" s="37" t="s">
        <v>4047</v>
      </c>
      <c r="K90" s="31" t="s">
        <v>2328</v>
      </c>
      <c r="L90" s="31" t="s">
        <v>270</v>
      </c>
      <c r="M90" s="31" t="s">
        <v>2232</v>
      </c>
      <c r="N90" s="31" t="s">
        <v>2328</v>
      </c>
    </row>
    <row r="91" spans="1:14" ht="75" x14ac:dyDescent="0.25">
      <c r="A91" s="31" t="s">
        <v>3388</v>
      </c>
      <c r="B91" s="32" t="s">
        <v>867</v>
      </c>
      <c r="C91" s="31" t="b">
        <v>0</v>
      </c>
      <c r="D91" s="31">
        <v>6</v>
      </c>
      <c r="E91" s="33" t="s">
        <v>868</v>
      </c>
      <c r="F91" s="31" t="s">
        <v>131</v>
      </c>
      <c r="G91" s="31" t="s">
        <v>3665</v>
      </c>
      <c r="H91" s="31" t="s">
        <v>3666</v>
      </c>
      <c r="I91" s="31" t="s">
        <v>3842</v>
      </c>
      <c r="J91" s="37" t="s">
        <v>4047</v>
      </c>
      <c r="K91" s="31" t="s">
        <v>2328</v>
      </c>
      <c r="L91" s="31" t="s">
        <v>270</v>
      </c>
      <c r="M91" s="31" t="s">
        <v>2232</v>
      </c>
      <c r="N91" s="31" t="s">
        <v>2328</v>
      </c>
    </row>
    <row r="92" spans="1:14" ht="75" x14ac:dyDescent="0.25">
      <c r="A92" s="31" t="s">
        <v>2328</v>
      </c>
      <c r="B92" s="32" t="s">
        <v>2778</v>
      </c>
      <c r="C92" s="31" t="b">
        <v>0</v>
      </c>
      <c r="D92" s="31">
        <v>6</v>
      </c>
      <c r="E92" s="33" t="s">
        <v>3309</v>
      </c>
      <c r="F92" s="31" t="s">
        <v>131</v>
      </c>
      <c r="G92" s="31" t="s">
        <v>3665</v>
      </c>
      <c r="H92" s="31" t="s">
        <v>3666</v>
      </c>
      <c r="I92" s="31" t="s">
        <v>3842</v>
      </c>
      <c r="J92" s="37" t="s">
        <v>4047</v>
      </c>
      <c r="K92" s="31" t="s">
        <v>2328</v>
      </c>
      <c r="L92" s="31" t="s">
        <v>3662</v>
      </c>
      <c r="M92" s="31" t="s">
        <v>2232</v>
      </c>
      <c r="N92" s="31" t="s">
        <v>2328</v>
      </c>
    </row>
    <row r="93" spans="1:14" ht="75" x14ac:dyDescent="0.25">
      <c r="A93" s="31" t="s">
        <v>2328</v>
      </c>
      <c r="B93" s="32" t="s">
        <v>869</v>
      </c>
      <c r="C93" s="31" t="b">
        <v>1</v>
      </c>
      <c r="D93" s="31">
        <v>6</v>
      </c>
      <c r="E93" s="33" t="s">
        <v>3992</v>
      </c>
      <c r="F93" s="31" t="s">
        <v>3443</v>
      </c>
      <c r="G93" s="31" t="s">
        <v>3665</v>
      </c>
      <c r="H93" s="31" t="s">
        <v>3666</v>
      </c>
      <c r="I93" s="31" t="s">
        <v>3842</v>
      </c>
      <c r="J93" s="37" t="s">
        <v>4047</v>
      </c>
      <c r="K93" s="31" t="s">
        <v>2328</v>
      </c>
      <c r="L93" s="31" t="s">
        <v>270</v>
      </c>
      <c r="M93" s="31" t="s">
        <v>2232</v>
      </c>
      <c r="N93" s="31" t="s">
        <v>2328</v>
      </c>
    </row>
    <row r="94" spans="1:14" ht="75" x14ac:dyDescent="0.25">
      <c r="A94" s="31" t="s">
        <v>2328</v>
      </c>
      <c r="B94" s="32" t="s">
        <v>2780</v>
      </c>
      <c r="C94" s="31" t="b">
        <v>0</v>
      </c>
      <c r="D94" s="31">
        <v>8</v>
      </c>
      <c r="E94" s="33" t="s">
        <v>3310</v>
      </c>
      <c r="F94" s="31" t="s">
        <v>131</v>
      </c>
      <c r="G94" s="31" t="s">
        <v>3665</v>
      </c>
      <c r="H94" s="31" t="s">
        <v>3666</v>
      </c>
      <c r="I94" s="31" t="s">
        <v>3842</v>
      </c>
      <c r="J94" s="37" t="s">
        <v>4047</v>
      </c>
      <c r="K94" s="31" t="s">
        <v>2328</v>
      </c>
      <c r="L94" s="31" t="s">
        <v>3662</v>
      </c>
      <c r="M94" s="31" t="s">
        <v>2232</v>
      </c>
      <c r="N94" s="31" t="s">
        <v>2328</v>
      </c>
    </row>
    <row r="95" spans="1:14" ht="75" x14ac:dyDescent="0.25">
      <c r="A95" s="31" t="s">
        <v>2328</v>
      </c>
      <c r="B95" s="32" t="s">
        <v>2239</v>
      </c>
      <c r="C95" s="31" t="b">
        <v>1</v>
      </c>
      <c r="D95" s="31">
        <v>4</v>
      </c>
      <c r="E95" s="33" t="s">
        <v>3991</v>
      </c>
      <c r="F95" s="31" t="s">
        <v>3443</v>
      </c>
      <c r="G95" s="31" t="s">
        <v>3665</v>
      </c>
      <c r="H95" s="31" t="s">
        <v>3666</v>
      </c>
      <c r="I95" s="31" t="s">
        <v>3842</v>
      </c>
      <c r="J95" s="37" t="s">
        <v>4047</v>
      </c>
      <c r="K95" s="31" t="s">
        <v>2328</v>
      </c>
      <c r="L95" s="31" t="s">
        <v>272</v>
      </c>
      <c r="M95" s="31" t="s">
        <v>2232</v>
      </c>
      <c r="N95" s="31" t="s">
        <v>2328</v>
      </c>
    </row>
    <row r="96" spans="1:14" ht="75" x14ac:dyDescent="0.25">
      <c r="A96" s="31" t="s">
        <v>2328</v>
      </c>
      <c r="B96" s="32" t="s">
        <v>872</v>
      </c>
      <c r="C96" s="31" t="b">
        <v>0</v>
      </c>
      <c r="D96" s="31">
        <v>6</v>
      </c>
      <c r="E96" s="33" t="s">
        <v>873</v>
      </c>
      <c r="F96" s="31" t="s">
        <v>131</v>
      </c>
      <c r="G96" s="31" t="s">
        <v>3665</v>
      </c>
      <c r="H96" s="31" t="s">
        <v>3666</v>
      </c>
      <c r="I96" s="31" t="s">
        <v>3842</v>
      </c>
      <c r="J96" s="37" t="s">
        <v>4047</v>
      </c>
      <c r="K96" s="31" t="s">
        <v>2328</v>
      </c>
      <c r="L96" s="31" t="s">
        <v>272</v>
      </c>
      <c r="M96" s="31" t="s">
        <v>2232</v>
      </c>
      <c r="N96" s="31" t="s">
        <v>2328</v>
      </c>
    </row>
    <row r="97" spans="1:14" ht="75" x14ac:dyDescent="0.25">
      <c r="A97" s="31" t="s">
        <v>2328</v>
      </c>
      <c r="B97" s="32" t="s">
        <v>874</v>
      </c>
      <c r="C97" s="31" t="b">
        <v>0</v>
      </c>
      <c r="D97" s="31">
        <v>6</v>
      </c>
      <c r="E97" s="33" t="s">
        <v>3311</v>
      </c>
      <c r="F97" s="31" t="s">
        <v>131</v>
      </c>
      <c r="G97" s="31" t="s">
        <v>3665</v>
      </c>
      <c r="H97" s="31" t="s">
        <v>3666</v>
      </c>
      <c r="I97" s="31" t="s">
        <v>3842</v>
      </c>
      <c r="J97" s="37" t="s">
        <v>4047</v>
      </c>
      <c r="K97" s="31" t="s">
        <v>2328</v>
      </c>
      <c r="L97" s="31" t="s">
        <v>272</v>
      </c>
      <c r="M97" s="31" t="s">
        <v>2232</v>
      </c>
      <c r="N97" s="31" t="s">
        <v>2328</v>
      </c>
    </row>
    <row r="98" spans="1:14" ht="75" x14ac:dyDescent="0.25">
      <c r="A98" s="31" t="s">
        <v>2328</v>
      </c>
      <c r="B98" s="32" t="s">
        <v>875</v>
      </c>
      <c r="C98" s="31" t="b">
        <v>0</v>
      </c>
      <c r="D98" s="31">
        <v>6</v>
      </c>
      <c r="E98" s="33" t="s">
        <v>3312</v>
      </c>
      <c r="F98" s="31" t="s">
        <v>131</v>
      </c>
      <c r="G98" s="31" t="s">
        <v>3665</v>
      </c>
      <c r="H98" s="31" t="s">
        <v>3666</v>
      </c>
      <c r="I98" s="31" t="s">
        <v>3842</v>
      </c>
      <c r="J98" s="37" t="s">
        <v>4047</v>
      </c>
      <c r="K98" s="31" t="s">
        <v>2328</v>
      </c>
      <c r="L98" s="31" t="s">
        <v>272</v>
      </c>
      <c r="M98" s="31" t="s">
        <v>2232</v>
      </c>
      <c r="N98" s="31" t="s">
        <v>2328</v>
      </c>
    </row>
    <row r="99" spans="1:14" ht="75" x14ac:dyDescent="0.25">
      <c r="A99" s="31" t="s">
        <v>2328</v>
      </c>
      <c r="B99" s="32" t="s">
        <v>876</v>
      </c>
      <c r="C99" s="31" t="b">
        <v>0</v>
      </c>
      <c r="D99" s="31">
        <v>6</v>
      </c>
      <c r="E99" s="33" t="s">
        <v>877</v>
      </c>
      <c r="F99" s="31" t="s">
        <v>139</v>
      </c>
      <c r="G99" s="31" t="s">
        <v>3665</v>
      </c>
      <c r="H99" s="31" t="s">
        <v>3666</v>
      </c>
      <c r="I99" s="31" t="s">
        <v>3842</v>
      </c>
      <c r="J99" s="37" t="s">
        <v>4047</v>
      </c>
      <c r="K99" s="31" t="s">
        <v>2328</v>
      </c>
      <c r="L99" s="31" t="s">
        <v>272</v>
      </c>
      <c r="M99" s="31" t="s">
        <v>2232</v>
      </c>
      <c r="N99" s="31" t="s">
        <v>2328</v>
      </c>
    </row>
    <row r="100" spans="1:14" ht="75" x14ac:dyDescent="0.25">
      <c r="A100" s="31" t="s">
        <v>2328</v>
      </c>
      <c r="B100" s="32" t="s">
        <v>878</v>
      </c>
      <c r="C100" s="31" t="b">
        <v>0</v>
      </c>
      <c r="D100" s="31">
        <v>6</v>
      </c>
      <c r="E100" s="33" t="s">
        <v>3313</v>
      </c>
      <c r="F100" s="31" t="s">
        <v>131</v>
      </c>
      <c r="G100" s="31" t="s">
        <v>3665</v>
      </c>
      <c r="H100" s="31" t="s">
        <v>3666</v>
      </c>
      <c r="I100" s="31" t="s">
        <v>3842</v>
      </c>
      <c r="J100" s="37" t="s">
        <v>4047</v>
      </c>
      <c r="K100" s="31" t="s">
        <v>2328</v>
      </c>
      <c r="L100" s="31" t="s">
        <v>272</v>
      </c>
      <c r="M100" s="31" t="s">
        <v>2232</v>
      </c>
      <c r="N100" s="31" t="s">
        <v>2328</v>
      </c>
    </row>
    <row r="101" spans="1:14" ht="75" x14ac:dyDescent="0.25">
      <c r="A101" s="31" t="s">
        <v>2328</v>
      </c>
      <c r="B101" s="32" t="s">
        <v>879</v>
      </c>
      <c r="C101" s="31" t="b">
        <v>0</v>
      </c>
      <c r="D101" s="31">
        <v>6</v>
      </c>
      <c r="E101" s="33" t="s">
        <v>3314</v>
      </c>
      <c r="F101" s="31" t="s">
        <v>131</v>
      </c>
      <c r="G101" s="31" t="s">
        <v>3665</v>
      </c>
      <c r="H101" s="31" t="s">
        <v>3666</v>
      </c>
      <c r="I101" s="31" t="s">
        <v>3842</v>
      </c>
      <c r="J101" s="37" t="s">
        <v>4047</v>
      </c>
      <c r="K101" s="31" t="s">
        <v>2328</v>
      </c>
      <c r="L101" s="31" t="s">
        <v>272</v>
      </c>
      <c r="M101" s="31" t="s">
        <v>2232</v>
      </c>
      <c r="N101" s="31" t="s">
        <v>2328</v>
      </c>
    </row>
    <row r="102" spans="1:14" ht="75" x14ac:dyDescent="0.25">
      <c r="A102" s="31" t="s">
        <v>2328</v>
      </c>
      <c r="B102" s="32" t="s">
        <v>880</v>
      </c>
      <c r="C102" s="31" t="b">
        <v>0</v>
      </c>
      <c r="D102" s="31">
        <v>6</v>
      </c>
      <c r="E102" s="33" t="s">
        <v>881</v>
      </c>
      <c r="F102" s="31" t="s">
        <v>131</v>
      </c>
      <c r="G102" s="31" t="s">
        <v>3665</v>
      </c>
      <c r="H102" s="31" t="s">
        <v>3666</v>
      </c>
      <c r="I102" s="31" t="s">
        <v>3842</v>
      </c>
      <c r="J102" s="37" t="s">
        <v>4047</v>
      </c>
      <c r="K102" s="31" t="s">
        <v>2328</v>
      </c>
      <c r="L102" s="31" t="s">
        <v>272</v>
      </c>
      <c r="M102" s="31" t="s">
        <v>2232</v>
      </c>
      <c r="N102" s="31" t="s">
        <v>2328</v>
      </c>
    </row>
    <row r="103" spans="1:14" ht="75" x14ac:dyDescent="0.25">
      <c r="A103" s="31" t="s">
        <v>2328</v>
      </c>
      <c r="B103" s="32" t="s">
        <v>882</v>
      </c>
      <c r="C103" s="31" t="b">
        <v>0</v>
      </c>
      <c r="D103" s="31">
        <v>6</v>
      </c>
      <c r="E103" s="33" t="s">
        <v>3315</v>
      </c>
      <c r="F103" s="31" t="s">
        <v>131</v>
      </c>
      <c r="G103" s="31" t="s">
        <v>3665</v>
      </c>
      <c r="H103" s="31" t="s">
        <v>3666</v>
      </c>
      <c r="I103" s="31" t="s">
        <v>3842</v>
      </c>
      <c r="J103" s="37" t="s">
        <v>4047</v>
      </c>
      <c r="K103" s="31" t="s">
        <v>2328</v>
      </c>
      <c r="L103" s="31" t="s">
        <v>272</v>
      </c>
      <c r="M103" s="31" t="s">
        <v>2232</v>
      </c>
      <c r="N103" s="31" t="s">
        <v>2328</v>
      </c>
    </row>
    <row r="104" spans="1:14" ht="75" x14ac:dyDescent="0.25">
      <c r="A104" s="31" t="s">
        <v>2328</v>
      </c>
      <c r="B104" s="32" t="s">
        <v>2790</v>
      </c>
      <c r="C104" s="31" t="b">
        <v>0</v>
      </c>
      <c r="D104" s="31">
        <v>6</v>
      </c>
      <c r="E104" s="33" t="s">
        <v>3316</v>
      </c>
      <c r="F104" s="31" t="s">
        <v>131</v>
      </c>
      <c r="G104" s="31" t="s">
        <v>3665</v>
      </c>
      <c r="H104" s="31" t="s">
        <v>3666</v>
      </c>
      <c r="I104" s="31" t="s">
        <v>3842</v>
      </c>
      <c r="J104" s="37" t="s">
        <v>4047</v>
      </c>
      <c r="K104" s="31" t="s">
        <v>2328</v>
      </c>
      <c r="L104" s="31" t="s">
        <v>272</v>
      </c>
      <c r="M104" s="31" t="s">
        <v>2232</v>
      </c>
      <c r="N104" s="31" t="s">
        <v>2328</v>
      </c>
    </row>
    <row r="105" spans="1:14" ht="75" x14ac:dyDescent="0.25">
      <c r="A105" s="31" t="s">
        <v>2328</v>
      </c>
      <c r="B105" s="32" t="s">
        <v>883</v>
      </c>
      <c r="C105" s="31" t="b">
        <v>0</v>
      </c>
      <c r="D105" s="31">
        <v>6</v>
      </c>
      <c r="E105" s="33" t="s">
        <v>3317</v>
      </c>
      <c r="F105" s="31" t="s">
        <v>131</v>
      </c>
      <c r="G105" s="31" t="s">
        <v>3665</v>
      </c>
      <c r="H105" s="31" t="s">
        <v>3666</v>
      </c>
      <c r="I105" s="31" t="s">
        <v>3842</v>
      </c>
      <c r="J105" s="37" t="s">
        <v>4047</v>
      </c>
      <c r="K105" s="31" t="s">
        <v>2328</v>
      </c>
      <c r="L105" s="31" t="s">
        <v>272</v>
      </c>
      <c r="M105" s="31" t="s">
        <v>2232</v>
      </c>
      <c r="N105" s="31" t="s">
        <v>2328</v>
      </c>
    </row>
    <row r="106" spans="1:14" ht="75" x14ac:dyDescent="0.25">
      <c r="A106" s="31" t="s">
        <v>2328</v>
      </c>
      <c r="B106" s="32" t="s">
        <v>884</v>
      </c>
      <c r="C106" s="31" t="b">
        <v>0</v>
      </c>
      <c r="D106" s="31">
        <v>6</v>
      </c>
      <c r="E106" s="33" t="s">
        <v>3318</v>
      </c>
      <c r="F106" s="31" t="s">
        <v>131</v>
      </c>
      <c r="G106" s="31" t="s">
        <v>3665</v>
      </c>
      <c r="H106" s="31" t="s">
        <v>3666</v>
      </c>
      <c r="I106" s="31" t="s">
        <v>3842</v>
      </c>
      <c r="J106" s="37" t="s">
        <v>4047</v>
      </c>
      <c r="K106" s="31" t="s">
        <v>2328</v>
      </c>
      <c r="L106" s="31" t="s">
        <v>272</v>
      </c>
      <c r="M106" s="31" t="s">
        <v>2232</v>
      </c>
      <c r="N106" s="31" t="s">
        <v>2328</v>
      </c>
    </row>
    <row r="107" spans="1:14" ht="75" x14ac:dyDescent="0.25">
      <c r="A107" s="31" t="s">
        <v>2328</v>
      </c>
      <c r="B107" s="32" t="s">
        <v>885</v>
      </c>
      <c r="C107" s="31" t="b">
        <v>1</v>
      </c>
      <c r="D107" s="31">
        <v>2</v>
      </c>
      <c r="E107" s="33" t="s">
        <v>3993</v>
      </c>
      <c r="F107" s="31" t="s">
        <v>3443</v>
      </c>
      <c r="G107" s="31" t="s">
        <v>3665</v>
      </c>
      <c r="H107" s="31" t="s">
        <v>3666</v>
      </c>
      <c r="I107" s="31" t="s">
        <v>3842</v>
      </c>
      <c r="J107" s="37" t="s">
        <v>4047</v>
      </c>
      <c r="K107" s="31" t="s">
        <v>2328</v>
      </c>
      <c r="L107" s="31" t="s">
        <v>270</v>
      </c>
      <c r="M107" s="31" t="s">
        <v>2232</v>
      </c>
      <c r="N107" s="31" t="s">
        <v>2328</v>
      </c>
    </row>
    <row r="108" spans="1:14" ht="75" x14ac:dyDescent="0.25">
      <c r="A108" s="31" t="s">
        <v>2328</v>
      </c>
      <c r="B108" s="32" t="s">
        <v>887</v>
      </c>
      <c r="C108" s="31" t="b">
        <v>0</v>
      </c>
      <c r="D108" s="31">
        <v>4</v>
      </c>
      <c r="E108" s="33" t="s">
        <v>889</v>
      </c>
      <c r="F108" s="31" t="s">
        <v>139</v>
      </c>
      <c r="G108" s="31" t="s">
        <v>3665</v>
      </c>
      <c r="H108" s="31" t="s">
        <v>3666</v>
      </c>
      <c r="I108" s="31" t="s">
        <v>3842</v>
      </c>
      <c r="J108" s="37" t="s">
        <v>4047</v>
      </c>
      <c r="K108" s="31" t="s">
        <v>2328</v>
      </c>
      <c r="L108" s="31" t="s">
        <v>270</v>
      </c>
      <c r="M108" s="31" t="s">
        <v>2232</v>
      </c>
      <c r="N108" s="31" t="s">
        <v>2328</v>
      </c>
    </row>
    <row r="109" spans="1:14" ht="75" x14ac:dyDescent="0.25">
      <c r="A109" s="31" t="s">
        <v>2794</v>
      </c>
      <c r="B109" s="32" t="s">
        <v>890</v>
      </c>
      <c r="C109" s="31" t="b">
        <v>0</v>
      </c>
      <c r="D109" s="31">
        <v>4</v>
      </c>
      <c r="E109" s="33" t="s">
        <v>892</v>
      </c>
      <c r="F109" s="31" t="s">
        <v>131</v>
      </c>
      <c r="G109" s="31" t="s">
        <v>3665</v>
      </c>
      <c r="H109" s="31" t="s">
        <v>3666</v>
      </c>
      <c r="I109" s="31" t="s">
        <v>3842</v>
      </c>
      <c r="J109" s="37" t="s">
        <v>4047</v>
      </c>
      <c r="K109" s="31" t="s">
        <v>2328</v>
      </c>
      <c r="L109" s="31" t="s">
        <v>270</v>
      </c>
      <c r="M109" s="31" t="s">
        <v>2232</v>
      </c>
      <c r="N109" s="31" t="s">
        <v>2328</v>
      </c>
    </row>
    <row r="110" spans="1:14" ht="75" x14ac:dyDescent="0.25">
      <c r="A110" s="31" t="s">
        <v>2795</v>
      </c>
      <c r="B110" s="32" t="s">
        <v>893</v>
      </c>
      <c r="C110" s="31" t="b">
        <v>0</v>
      </c>
      <c r="D110" s="31">
        <v>4</v>
      </c>
      <c r="E110" s="33" t="s">
        <v>895</v>
      </c>
      <c r="F110" s="31" t="s">
        <v>131</v>
      </c>
      <c r="G110" s="31" t="s">
        <v>3665</v>
      </c>
      <c r="H110" s="31" t="s">
        <v>3666</v>
      </c>
      <c r="I110" s="31" t="s">
        <v>3842</v>
      </c>
      <c r="J110" s="37" t="s">
        <v>4047</v>
      </c>
      <c r="K110" s="31" t="s">
        <v>2328</v>
      </c>
      <c r="L110" s="31" t="s">
        <v>270</v>
      </c>
      <c r="M110" s="31" t="s">
        <v>2232</v>
      </c>
      <c r="N110" s="31" t="s">
        <v>2328</v>
      </c>
    </row>
    <row r="111" spans="1:14" ht="75" x14ac:dyDescent="0.25">
      <c r="A111" s="31" t="s">
        <v>2796</v>
      </c>
      <c r="B111" s="32" t="s">
        <v>896</v>
      </c>
      <c r="C111" s="31" t="b">
        <v>0</v>
      </c>
      <c r="D111" s="31">
        <v>4</v>
      </c>
      <c r="E111" s="33" t="s">
        <v>898</v>
      </c>
      <c r="F111" s="31" t="s">
        <v>131</v>
      </c>
      <c r="G111" s="31" t="s">
        <v>3665</v>
      </c>
      <c r="H111" s="31" t="s">
        <v>3666</v>
      </c>
      <c r="I111" s="31" t="s">
        <v>3842</v>
      </c>
      <c r="J111" s="37" t="s">
        <v>4047</v>
      </c>
      <c r="K111" s="31" t="s">
        <v>2328</v>
      </c>
      <c r="L111" s="31" t="s">
        <v>270</v>
      </c>
      <c r="M111" s="31" t="s">
        <v>2232</v>
      </c>
      <c r="N111" s="31" t="s">
        <v>2328</v>
      </c>
    </row>
    <row r="112" spans="1:14" ht="75" x14ac:dyDescent="0.25">
      <c r="A112" s="31" t="s">
        <v>2797</v>
      </c>
      <c r="B112" s="32" t="s">
        <v>899</v>
      </c>
      <c r="C112" s="31" t="b">
        <v>0</v>
      </c>
      <c r="D112" s="31">
        <v>4</v>
      </c>
      <c r="E112" s="33" t="s">
        <v>901</v>
      </c>
      <c r="F112" s="31" t="s">
        <v>131</v>
      </c>
      <c r="G112" s="31" t="s">
        <v>3665</v>
      </c>
      <c r="H112" s="31" t="s">
        <v>3666</v>
      </c>
      <c r="I112" s="31" t="s">
        <v>3842</v>
      </c>
      <c r="J112" s="37" t="s">
        <v>4047</v>
      </c>
      <c r="K112" s="31" t="s">
        <v>2328</v>
      </c>
      <c r="L112" s="31" t="s">
        <v>270</v>
      </c>
      <c r="M112" s="31" t="s">
        <v>2232</v>
      </c>
      <c r="N112" s="31" t="s">
        <v>2328</v>
      </c>
    </row>
    <row r="113" spans="1:14" ht="75" x14ac:dyDescent="0.25">
      <c r="A113" s="31" t="s">
        <v>2798</v>
      </c>
      <c r="B113" s="32" t="s">
        <v>902</v>
      </c>
      <c r="C113" s="31" t="b">
        <v>0</v>
      </c>
      <c r="D113" s="31">
        <v>4</v>
      </c>
      <c r="E113" s="33" t="s">
        <v>904</v>
      </c>
      <c r="F113" s="31" t="s">
        <v>131</v>
      </c>
      <c r="G113" s="31" t="s">
        <v>3665</v>
      </c>
      <c r="H113" s="31" t="s">
        <v>3666</v>
      </c>
      <c r="I113" s="31" t="s">
        <v>3842</v>
      </c>
      <c r="J113" s="37" t="s">
        <v>4047</v>
      </c>
      <c r="K113" s="31" t="s">
        <v>2328</v>
      </c>
      <c r="L113" s="31" t="s">
        <v>270</v>
      </c>
      <c r="M113" s="31" t="s">
        <v>2232</v>
      </c>
      <c r="N113" s="31" t="s">
        <v>2328</v>
      </c>
    </row>
    <row r="114" spans="1:14" ht="75" x14ac:dyDescent="0.25">
      <c r="A114" s="31" t="s">
        <v>2799</v>
      </c>
      <c r="B114" s="32" t="s">
        <v>905</v>
      </c>
      <c r="C114" s="31" t="b">
        <v>0</v>
      </c>
      <c r="D114" s="31">
        <v>4</v>
      </c>
      <c r="E114" s="33" t="s">
        <v>907</v>
      </c>
      <c r="F114" s="31" t="s">
        <v>131</v>
      </c>
      <c r="G114" s="31" t="s">
        <v>3665</v>
      </c>
      <c r="H114" s="31" t="s">
        <v>3666</v>
      </c>
      <c r="I114" s="31" t="s">
        <v>3842</v>
      </c>
      <c r="J114" s="37" t="s">
        <v>4047</v>
      </c>
      <c r="K114" s="31" t="s">
        <v>2328</v>
      </c>
      <c r="L114" s="31" t="s">
        <v>270</v>
      </c>
      <c r="M114" s="31" t="s">
        <v>2232</v>
      </c>
      <c r="N114" s="31" t="s">
        <v>2328</v>
      </c>
    </row>
    <row r="115" spans="1:14" ht="75" x14ac:dyDescent="0.25">
      <c r="A115" s="31" t="s">
        <v>2328</v>
      </c>
      <c r="B115" s="32" t="s">
        <v>908</v>
      </c>
      <c r="C115" s="31" t="b">
        <v>0</v>
      </c>
      <c r="D115" s="31">
        <v>4</v>
      </c>
      <c r="E115" s="33" t="s">
        <v>910</v>
      </c>
      <c r="F115" s="31" t="s">
        <v>131</v>
      </c>
      <c r="G115" s="31" t="s">
        <v>3665</v>
      </c>
      <c r="H115" s="31" t="s">
        <v>3666</v>
      </c>
      <c r="I115" s="31" t="s">
        <v>3842</v>
      </c>
      <c r="J115" s="37" t="s">
        <v>4047</v>
      </c>
      <c r="K115" s="31" t="s">
        <v>2328</v>
      </c>
      <c r="L115" s="31" t="s">
        <v>270</v>
      </c>
      <c r="M115" s="31" t="s">
        <v>2232</v>
      </c>
      <c r="N115" s="31" t="s">
        <v>2328</v>
      </c>
    </row>
    <row r="116" spans="1:14" ht="75" x14ac:dyDescent="0.25">
      <c r="A116" s="31" t="s">
        <v>2800</v>
      </c>
      <c r="B116" s="32" t="s">
        <v>911</v>
      </c>
      <c r="C116" s="31" t="b">
        <v>0</v>
      </c>
      <c r="D116" s="31">
        <v>4</v>
      </c>
      <c r="E116" s="33" t="s">
        <v>913</v>
      </c>
      <c r="F116" s="31" t="s">
        <v>131</v>
      </c>
      <c r="G116" s="31" t="s">
        <v>3665</v>
      </c>
      <c r="H116" s="31" t="s">
        <v>3666</v>
      </c>
      <c r="I116" s="31" t="s">
        <v>3842</v>
      </c>
      <c r="J116" s="37" t="s">
        <v>4047</v>
      </c>
      <c r="K116" s="31" t="s">
        <v>2328</v>
      </c>
      <c r="L116" s="31" t="s">
        <v>270</v>
      </c>
      <c r="M116" s="31" t="s">
        <v>2232</v>
      </c>
      <c r="N116" s="31" t="s">
        <v>2328</v>
      </c>
    </row>
    <row r="117" spans="1:14" ht="75" x14ac:dyDescent="0.25">
      <c r="A117" s="31" t="s">
        <v>2801</v>
      </c>
      <c r="B117" s="32" t="s">
        <v>914</v>
      </c>
      <c r="C117" s="31" t="b">
        <v>0</v>
      </c>
      <c r="D117" s="31">
        <v>4</v>
      </c>
      <c r="E117" s="33" t="s">
        <v>916</v>
      </c>
      <c r="F117" s="31" t="s">
        <v>131</v>
      </c>
      <c r="G117" s="31" t="s">
        <v>3665</v>
      </c>
      <c r="H117" s="31" t="s">
        <v>3666</v>
      </c>
      <c r="I117" s="31" t="s">
        <v>3842</v>
      </c>
      <c r="J117" s="37" t="s">
        <v>4047</v>
      </c>
      <c r="K117" s="31" t="s">
        <v>2328</v>
      </c>
      <c r="L117" s="31" t="s">
        <v>270</v>
      </c>
      <c r="M117" s="31" t="s">
        <v>2232</v>
      </c>
      <c r="N117" s="31" t="s">
        <v>2328</v>
      </c>
    </row>
    <row r="118" spans="1:14" ht="75" x14ac:dyDescent="0.25">
      <c r="A118" s="31" t="s">
        <v>2802</v>
      </c>
      <c r="B118" s="32" t="s">
        <v>917</v>
      </c>
      <c r="C118" s="31" t="b">
        <v>0</v>
      </c>
      <c r="D118" s="31">
        <v>4</v>
      </c>
      <c r="E118" s="33" t="s">
        <v>919</v>
      </c>
      <c r="F118" s="31" t="s">
        <v>131</v>
      </c>
      <c r="G118" s="31" t="s">
        <v>3665</v>
      </c>
      <c r="H118" s="31" t="s">
        <v>3666</v>
      </c>
      <c r="I118" s="31" t="s">
        <v>3842</v>
      </c>
      <c r="J118" s="37" t="s">
        <v>4047</v>
      </c>
      <c r="K118" s="31" t="s">
        <v>2328</v>
      </c>
      <c r="L118" s="31" t="s">
        <v>270</v>
      </c>
      <c r="M118" s="31" t="s">
        <v>2232</v>
      </c>
      <c r="N118" s="31" t="s">
        <v>2328</v>
      </c>
    </row>
    <row r="119" spans="1:14" ht="75" x14ac:dyDescent="0.25">
      <c r="A119" s="31" t="s">
        <v>2803</v>
      </c>
      <c r="B119" s="32" t="s">
        <v>920</v>
      </c>
      <c r="C119" s="31" t="b">
        <v>0</v>
      </c>
      <c r="D119" s="31">
        <v>4</v>
      </c>
      <c r="E119" s="33" t="s">
        <v>922</v>
      </c>
      <c r="F119" s="31" t="s">
        <v>131</v>
      </c>
      <c r="G119" s="31" t="s">
        <v>3665</v>
      </c>
      <c r="H119" s="31" t="s">
        <v>3666</v>
      </c>
      <c r="I119" s="31" t="s">
        <v>3842</v>
      </c>
      <c r="J119" s="37" t="s">
        <v>4047</v>
      </c>
      <c r="K119" s="31" t="s">
        <v>2328</v>
      </c>
      <c r="L119" s="31" t="s">
        <v>270</v>
      </c>
      <c r="M119" s="31" t="s">
        <v>2232</v>
      </c>
      <c r="N119" s="31" t="s">
        <v>2328</v>
      </c>
    </row>
    <row r="120" spans="1:14" ht="75" x14ac:dyDescent="0.25">
      <c r="A120" s="31" t="s">
        <v>2804</v>
      </c>
      <c r="B120" s="32" t="s">
        <v>923</v>
      </c>
      <c r="C120" s="31" t="b">
        <v>0</v>
      </c>
      <c r="D120" s="31">
        <v>4</v>
      </c>
      <c r="E120" s="33" t="s">
        <v>925</v>
      </c>
      <c r="F120" s="31" t="s">
        <v>131</v>
      </c>
      <c r="G120" s="31" t="s">
        <v>3665</v>
      </c>
      <c r="H120" s="31" t="s">
        <v>3666</v>
      </c>
      <c r="I120" s="31" t="s">
        <v>3842</v>
      </c>
      <c r="J120" s="37" t="s">
        <v>4047</v>
      </c>
      <c r="K120" s="31" t="s">
        <v>2328</v>
      </c>
      <c r="L120" s="31" t="s">
        <v>270</v>
      </c>
      <c r="M120" s="31" t="s">
        <v>2232</v>
      </c>
      <c r="N120" s="31" t="s">
        <v>2328</v>
      </c>
    </row>
    <row r="121" spans="1:14" ht="75" x14ac:dyDescent="0.25">
      <c r="A121" s="31" t="s">
        <v>2805</v>
      </c>
      <c r="B121" s="32" t="s">
        <v>926</v>
      </c>
      <c r="C121" s="31" t="b">
        <v>0</v>
      </c>
      <c r="D121" s="31">
        <v>4</v>
      </c>
      <c r="E121" s="33" t="s">
        <v>928</v>
      </c>
      <c r="F121" s="31" t="s">
        <v>131</v>
      </c>
      <c r="G121" s="31" t="s">
        <v>3665</v>
      </c>
      <c r="H121" s="31" t="s">
        <v>3666</v>
      </c>
      <c r="I121" s="31" t="s">
        <v>3842</v>
      </c>
      <c r="J121" s="37" t="s">
        <v>4047</v>
      </c>
      <c r="K121" s="31" t="s">
        <v>2328</v>
      </c>
      <c r="L121" s="31" t="s">
        <v>270</v>
      </c>
      <c r="M121" s="31" t="s">
        <v>2232</v>
      </c>
      <c r="N121" s="31" t="s">
        <v>2328</v>
      </c>
    </row>
    <row r="122" spans="1:14" ht="75" x14ac:dyDescent="0.25">
      <c r="A122" s="31" t="s">
        <v>2806</v>
      </c>
      <c r="B122" s="32" t="s">
        <v>929</v>
      </c>
      <c r="C122" s="31" t="b">
        <v>0</v>
      </c>
      <c r="D122" s="31">
        <v>4</v>
      </c>
      <c r="E122" s="33" t="s">
        <v>931</v>
      </c>
      <c r="F122" s="31" t="s">
        <v>131</v>
      </c>
      <c r="G122" s="31" t="s">
        <v>3665</v>
      </c>
      <c r="H122" s="31" t="s">
        <v>3666</v>
      </c>
      <c r="I122" s="31" t="s">
        <v>3842</v>
      </c>
      <c r="J122" s="37" t="s">
        <v>4047</v>
      </c>
      <c r="K122" s="31" t="s">
        <v>2328</v>
      </c>
      <c r="L122" s="31" t="s">
        <v>270</v>
      </c>
      <c r="M122" s="31" t="s">
        <v>2232</v>
      </c>
      <c r="N122" s="31" t="s">
        <v>2328</v>
      </c>
    </row>
    <row r="123" spans="1:14" ht="75" x14ac:dyDescent="0.25">
      <c r="A123" s="31" t="s">
        <v>2807</v>
      </c>
      <c r="B123" s="32" t="s">
        <v>932</v>
      </c>
      <c r="C123" s="31" t="b">
        <v>0</v>
      </c>
      <c r="D123" s="31">
        <v>4</v>
      </c>
      <c r="E123" s="33" t="s">
        <v>934</v>
      </c>
      <c r="F123" s="31" t="s">
        <v>131</v>
      </c>
      <c r="G123" s="31" t="s">
        <v>3665</v>
      </c>
      <c r="H123" s="31" t="s">
        <v>3666</v>
      </c>
      <c r="I123" s="31" t="s">
        <v>3842</v>
      </c>
      <c r="J123" s="37" t="s">
        <v>4047</v>
      </c>
      <c r="K123" s="31" t="s">
        <v>2328</v>
      </c>
      <c r="L123" s="31" t="s">
        <v>270</v>
      </c>
      <c r="M123" s="31" t="s">
        <v>2232</v>
      </c>
      <c r="N123" s="31" t="s">
        <v>2328</v>
      </c>
    </row>
    <row r="124" spans="1:14" ht="75" x14ac:dyDescent="0.25">
      <c r="A124" s="31" t="s">
        <v>2808</v>
      </c>
      <c r="B124" s="32" t="s">
        <v>935</v>
      </c>
      <c r="C124" s="31" t="b">
        <v>0</v>
      </c>
      <c r="D124" s="31">
        <v>4</v>
      </c>
      <c r="E124" s="33" t="s">
        <v>937</v>
      </c>
      <c r="F124" s="31" t="s">
        <v>131</v>
      </c>
      <c r="G124" s="31" t="s">
        <v>3665</v>
      </c>
      <c r="H124" s="31" t="s">
        <v>3666</v>
      </c>
      <c r="I124" s="31" t="s">
        <v>3842</v>
      </c>
      <c r="J124" s="37" t="s">
        <v>4047</v>
      </c>
      <c r="K124" s="31" t="s">
        <v>2328</v>
      </c>
      <c r="L124" s="31" t="s">
        <v>270</v>
      </c>
      <c r="M124" s="31" t="s">
        <v>2232</v>
      </c>
      <c r="N124" s="31" t="s">
        <v>2328</v>
      </c>
    </row>
    <row r="125" spans="1:14" ht="75" x14ac:dyDescent="0.25">
      <c r="A125" s="31" t="s">
        <v>2809</v>
      </c>
      <c r="B125" s="32" t="s">
        <v>938</v>
      </c>
      <c r="C125" s="31" t="b">
        <v>0</v>
      </c>
      <c r="D125" s="31">
        <v>4</v>
      </c>
      <c r="E125" s="33" t="s">
        <v>940</v>
      </c>
      <c r="F125" s="31" t="s">
        <v>131</v>
      </c>
      <c r="G125" s="31" t="s">
        <v>3665</v>
      </c>
      <c r="H125" s="31" t="s">
        <v>3666</v>
      </c>
      <c r="I125" s="31" t="s">
        <v>3842</v>
      </c>
      <c r="J125" s="37" t="s">
        <v>4047</v>
      </c>
      <c r="K125" s="31" t="s">
        <v>2328</v>
      </c>
      <c r="L125" s="31" t="s">
        <v>270</v>
      </c>
      <c r="M125" s="31" t="s">
        <v>2232</v>
      </c>
      <c r="N125" s="31" t="s">
        <v>2328</v>
      </c>
    </row>
    <row r="126" spans="1:14" ht="75" x14ac:dyDescent="0.25">
      <c r="A126" s="31" t="s">
        <v>2810</v>
      </c>
      <c r="B126" s="32" t="s">
        <v>941</v>
      </c>
      <c r="C126" s="31" t="b">
        <v>0</v>
      </c>
      <c r="D126" s="31">
        <v>4</v>
      </c>
      <c r="E126" s="33" t="s">
        <v>943</v>
      </c>
      <c r="F126" s="31" t="s">
        <v>131</v>
      </c>
      <c r="G126" s="31" t="s">
        <v>3665</v>
      </c>
      <c r="H126" s="31" t="s">
        <v>3666</v>
      </c>
      <c r="I126" s="31" t="s">
        <v>3842</v>
      </c>
      <c r="J126" s="37" t="s">
        <v>4047</v>
      </c>
      <c r="K126" s="31" t="s">
        <v>2328</v>
      </c>
      <c r="L126" s="31" t="s">
        <v>270</v>
      </c>
      <c r="M126" s="31" t="s">
        <v>2232</v>
      </c>
      <c r="N126" s="31" t="s">
        <v>2328</v>
      </c>
    </row>
    <row r="127" spans="1:14" ht="75" x14ac:dyDescent="0.25">
      <c r="A127" s="31" t="s">
        <v>2811</v>
      </c>
      <c r="B127" s="32" t="s">
        <v>944</v>
      </c>
      <c r="C127" s="31" t="b">
        <v>0</v>
      </c>
      <c r="D127" s="31">
        <v>4</v>
      </c>
      <c r="E127" s="33" t="s">
        <v>946</v>
      </c>
      <c r="F127" s="31" t="s">
        <v>131</v>
      </c>
      <c r="G127" s="31" t="s">
        <v>3665</v>
      </c>
      <c r="H127" s="31" t="s">
        <v>3666</v>
      </c>
      <c r="I127" s="31" t="s">
        <v>3842</v>
      </c>
      <c r="J127" s="37" t="s">
        <v>4047</v>
      </c>
      <c r="K127" s="31" t="s">
        <v>2328</v>
      </c>
      <c r="L127" s="31" t="s">
        <v>270</v>
      </c>
      <c r="M127" s="31" t="s">
        <v>2232</v>
      </c>
      <c r="N127" s="31" t="s">
        <v>2328</v>
      </c>
    </row>
    <row r="128" spans="1:14" ht="75" x14ac:dyDescent="0.25">
      <c r="A128" s="31" t="s">
        <v>2812</v>
      </c>
      <c r="B128" s="32" t="s">
        <v>947</v>
      </c>
      <c r="C128" s="31" t="b">
        <v>0</v>
      </c>
      <c r="D128" s="31">
        <v>4</v>
      </c>
      <c r="E128" s="33" t="s">
        <v>949</v>
      </c>
      <c r="F128" s="31" t="s">
        <v>131</v>
      </c>
      <c r="G128" s="31" t="s">
        <v>3665</v>
      </c>
      <c r="H128" s="31" t="s">
        <v>3666</v>
      </c>
      <c r="I128" s="31" t="s">
        <v>3842</v>
      </c>
      <c r="J128" s="37" t="s">
        <v>4047</v>
      </c>
      <c r="K128" s="31" t="s">
        <v>2328</v>
      </c>
      <c r="L128" s="31" t="s">
        <v>270</v>
      </c>
      <c r="M128" s="31" t="s">
        <v>2232</v>
      </c>
      <c r="N128" s="31" t="s">
        <v>2328</v>
      </c>
    </row>
    <row r="129" spans="1:14" ht="75" x14ac:dyDescent="0.25">
      <c r="A129" s="31" t="s">
        <v>2813</v>
      </c>
      <c r="B129" s="32" t="s">
        <v>950</v>
      </c>
      <c r="C129" s="31" t="b">
        <v>0</v>
      </c>
      <c r="D129" s="31">
        <v>4</v>
      </c>
      <c r="E129" s="33" t="s">
        <v>952</v>
      </c>
      <c r="F129" s="31" t="s">
        <v>131</v>
      </c>
      <c r="G129" s="31" t="s">
        <v>3665</v>
      </c>
      <c r="H129" s="31" t="s">
        <v>3666</v>
      </c>
      <c r="I129" s="31" t="s">
        <v>3842</v>
      </c>
      <c r="J129" s="37" t="s">
        <v>4047</v>
      </c>
      <c r="K129" s="31" t="s">
        <v>2328</v>
      </c>
      <c r="L129" s="31" t="s">
        <v>270</v>
      </c>
      <c r="M129" s="31" t="s">
        <v>2232</v>
      </c>
      <c r="N129" s="31" t="s">
        <v>2328</v>
      </c>
    </row>
    <row r="130" spans="1:14" ht="75" x14ac:dyDescent="0.25">
      <c r="A130" s="31" t="s">
        <v>2814</v>
      </c>
      <c r="B130" s="32" t="s">
        <v>953</v>
      </c>
      <c r="C130" s="31" t="b">
        <v>0</v>
      </c>
      <c r="D130" s="31">
        <v>4</v>
      </c>
      <c r="E130" s="33" t="s">
        <v>955</v>
      </c>
      <c r="F130" s="31" t="s">
        <v>131</v>
      </c>
      <c r="G130" s="31" t="s">
        <v>3665</v>
      </c>
      <c r="H130" s="31" t="s">
        <v>3666</v>
      </c>
      <c r="I130" s="31" t="s">
        <v>3842</v>
      </c>
      <c r="J130" s="37" t="s">
        <v>4047</v>
      </c>
      <c r="K130" s="31" t="s">
        <v>2328</v>
      </c>
      <c r="L130" s="31" t="s">
        <v>270</v>
      </c>
      <c r="M130" s="31" t="s">
        <v>2232</v>
      </c>
      <c r="N130" s="31" t="s">
        <v>2328</v>
      </c>
    </row>
    <row r="131" spans="1:14" ht="75" x14ac:dyDescent="0.25">
      <c r="A131" s="31" t="s">
        <v>2815</v>
      </c>
      <c r="B131" s="32" t="s">
        <v>956</v>
      </c>
      <c r="C131" s="31" t="b">
        <v>0</v>
      </c>
      <c r="D131" s="31">
        <v>4</v>
      </c>
      <c r="E131" s="33" t="s">
        <v>958</v>
      </c>
      <c r="F131" s="31" t="s">
        <v>131</v>
      </c>
      <c r="G131" s="31" t="s">
        <v>3665</v>
      </c>
      <c r="H131" s="31" t="s">
        <v>3666</v>
      </c>
      <c r="I131" s="31" t="s">
        <v>3842</v>
      </c>
      <c r="J131" s="37" t="s">
        <v>4047</v>
      </c>
      <c r="K131" s="31" t="s">
        <v>2328</v>
      </c>
      <c r="L131" s="31" t="s">
        <v>270</v>
      </c>
      <c r="M131" s="31" t="s">
        <v>2232</v>
      </c>
      <c r="N131" s="31" t="s">
        <v>2328</v>
      </c>
    </row>
    <row r="132" spans="1:14" ht="75" x14ac:dyDescent="0.25">
      <c r="A132" s="31" t="s">
        <v>2816</v>
      </c>
      <c r="B132" s="32" t="s">
        <v>959</v>
      </c>
      <c r="C132" s="31" t="b">
        <v>0</v>
      </c>
      <c r="D132" s="31">
        <v>4</v>
      </c>
      <c r="E132" s="33" t="s">
        <v>961</v>
      </c>
      <c r="F132" s="31" t="s">
        <v>131</v>
      </c>
      <c r="G132" s="31" t="s">
        <v>3665</v>
      </c>
      <c r="H132" s="31" t="s">
        <v>3666</v>
      </c>
      <c r="I132" s="31" t="s">
        <v>3842</v>
      </c>
      <c r="J132" s="37" t="s">
        <v>4047</v>
      </c>
      <c r="K132" s="31" t="s">
        <v>2328</v>
      </c>
      <c r="L132" s="31" t="s">
        <v>270</v>
      </c>
      <c r="M132" s="31" t="s">
        <v>2232</v>
      </c>
      <c r="N132" s="31" t="s">
        <v>2328</v>
      </c>
    </row>
    <row r="133" spans="1:14" ht="75" x14ac:dyDescent="0.25">
      <c r="A133" s="31" t="s">
        <v>2817</v>
      </c>
      <c r="B133" s="32" t="s">
        <v>962</v>
      </c>
      <c r="C133" s="31" t="b">
        <v>0</v>
      </c>
      <c r="D133" s="31">
        <v>4</v>
      </c>
      <c r="E133" s="33" t="s">
        <v>964</v>
      </c>
      <c r="F133" s="31" t="s">
        <v>131</v>
      </c>
      <c r="G133" s="31" t="s">
        <v>3665</v>
      </c>
      <c r="H133" s="31" t="s">
        <v>3666</v>
      </c>
      <c r="I133" s="31" t="s">
        <v>3842</v>
      </c>
      <c r="J133" s="37" t="s">
        <v>4047</v>
      </c>
      <c r="K133" s="31" t="s">
        <v>2328</v>
      </c>
      <c r="L133" s="31" t="s">
        <v>270</v>
      </c>
      <c r="M133" s="31" t="s">
        <v>2232</v>
      </c>
      <c r="N133" s="31" t="s">
        <v>2328</v>
      </c>
    </row>
    <row r="134" spans="1:14" ht="75" x14ac:dyDescent="0.25">
      <c r="A134" s="31" t="s">
        <v>2818</v>
      </c>
      <c r="B134" s="32" t="s">
        <v>965</v>
      </c>
      <c r="C134" s="31" t="b">
        <v>0</v>
      </c>
      <c r="D134" s="31">
        <v>4</v>
      </c>
      <c r="E134" s="33" t="s">
        <v>967</v>
      </c>
      <c r="F134" s="31" t="s">
        <v>131</v>
      </c>
      <c r="G134" s="31" t="s">
        <v>3665</v>
      </c>
      <c r="H134" s="31" t="s">
        <v>3666</v>
      </c>
      <c r="I134" s="31" t="s">
        <v>3842</v>
      </c>
      <c r="J134" s="37" t="s">
        <v>4047</v>
      </c>
      <c r="K134" s="31" t="s">
        <v>2328</v>
      </c>
      <c r="L134" s="31" t="s">
        <v>270</v>
      </c>
      <c r="M134" s="31" t="s">
        <v>2232</v>
      </c>
      <c r="N134" s="31" t="s">
        <v>2328</v>
      </c>
    </row>
    <row r="135" spans="1:14" ht="75" x14ac:dyDescent="0.25">
      <c r="A135" s="31" t="s">
        <v>2819</v>
      </c>
      <c r="B135" s="32" t="s">
        <v>968</v>
      </c>
      <c r="C135" s="31" t="b">
        <v>0</v>
      </c>
      <c r="D135" s="31">
        <v>4</v>
      </c>
      <c r="E135" s="33" t="s">
        <v>970</v>
      </c>
      <c r="F135" s="31" t="s">
        <v>131</v>
      </c>
      <c r="G135" s="31" t="s">
        <v>3665</v>
      </c>
      <c r="H135" s="31" t="s">
        <v>3666</v>
      </c>
      <c r="I135" s="31" t="s">
        <v>3842</v>
      </c>
      <c r="J135" s="37" t="s">
        <v>4047</v>
      </c>
      <c r="K135" s="31" t="s">
        <v>2328</v>
      </c>
      <c r="L135" s="31" t="s">
        <v>270</v>
      </c>
      <c r="M135" s="31" t="s">
        <v>2232</v>
      </c>
      <c r="N135" s="31" t="s">
        <v>2328</v>
      </c>
    </row>
    <row r="136" spans="1:14" x14ac:dyDescent="0.25">
      <c r="B136" s="32" t="s">
        <v>4003</v>
      </c>
      <c r="C136" s="31" t="b">
        <v>1</v>
      </c>
      <c r="D136" s="31">
        <v>0</v>
      </c>
      <c r="E136" s="33" t="s">
        <v>3994</v>
      </c>
      <c r="F136" s="31" t="s">
        <v>3443</v>
      </c>
      <c r="G136" s="31" t="s">
        <v>3665</v>
      </c>
      <c r="H136" s="31" t="s">
        <v>3666</v>
      </c>
      <c r="I136" s="31" t="s">
        <v>3842</v>
      </c>
      <c r="J136" s="37" t="s">
        <v>4038</v>
      </c>
      <c r="K136" s="31" t="s">
        <v>2328</v>
      </c>
      <c r="L136" s="31" t="s">
        <v>4002</v>
      </c>
      <c r="M136" s="31" t="s">
        <v>3419</v>
      </c>
      <c r="N136" s="31" t="s">
        <v>2328</v>
      </c>
    </row>
    <row r="137" spans="1:14" x14ac:dyDescent="0.25">
      <c r="B137" s="32" t="s">
        <v>4004</v>
      </c>
      <c r="C137" s="31" t="b">
        <v>1</v>
      </c>
      <c r="D137" s="31">
        <v>2</v>
      </c>
      <c r="E137" s="33" t="s">
        <v>3995</v>
      </c>
      <c r="F137" s="31" t="s">
        <v>3443</v>
      </c>
      <c r="G137" s="31" t="s">
        <v>3665</v>
      </c>
      <c r="H137" s="31" t="s">
        <v>3666</v>
      </c>
      <c r="I137" s="31" t="s">
        <v>3842</v>
      </c>
      <c r="J137" s="37" t="s">
        <v>4038</v>
      </c>
      <c r="K137" s="31" t="s">
        <v>2328</v>
      </c>
      <c r="L137" s="31" t="s">
        <v>4002</v>
      </c>
      <c r="M137" s="31" t="s">
        <v>3419</v>
      </c>
      <c r="N137" s="31" t="s">
        <v>2328</v>
      </c>
    </row>
    <row r="138" spans="1:14" ht="75" x14ac:dyDescent="0.25">
      <c r="B138" s="32" t="s">
        <v>4005</v>
      </c>
      <c r="C138" s="31" t="b">
        <v>0</v>
      </c>
      <c r="D138" s="31">
        <v>4</v>
      </c>
      <c r="E138" s="46" t="s">
        <v>4062</v>
      </c>
      <c r="F138" s="31" t="s">
        <v>139</v>
      </c>
      <c r="G138" s="31" t="s">
        <v>3665</v>
      </c>
      <c r="H138" s="31" t="s">
        <v>3666</v>
      </c>
      <c r="I138" s="31" t="s">
        <v>3842</v>
      </c>
      <c r="J138" s="37" t="s">
        <v>4038</v>
      </c>
      <c r="K138" s="31" t="s">
        <v>2328</v>
      </c>
      <c r="L138" s="31" t="s">
        <v>4002</v>
      </c>
      <c r="M138" s="31" t="s">
        <v>3419</v>
      </c>
    </row>
    <row r="139" spans="1:14" ht="45" x14ac:dyDescent="0.25">
      <c r="B139" s="32" t="s">
        <v>4006</v>
      </c>
      <c r="C139" s="31" t="b">
        <v>0</v>
      </c>
      <c r="D139" s="31">
        <v>4</v>
      </c>
      <c r="E139" s="33" t="s">
        <v>4039</v>
      </c>
      <c r="F139" s="31" t="s">
        <v>139</v>
      </c>
      <c r="G139" s="31" t="s">
        <v>3665</v>
      </c>
      <c r="H139" s="31" t="s">
        <v>3666</v>
      </c>
      <c r="I139" s="31" t="s">
        <v>3842</v>
      </c>
      <c r="J139" s="37" t="s">
        <v>4038</v>
      </c>
      <c r="K139" s="31" t="s">
        <v>2328</v>
      </c>
      <c r="L139" s="31" t="s">
        <v>4002</v>
      </c>
      <c r="M139" s="31" t="s">
        <v>3419</v>
      </c>
    </row>
    <row r="140" spans="1:14" ht="32.450000000000003" customHeight="1" x14ac:dyDescent="0.25">
      <c r="B140" s="32" t="s">
        <v>4007</v>
      </c>
      <c r="C140" s="31" t="b">
        <v>0</v>
      </c>
      <c r="D140" s="31">
        <v>6</v>
      </c>
      <c r="E140" s="46" t="s">
        <v>4040</v>
      </c>
      <c r="F140" s="31" t="s">
        <v>131</v>
      </c>
      <c r="G140" s="31" t="s">
        <v>3665</v>
      </c>
      <c r="H140" s="31" t="s">
        <v>3666</v>
      </c>
      <c r="I140" s="31" t="s">
        <v>3842</v>
      </c>
      <c r="J140" s="37" t="s">
        <v>4038</v>
      </c>
      <c r="K140" s="31" t="s">
        <v>2328</v>
      </c>
      <c r="L140" s="31" t="s">
        <v>4002</v>
      </c>
      <c r="M140" s="31" t="s">
        <v>3419</v>
      </c>
      <c r="N140" s="31" t="s">
        <v>2328</v>
      </c>
    </row>
    <row r="141" spans="1:14" ht="47.45" customHeight="1" x14ac:dyDescent="0.25">
      <c r="B141" s="32" t="s">
        <v>4008</v>
      </c>
      <c r="C141" s="31" t="b">
        <v>0</v>
      </c>
      <c r="D141" s="31">
        <v>6</v>
      </c>
      <c r="E141" s="33" t="s">
        <v>4041</v>
      </c>
      <c r="F141" s="31" t="s">
        <v>131</v>
      </c>
      <c r="G141" s="31" t="s">
        <v>3665</v>
      </c>
      <c r="H141" s="31" t="s">
        <v>3666</v>
      </c>
      <c r="I141" s="31" t="s">
        <v>3842</v>
      </c>
      <c r="J141" s="37" t="s">
        <v>4038</v>
      </c>
      <c r="K141" s="31" t="s">
        <v>2328</v>
      </c>
      <c r="L141" s="31" t="s">
        <v>4002</v>
      </c>
      <c r="M141" s="31" t="s">
        <v>3419</v>
      </c>
    </row>
    <row r="142" spans="1:14" ht="18" customHeight="1" x14ac:dyDescent="0.25">
      <c r="B142" s="32" t="s">
        <v>4009</v>
      </c>
      <c r="C142" s="31" t="b">
        <v>0</v>
      </c>
      <c r="D142" s="31">
        <v>6</v>
      </c>
      <c r="E142" s="46" t="s">
        <v>4042</v>
      </c>
      <c r="F142" s="31" t="s">
        <v>131</v>
      </c>
      <c r="G142" s="31" t="s">
        <v>3665</v>
      </c>
      <c r="H142" s="31" t="s">
        <v>3666</v>
      </c>
      <c r="I142" s="31" t="s">
        <v>3842</v>
      </c>
      <c r="J142" s="37" t="s">
        <v>4038</v>
      </c>
      <c r="K142" s="31" t="s">
        <v>2328</v>
      </c>
      <c r="L142" s="31" t="s">
        <v>4002</v>
      </c>
      <c r="M142" s="31" t="s">
        <v>3419</v>
      </c>
    </row>
    <row r="143" spans="1:14" ht="18" customHeight="1" x14ac:dyDescent="0.25">
      <c r="B143" s="32" t="s">
        <v>4010</v>
      </c>
      <c r="C143" s="31" t="b">
        <v>0</v>
      </c>
      <c r="D143" s="31">
        <v>6</v>
      </c>
      <c r="E143" s="46" t="s">
        <v>4043</v>
      </c>
      <c r="F143" s="31" t="s">
        <v>131</v>
      </c>
      <c r="G143" s="31" t="s">
        <v>3665</v>
      </c>
      <c r="H143" s="31" t="s">
        <v>3666</v>
      </c>
      <c r="I143" s="31" t="s">
        <v>3842</v>
      </c>
      <c r="J143" s="37" t="s">
        <v>4038</v>
      </c>
      <c r="K143" s="31" t="s">
        <v>2328</v>
      </c>
      <c r="L143" s="31" t="s">
        <v>4002</v>
      </c>
      <c r="M143" s="31" t="s">
        <v>3419</v>
      </c>
    </row>
    <row r="144" spans="1:14" ht="30" x14ac:dyDescent="0.25">
      <c r="B144" s="32" t="s">
        <v>4011</v>
      </c>
      <c r="C144" s="31" t="b">
        <v>0</v>
      </c>
      <c r="D144" s="31">
        <v>6</v>
      </c>
      <c r="E144" s="46" t="s">
        <v>4044</v>
      </c>
      <c r="F144" s="31" t="s">
        <v>131</v>
      </c>
      <c r="G144" s="31" t="s">
        <v>3665</v>
      </c>
      <c r="H144" s="31" t="s">
        <v>3666</v>
      </c>
      <c r="I144" s="31" t="s">
        <v>3842</v>
      </c>
      <c r="J144" s="37" t="s">
        <v>4038</v>
      </c>
      <c r="K144" s="31" t="s">
        <v>2328</v>
      </c>
      <c r="L144" s="31" t="s">
        <v>4002</v>
      </c>
      <c r="M144" s="31" t="s">
        <v>3419</v>
      </c>
      <c r="N144" s="31" t="s">
        <v>2328</v>
      </c>
    </row>
    <row r="145" spans="2:14" x14ac:dyDescent="0.25">
      <c r="B145" s="32" t="s">
        <v>4012</v>
      </c>
      <c r="C145" s="31" t="b">
        <v>1</v>
      </c>
      <c r="D145" s="31">
        <v>2</v>
      </c>
      <c r="E145" s="33" t="s">
        <v>4045</v>
      </c>
      <c r="F145" s="31" t="s">
        <v>3443</v>
      </c>
      <c r="G145" s="31" t="s">
        <v>3665</v>
      </c>
      <c r="H145" s="31" t="s">
        <v>3666</v>
      </c>
      <c r="I145" s="31" t="s">
        <v>3842</v>
      </c>
      <c r="J145" s="37" t="s">
        <v>4038</v>
      </c>
      <c r="K145" s="31" t="s">
        <v>2328</v>
      </c>
      <c r="L145" s="31" t="s">
        <v>4002</v>
      </c>
      <c r="M145" s="31" t="s">
        <v>3419</v>
      </c>
    </row>
    <row r="146" spans="2:14" x14ac:dyDescent="0.25">
      <c r="B146" s="32" t="s">
        <v>4013</v>
      </c>
      <c r="C146" s="31" t="b">
        <v>0</v>
      </c>
      <c r="D146" s="31">
        <v>4</v>
      </c>
      <c r="E146" s="46" t="s">
        <v>3996</v>
      </c>
      <c r="F146" s="31" t="s">
        <v>131</v>
      </c>
      <c r="G146" s="31" t="s">
        <v>3665</v>
      </c>
      <c r="H146" s="31" t="s">
        <v>3666</v>
      </c>
      <c r="I146" s="31" t="s">
        <v>3842</v>
      </c>
      <c r="J146" s="37" t="s">
        <v>4038</v>
      </c>
      <c r="K146" s="31" t="s">
        <v>2328</v>
      </c>
      <c r="L146" s="31" t="s">
        <v>4002</v>
      </c>
      <c r="M146" s="31" t="s">
        <v>3419</v>
      </c>
    </row>
    <row r="147" spans="2:14" x14ac:dyDescent="0.25">
      <c r="B147" s="32" t="s">
        <v>4014</v>
      </c>
      <c r="C147" s="31" t="b">
        <v>0</v>
      </c>
      <c r="D147" s="31">
        <v>4</v>
      </c>
      <c r="E147" s="46" t="s">
        <v>3997</v>
      </c>
      <c r="F147" s="31" t="s">
        <v>131</v>
      </c>
      <c r="G147" s="31" t="s">
        <v>3665</v>
      </c>
      <c r="H147" s="31" t="s">
        <v>3666</v>
      </c>
      <c r="I147" s="31" t="s">
        <v>3842</v>
      </c>
      <c r="J147" s="37" t="s">
        <v>4038</v>
      </c>
      <c r="K147" s="31" t="s">
        <v>2328</v>
      </c>
      <c r="L147" s="31" t="s">
        <v>4002</v>
      </c>
      <c r="M147" s="31" t="s">
        <v>3419</v>
      </c>
    </row>
    <row r="148" spans="2:14" x14ac:dyDescent="0.25">
      <c r="B148" s="32" t="s">
        <v>4049</v>
      </c>
      <c r="C148" s="31" t="b">
        <v>0</v>
      </c>
      <c r="D148" s="31">
        <v>4</v>
      </c>
      <c r="E148" s="46" t="s">
        <v>4046</v>
      </c>
      <c r="F148" s="31" t="s">
        <v>131</v>
      </c>
      <c r="G148" s="31" t="s">
        <v>3665</v>
      </c>
      <c r="H148" s="31" t="s">
        <v>3666</v>
      </c>
      <c r="I148" s="31" t="s">
        <v>3842</v>
      </c>
      <c r="J148" s="37" t="s">
        <v>4038</v>
      </c>
      <c r="K148" s="31" t="s">
        <v>2328</v>
      </c>
      <c r="L148" s="31" t="s">
        <v>4002</v>
      </c>
      <c r="M148" s="31" t="s">
        <v>3419</v>
      </c>
    </row>
    <row r="149" spans="2:14" x14ac:dyDescent="0.25">
      <c r="B149" s="32" t="s">
        <v>4015</v>
      </c>
      <c r="C149" s="31" t="b">
        <v>1</v>
      </c>
      <c r="D149" s="31">
        <v>4</v>
      </c>
      <c r="E149" s="33" t="s">
        <v>3998</v>
      </c>
      <c r="F149" s="31" t="s">
        <v>3443</v>
      </c>
      <c r="G149" s="31" t="s">
        <v>3665</v>
      </c>
      <c r="H149" s="31" t="s">
        <v>3666</v>
      </c>
      <c r="I149" s="31" t="s">
        <v>3842</v>
      </c>
      <c r="J149" s="37" t="s">
        <v>4038</v>
      </c>
      <c r="K149" s="31" t="s">
        <v>2328</v>
      </c>
      <c r="L149" s="31" t="s">
        <v>4002</v>
      </c>
      <c r="M149" s="31" t="s">
        <v>3419</v>
      </c>
      <c r="N149" s="31" t="s">
        <v>2328</v>
      </c>
    </row>
    <row r="150" spans="2:14" ht="30" x14ac:dyDescent="0.25">
      <c r="B150" s="32" t="s">
        <v>4016</v>
      </c>
      <c r="C150" s="31" t="b">
        <v>0</v>
      </c>
      <c r="D150" s="31">
        <v>6</v>
      </c>
      <c r="E150" s="46" t="s">
        <v>4050</v>
      </c>
      <c r="F150" s="31" t="s">
        <v>131</v>
      </c>
      <c r="G150" s="31" t="s">
        <v>3665</v>
      </c>
      <c r="H150" s="31" t="s">
        <v>3666</v>
      </c>
      <c r="I150" s="31" t="s">
        <v>3842</v>
      </c>
      <c r="J150" s="37" t="s">
        <v>4038</v>
      </c>
      <c r="K150" s="31" t="s">
        <v>2328</v>
      </c>
      <c r="L150" s="31" t="s">
        <v>4002</v>
      </c>
      <c r="M150" s="31" t="s">
        <v>3419</v>
      </c>
      <c r="N150" s="31" t="s">
        <v>2328</v>
      </c>
    </row>
    <row r="151" spans="2:14" ht="30" x14ac:dyDescent="0.25">
      <c r="B151" s="32" t="s">
        <v>4017</v>
      </c>
      <c r="C151" s="31" t="b">
        <v>0</v>
      </c>
      <c r="D151" s="31">
        <v>6</v>
      </c>
      <c r="E151" s="46" t="s">
        <v>4051</v>
      </c>
      <c r="F151" s="31" t="s">
        <v>131</v>
      </c>
      <c r="G151" s="31" t="s">
        <v>3665</v>
      </c>
      <c r="H151" s="31" t="s">
        <v>3666</v>
      </c>
      <c r="I151" s="31" t="s">
        <v>3842</v>
      </c>
      <c r="J151" s="37" t="s">
        <v>4038</v>
      </c>
      <c r="K151" s="31" t="s">
        <v>2328</v>
      </c>
      <c r="L151" s="31" t="s">
        <v>4002</v>
      </c>
      <c r="M151" s="31" t="s">
        <v>3419</v>
      </c>
      <c r="N151" s="31" t="s">
        <v>2328</v>
      </c>
    </row>
    <row r="152" spans="2:14" ht="30" x14ac:dyDescent="0.25">
      <c r="B152" s="32" t="s">
        <v>4018</v>
      </c>
      <c r="C152" s="31" t="b">
        <v>0</v>
      </c>
      <c r="D152" s="31">
        <v>6</v>
      </c>
      <c r="E152" s="46" t="s">
        <v>4052</v>
      </c>
      <c r="F152" s="31" t="s">
        <v>131</v>
      </c>
      <c r="G152" s="31" t="s">
        <v>3665</v>
      </c>
      <c r="H152" s="31" t="s">
        <v>3666</v>
      </c>
      <c r="I152" s="31" t="s">
        <v>3842</v>
      </c>
      <c r="J152" s="37" t="s">
        <v>4038</v>
      </c>
      <c r="K152" s="31" t="s">
        <v>2328</v>
      </c>
      <c r="L152" s="31" t="s">
        <v>4002</v>
      </c>
      <c r="M152" s="31" t="s">
        <v>3419</v>
      </c>
      <c r="N152" s="31" t="s">
        <v>2328</v>
      </c>
    </row>
    <row r="153" spans="2:14" ht="30" x14ac:dyDescent="0.25">
      <c r="B153" s="32" t="s">
        <v>4019</v>
      </c>
      <c r="C153" s="31" t="b">
        <v>0</v>
      </c>
      <c r="D153" s="31">
        <v>6</v>
      </c>
      <c r="E153" s="46" t="s">
        <v>4053</v>
      </c>
      <c r="F153" s="31" t="s">
        <v>131</v>
      </c>
      <c r="G153" s="31" t="s">
        <v>3665</v>
      </c>
      <c r="H153" s="31" t="s">
        <v>3666</v>
      </c>
      <c r="I153" s="31" t="s">
        <v>3842</v>
      </c>
      <c r="J153" s="37" t="s">
        <v>4038</v>
      </c>
      <c r="K153" s="31" t="s">
        <v>2328</v>
      </c>
      <c r="L153" s="31" t="s">
        <v>4002</v>
      </c>
      <c r="M153" s="31" t="s">
        <v>3419</v>
      </c>
      <c r="N153" s="31" t="s">
        <v>2328</v>
      </c>
    </row>
    <row r="154" spans="2:14" ht="30" x14ac:dyDescent="0.25">
      <c r="B154" s="32" t="s">
        <v>4020</v>
      </c>
      <c r="C154" s="31" t="b">
        <v>0</v>
      </c>
      <c r="D154" s="31">
        <v>6</v>
      </c>
      <c r="E154" s="46" t="s">
        <v>4054</v>
      </c>
      <c r="F154" s="31" t="s">
        <v>131</v>
      </c>
      <c r="G154" s="31" t="s">
        <v>3665</v>
      </c>
      <c r="H154" s="31" t="s">
        <v>3666</v>
      </c>
      <c r="I154" s="31" t="s">
        <v>3842</v>
      </c>
      <c r="J154" s="37" t="s">
        <v>4038</v>
      </c>
      <c r="K154" s="31" t="s">
        <v>2328</v>
      </c>
      <c r="L154" s="31" t="s">
        <v>4002</v>
      </c>
      <c r="M154" s="31" t="s">
        <v>3419</v>
      </c>
      <c r="N154" s="31" t="s">
        <v>2328</v>
      </c>
    </row>
    <row r="155" spans="2:14" ht="30" x14ac:dyDescent="0.25">
      <c r="B155" s="32" t="s">
        <v>4021</v>
      </c>
      <c r="C155" s="31" t="b">
        <v>0</v>
      </c>
      <c r="D155" s="31">
        <v>6</v>
      </c>
      <c r="E155" s="46" t="s">
        <v>4055</v>
      </c>
      <c r="F155" s="31" t="s">
        <v>131</v>
      </c>
      <c r="G155" s="31" t="s">
        <v>3665</v>
      </c>
      <c r="H155" s="31" t="s">
        <v>3666</v>
      </c>
      <c r="I155" s="31" t="s">
        <v>3842</v>
      </c>
      <c r="J155" s="37" t="s">
        <v>4038</v>
      </c>
      <c r="K155" s="31" t="s">
        <v>2328</v>
      </c>
      <c r="L155" s="31" t="s">
        <v>4002</v>
      </c>
      <c r="M155" s="31" t="s">
        <v>3419</v>
      </c>
      <c r="N155" s="31" t="s">
        <v>2328</v>
      </c>
    </row>
    <row r="156" spans="2:14" x14ac:dyDescent="0.25">
      <c r="B156" s="32" t="s">
        <v>4022</v>
      </c>
      <c r="C156" s="31" t="b">
        <v>0</v>
      </c>
      <c r="D156" s="31">
        <v>6</v>
      </c>
      <c r="E156" s="46" t="s">
        <v>4056</v>
      </c>
      <c r="F156" s="31" t="s">
        <v>131</v>
      </c>
      <c r="G156" s="31" t="s">
        <v>3665</v>
      </c>
      <c r="H156" s="31" t="s">
        <v>3666</v>
      </c>
      <c r="I156" s="31" t="s">
        <v>3842</v>
      </c>
      <c r="J156" s="37" t="s">
        <v>4038</v>
      </c>
      <c r="K156" s="31" t="s">
        <v>2328</v>
      </c>
      <c r="L156" s="31" t="s">
        <v>4002</v>
      </c>
      <c r="M156" s="31" t="s">
        <v>3419</v>
      </c>
      <c r="N156" s="31" t="s">
        <v>2328</v>
      </c>
    </row>
    <row r="157" spans="2:14" ht="30" x14ac:dyDescent="0.25">
      <c r="B157" s="32" t="s">
        <v>4023</v>
      </c>
      <c r="C157" s="31" t="b">
        <v>0</v>
      </c>
      <c r="D157" s="31">
        <v>6</v>
      </c>
      <c r="E157" s="46" t="s">
        <v>4057</v>
      </c>
      <c r="F157" s="31" t="s">
        <v>131</v>
      </c>
      <c r="G157" s="31" t="s">
        <v>3665</v>
      </c>
      <c r="H157" s="31" t="s">
        <v>3666</v>
      </c>
      <c r="I157" s="31" t="s">
        <v>3842</v>
      </c>
      <c r="J157" s="37" t="s">
        <v>4038</v>
      </c>
      <c r="K157" s="31" t="s">
        <v>2328</v>
      </c>
      <c r="L157" s="31" t="s">
        <v>4002</v>
      </c>
      <c r="M157" s="31" t="s">
        <v>3419</v>
      </c>
      <c r="N157" s="31" t="s">
        <v>2328</v>
      </c>
    </row>
    <row r="158" spans="2:14" ht="30" x14ac:dyDescent="0.25">
      <c r="B158" s="32" t="s">
        <v>4024</v>
      </c>
      <c r="C158" s="31" t="b">
        <v>0</v>
      </c>
      <c r="D158" s="31">
        <v>6</v>
      </c>
      <c r="E158" s="46" t="s">
        <v>4058</v>
      </c>
      <c r="F158" s="31" t="s">
        <v>131</v>
      </c>
      <c r="G158" s="31" t="s">
        <v>3665</v>
      </c>
      <c r="H158" s="31" t="s">
        <v>3666</v>
      </c>
      <c r="I158" s="31" t="s">
        <v>3842</v>
      </c>
      <c r="J158" s="37" t="s">
        <v>4038</v>
      </c>
      <c r="K158" s="31" t="s">
        <v>2328</v>
      </c>
      <c r="L158" s="31" t="s">
        <v>4002</v>
      </c>
      <c r="M158" s="31" t="s">
        <v>3419</v>
      </c>
    </row>
    <row r="159" spans="2:14" ht="30" x14ac:dyDescent="0.25">
      <c r="B159" s="32" t="s">
        <v>4025</v>
      </c>
      <c r="C159" s="31" t="b">
        <v>0</v>
      </c>
      <c r="D159" s="31">
        <v>6</v>
      </c>
      <c r="E159" s="46" t="s">
        <v>4059</v>
      </c>
      <c r="F159" s="31" t="s">
        <v>131</v>
      </c>
      <c r="G159" s="31" t="s">
        <v>3665</v>
      </c>
      <c r="H159" s="31" t="s">
        <v>3666</v>
      </c>
      <c r="I159" s="31" t="s">
        <v>3842</v>
      </c>
      <c r="J159" s="37" t="s">
        <v>4038</v>
      </c>
      <c r="K159" s="31" t="s">
        <v>2328</v>
      </c>
      <c r="L159" s="31" t="s">
        <v>4002</v>
      </c>
      <c r="M159" s="31" t="s">
        <v>3419</v>
      </c>
    </row>
    <row r="160" spans="2:14" x14ac:dyDescent="0.25">
      <c r="B160" s="32" t="s">
        <v>4026</v>
      </c>
      <c r="E160" s="46" t="s">
        <v>4030</v>
      </c>
      <c r="F160" s="31" t="s">
        <v>131</v>
      </c>
      <c r="G160" s="31" t="s">
        <v>3665</v>
      </c>
      <c r="H160" s="31" t="s">
        <v>3666</v>
      </c>
      <c r="I160" s="31" t="s">
        <v>3842</v>
      </c>
      <c r="J160" s="37" t="s">
        <v>4038</v>
      </c>
      <c r="K160" s="31" t="s">
        <v>2328</v>
      </c>
      <c r="L160" s="31" t="s">
        <v>4002</v>
      </c>
      <c r="M160" s="31" t="s">
        <v>3419</v>
      </c>
    </row>
    <row r="161" spans="1:14" x14ac:dyDescent="0.25">
      <c r="B161" s="32" t="s">
        <v>4027</v>
      </c>
      <c r="C161" s="31" t="b">
        <v>1</v>
      </c>
      <c r="D161" s="31">
        <v>2</v>
      </c>
      <c r="E161" s="33" t="s">
        <v>4000</v>
      </c>
      <c r="F161" s="31" t="s">
        <v>3443</v>
      </c>
      <c r="G161" s="31" t="s">
        <v>3665</v>
      </c>
      <c r="H161" s="31" t="s">
        <v>3666</v>
      </c>
      <c r="I161" s="31" t="s">
        <v>3842</v>
      </c>
      <c r="J161" s="37" t="s">
        <v>4038</v>
      </c>
      <c r="K161" s="31" t="s">
        <v>2328</v>
      </c>
      <c r="L161" s="31" t="s">
        <v>4002</v>
      </c>
      <c r="M161" s="31" t="s">
        <v>3419</v>
      </c>
      <c r="N161" s="31" t="s">
        <v>2328</v>
      </c>
    </row>
    <row r="162" spans="1:14" ht="87.6" customHeight="1" x14ac:dyDescent="0.25">
      <c r="B162" s="32" t="s">
        <v>4028</v>
      </c>
      <c r="C162" s="31" t="b">
        <v>0</v>
      </c>
      <c r="D162" s="31">
        <v>4</v>
      </c>
      <c r="E162" s="46" t="s">
        <v>4187</v>
      </c>
      <c r="F162" s="31" t="s">
        <v>139</v>
      </c>
      <c r="G162" s="31" t="s">
        <v>3665</v>
      </c>
      <c r="H162" s="31" t="s">
        <v>3666</v>
      </c>
      <c r="I162" s="31" t="s">
        <v>3842</v>
      </c>
      <c r="J162" s="37" t="s">
        <v>4038</v>
      </c>
      <c r="K162" s="31" t="s">
        <v>2328</v>
      </c>
      <c r="L162" s="31" t="s">
        <v>4002</v>
      </c>
      <c r="M162" s="31" t="s">
        <v>3419</v>
      </c>
    </row>
    <row r="163" spans="1:14" ht="30" x14ac:dyDescent="0.25">
      <c r="B163" s="32" t="s">
        <v>4031</v>
      </c>
      <c r="C163" s="31" t="b">
        <v>0</v>
      </c>
      <c r="D163" s="31">
        <v>4</v>
      </c>
      <c r="E163" s="46" t="s">
        <v>3999</v>
      </c>
      <c r="F163" s="31" t="s">
        <v>131</v>
      </c>
      <c r="G163" s="31" t="s">
        <v>3665</v>
      </c>
      <c r="H163" s="31" t="s">
        <v>3666</v>
      </c>
      <c r="I163" s="31" t="s">
        <v>3842</v>
      </c>
      <c r="J163" s="37" t="s">
        <v>4038</v>
      </c>
      <c r="K163" s="31" t="s">
        <v>2328</v>
      </c>
      <c r="L163" s="31" t="s">
        <v>4002</v>
      </c>
      <c r="M163" s="31" t="s">
        <v>3419</v>
      </c>
      <c r="N163" s="31" t="s">
        <v>2328</v>
      </c>
    </row>
    <row r="164" spans="1:14" ht="75" x14ac:dyDescent="0.25">
      <c r="A164" s="31" t="s">
        <v>2328</v>
      </c>
      <c r="B164" s="32" t="s">
        <v>971</v>
      </c>
      <c r="C164" s="31" t="b">
        <v>1</v>
      </c>
      <c r="D164" s="31">
        <v>0</v>
      </c>
      <c r="E164" s="33" t="s">
        <v>2342</v>
      </c>
      <c r="F164" s="31" t="s">
        <v>3443</v>
      </c>
      <c r="G164" s="31" t="s">
        <v>3665</v>
      </c>
      <c r="H164" s="31" t="s">
        <v>3666</v>
      </c>
      <c r="I164" s="31" t="s">
        <v>3842</v>
      </c>
      <c r="J164" s="37" t="s">
        <v>4047</v>
      </c>
      <c r="K164" s="31" t="s">
        <v>2328</v>
      </c>
      <c r="L164" s="31" t="s">
        <v>278</v>
      </c>
      <c r="M164" s="31" t="s">
        <v>2232</v>
      </c>
      <c r="N164" s="31" t="s">
        <v>2328</v>
      </c>
    </row>
    <row r="165" spans="1:14" ht="75" x14ac:dyDescent="0.25">
      <c r="A165" s="31" t="s">
        <v>2328</v>
      </c>
      <c r="B165" s="32" t="s">
        <v>972</v>
      </c>
      <c r="C165" s="31" t="b">
        <v>1</v>
      </c>
      <c r="D165" s="31">
        <v>2</v>
      </c>
      <c r="E165" s="34" t="s">
        <v>2343</v>
      </c>
      <c r="F165" s="31" t="s">
        <v>3443</v>
      </c>
      <c r="G165" s="31" t="s">
        <v>3665</v>
      </c>
      <c r="H165" s="31" t="s">
        <v>3666</v>
      </c>
      <c r="I165" s="31" t="s">
        <v>3842</v>
      </c>
      <c r="J165" s="37" t="s">
        <v>4047</v>
      </c>
      <c r="K165" s="31" t="s">
        <v>2328</v>
      </c>
      <c r="L165" s="31" t="s">
        <v>278</v>
      </c>
      <c r="M165" s="31" t="s">
        <v>2232</v>
      </c>
      <c r="N165" s="31" t="s">
        <v>2328</v>
      </c>
    </row>
    <row r="166" spans="1:14" ht="75" x14ac:dyDescent="0.25">
      <c r="A166" s="31" t="s">
        <v>2820</v>
      </c>
      <c r="B166" s="32" t="s">
        <v>973</v>
      </c>
      <c r="C166" s="31" t="b">
        <v>0</v>
      </c>
      <c r="D166" s="31">
        <v>4</v>
      </c>
      <c r="E166" s="35" t="s">
        <v>279</v>
      </c>
      <c r="F166" s="31" t="s">
        <v>131</v>
      </c>
      <c r="G166" s="31" t="s">
        <v>3665</v>
      </c>
      <c r="H166" s="31" t="s">
        <v>3666</v>
      </c>
      <c r="I166" s="31" t="s">
        <v>3842</v>
      </c>
      <c r="J166" s="37" t="s">
        <v>4047</v>
      </c>
      <c r="K166" s="31" t="s">
        <v>2328</v>
      </c>
      <c r="L166" s="31" t="s">
        <v>278</v>
      </c>
      <c r="M166" s="31" t="s">
        <v>2232</v>
      </c>
      <c r="N166" s="31" t="s">
        <v>2328</v>
      </c>
    </row>
    <row r="167" spans="1:14" ht="75" x14ac:dyDescent="0.25">
      <c r="A167" s="31" t="s">
        <v>2821</v>
      </c>
      <c r="B167" s="32" t="s">
        <v>974</v>
      </c>
      <c r="C167" s="31" t="b">
        <v>0</v>
      </c>
      <c r="D167" s="31">
        <v>4</v>
      </c>
      <c r="E167" s="35" t="s">
        <v>976</v>
      </c>
      <c r="F167" s="31" t="s">
        <v>131</v>
      </c>
      <c r="G167" s="31" t="s">
        <v>3665</v>
      </c>
      <c r="H167" s="31" t="s">
        <v>3666</v>
      </c>
      <c r="I167" s="31" t="s">
        <v>3842</v>
      </c>
      <c r="J167" s="37" t="s">
        <v>4047</v>
      </c>
      <c r="K167" s="31" t="s">
        <v>2328</v>
      </c>
      <c r="L167" s="31" t="s">
        <v>278</v>
      </c>
      <c r="M167" s="31" t="s">
        <v>2232</v>
      </c>
      <c r="N167" s="31" t="s">
        <v>2328</v>
      </c>
    </row>
    <row r="168" spans="1:14" ht="75" x14ac:dyDescent="0.25">
      <c r="A168" s="31" t="s">
        <v>2328</v>
      </c>
      <c r="B168" s="32" t="s">
        <v>977</v>
      </c>
      <c r="C168" s="31" t="b">
        <v>0</v>
      </c>
      <c r="D168" s="31">
        <v>4</v>
      </c>
      <c r="E168" s="35" t="s">
        <v>979</v>
      </c>
      <c r="F168" s="31" t="s">
        <v>139</v>
      </c>
      <c r="G168" s="31" t="s">
        <v>3665</v>
      </c>
      <c r="H168" s="31" t="s">
        <v>3666</v>
      </c>
      <c r="I168" s="31" t="s">
        <v>3842</v>
      </c>
      <c r="J168" s="37" t="s">
        <v>4047</v>
      </c>
      <c r="K168" s="31" t="s">
        <v>2328</v>
      </c>
      <c r="L168" s="31" t="s">
        <v>278</v>
      </c>
      <c r="M168" s="31" t="s">
        <v>2232</v>
      </c>
      <c r="N168" s="31" t="s">
        <v>2328</v>
      </c>
    </row>
    <row r="169" spans="1:14" ht="75" x14ac:dyDescent="0.25">
      <c r="A169" s="31" t="s">
        <v>2328</v>
      </c>
      <c r="B169" s="32" t="s">
        <v>980</v>
      </c>
      <c r="C169" s="31" t="b">
        <v>1</v>
      </c>
      <c r="D169" s="31">
        <v>2</v>
      </c>
      <c r="E169" s="34" t="s">
        <v>2344</v>
      </c>
      <c r="F169" s="31" t="s">
        <v>3443</v>
      </c>
      <c r="G169" s="31" t="s">
        <v>3665</v>
      </c>
      <c r="H169" s="31" t="s">
        <v>3666</v>
      </c>
      <c r="I169" s="31" t="s">
        <v>3842</v>
      </c>
      <c r="J169" s="37" t="s">
        <v>4047</v>
      </c>
      <c r="K169" s="31" t="s">
        <v>2328</v>
      </c>
      <c r="L169" s="31" t="s">
        <v>278</v>
      </c>
      <c r="M169" s="31" t="s">
        <v>2232</v>
      </c>
      <c r="N169" s="31" t="s">
        <v>2328</v>
      </c>
    </row>
    <row r="170" spans="1:14" ht="75" x14ac:dyDescent="0.25">
      <c r="A170" s="31" t="s">
        <v>2822</v>
      </c>
      <c r="B170" s="32" t="s">
        <v>981</v>
      </c>
      <c r="C170" s="31" t="b">
        <v>0</v>
      </c>
      <c r="D170" s="31">
        <v>4</v>
      </c>
      <c r="E170" s="35" t="s">
        <v>982</v>
      </c>
      <c r="F170" s="31" t="s">
        <v>131</v>
      </c>
      <c r="G170" s="31" t="s">
        <v>3665</v>
      </c>
      <c r="H170" s="31" t="s">
        <v>3666</v>
      </c>
      <c r="I170" s="31" t="s">
        <v>3842</v>
      </c>
      <c r="J170" s="37" t="s">
        <v>4047</v>
      </c>
      <c r="K170" s="31" t="s">
        <v>2328</v>
      </c>
      <c r="L170" s="31" t="s">
        <v>282</v>
      </c>
      <c r="M170" s="31" t="s">
        <v>2232</v>
      </c>
      <c r="N170" s="31" t="s">
        <v>2328</v>
      </c>
    </row>
    <row r="171" spans="1:14" ht="75" x14ac:dyDescent="0.25">
      <c r="A171" s="31" t="s">
        <v>2823</v>
      </c>
      <c r="B171" s="32" t="s">
        <v>983</v>
      </c>
      <c r="C171" s="31" t="b">
        <v>1</v>
      </c>
      <c r="D171" s="31">
        <v>2</v>
      </c>
      <c r="E171" s="34" t="s">
        <v>3541</v>
      </c>
      <c r="F171" s="31" t="s">
        <v>3443</v>
      </c>
      <c r="G171" s="31" t="s">
        <v>3665</v>
      </c>
      <c r="H171" s="31" t="s">
        <v>3666</v>
      </c>
      <c r="I171" s="31" t="s">
        <v>3842</v>
      </c>
      <c r="J171" s="37" t="s">
        <v>4047</v>
      </c>
      <c r="K171" s="31" t="s">
        <v>2328</v>
      </c>
      <c r="L171" s="31" t="s">
        <v>278</v>
      </c>
      <c r="M171" s="31" t="s">
        <v>2232</v>
      </c>
      <c r="N171" s="31" t="s">
        <v>2328</v>
      </c>
    </row>
    <row r="172" spans="1:14" ht="75" x14ac:dyDescent="0.25">
      <c r="A172" s="31" t="s">
        <v>2824</v>
      </c>
      <c r="B172" s="32" t="s">
        <v>984</v>
      </c>
      <c r="C172" s="31" t="b">
        <v>0</v>
      </c>
      <c r="D172" s="31">
        <v>4</v>
      </c>
      <c r="E172" s="35" t="s">
        <v>2242</v>
      </c>
      <c r="F172" s="31" t="s">
        <v>131</v>
      </c>
      <c r="G172" s="31" t="s">
        <v>3665</v>
      </c>
      <c r="H172" s="31" t="s">
        <v>3666</v>
      </c>
      <c r="I172" s="31" t="s">
        <v>3842</v>
      </c>
      <c r="J172" s="37" t="s">
        <v>4047</v>
      </c>
      <c r="K172" s="31" t="s">
        <v>2328</v>
      </c>
      <c r="L172" s="31" t="s">
        <v>290</v>
      </c>
      <c r="M172" s="31" t="s">
        <v>2232</v>
      </c>
      <c r="N172" s="31" t="s">
        <v>2328</v>
      </c>
    </row>
    <row r="173" spans="1:14" ht="75" x14ac:dyDescent="0.25">
      <c r="A173" s="31" t="s">
        <v>2825</v>
      </c>
      <c r="B173" s="32" t="s">
        <v>985</v>
      </c>
      <c r="C173" s="31" t="b">
        <v>1</v>
      </c>
      <c r="D173" s="31">
        <v>2</v>
      </c>
      <c r="E173" s="34" t="s">
        <v>3542</v>
      </c>
      <c r="F173" s="31" t="s">
        <v>3443</v>
      </c>
      <c r="G173" s="31" t="s">
        <v>3665</v>
      </c>
      <c r="H173" s="31" t="s">
        <v>3666</v>
      </c>
      <c r="I173" s="31" t="s">
        <v>3842</v>
      </c>
      <c r="J173" s="37" t="s">
        <v>4047</v>
      </c>
      <c r="K173" s="31" t="s">
        <v>2328</v>
      </c>
      <c r="L173" s="31" t="s">
        <v>278</v>
      </c>
      <c r="M173" s="31" t="s">
        <v>2232</v>
      </c>
      <c r="N173" s="31" t="s">
        <v>2328</v>
      </c>
    </row>
    <row r="174" spans="1:14" ht="75" x14ac:dyDescent="0.25">
      <c r="A174" s="31" t="s">
        <v>2826</v>
      </c>
      <c r="B174" s="32" t="s">
        <v>986</v>
      </c>
      <c r="C174" s="31" t="b">
        <v>0</v>
      </c>
      <c r="D174" s="31">
        <v>4</v>
      </c>
      <c r="E174" s="35" t="s">
        <v>2243</v>
      </c>
      <c r="F174" s="31" t="s">
        <v>131</v>
      </c>
      <c r="G174" s="31" t="s">
        <v>3665</v>
      </c>
      <c r="H174" s="31" t="s">
        <v>3666</v>
      </c>
      <c r="I174" s="31" t="s">
        <v>3842</v>
      </c>
      <c r="J174" s="37" t="s">
        <v>4047</v>
      </c>
      <c r="K174" s="31" t="s">
        <v>2328</v>
      </c>
      <c r="L174" s="31" t="s">
        <v>286</v>
      </c>
      <c r="M174" s="31" t="s">
        <v>2232</v>
      </c>
      <c r="N174" s="31" t="s">
        <v>2328</v>
      </c>
    </row>
    <row r="175" spans="1:14" ht="75" x14ac:dyDescent="0.25">
      <c r="A175" s="31" t="s">
        <v>2328</v>
      </c>
      <c r="B175" s="32" t="s">
        <v>988</v>
      </c>
      <c r="C175" s="31" t="b">
        <v>1</v>
      </c>
      <c r="D175" s="31">
        <v>2</v>
      </c>
      <c r="E175" s="34" t="s">
        <v>2428</v>
      </c>
      <c r="F175" s="31" t="s">
        <v>3443</v>
      </c>
      <c r="G175" s="31" t="s">
        <v>3665</v>
      </c>
      <c r="H175" s="31" t="s">
        <v>3666</v>
      </c>
      <c r="I175" s="31" t="s">
        <v>3842</v>
      </c>
      <c r="J175" s="37" t="s">
        <v>4047</v>
      </c>
      <c r="K175" s="31" t="s">
        <v>2328</v>
      </c>
      <c r="L175" s="31" t="s">
        <v>288</v>
      </c>
      <c r="M175" s="31" t="s">
        <v>2232</v>
      </c>
      <c r="N175" s="31" t="s">
        <v>2328</v>
      </c>
    </row>
    <row r="176" spans="1:14" ht="75" x14ac:dyDescent="0.25">
      <c r="A176" s="31" t="s">
        <v>2328</v>
      </c>
      <c r="B176" s="32" t="s">
        <v>990</v>
      </c>
      <c r="C176" s="31" t="b">
        <v>0</v>
      </c>
      <c r="D176" s="31">
        <v>4</v>
      </c>
      <c r="E176" s="35" t="s">
        <v>992</v>
      </c>
      <c r="F176" s="31" t="s">
        <v>131</v>
      </c>
      <c r="G176" s="31" t="s">
        <v>3665</v>
      </c>
      <c r="H176" s="31" t="s">
        <v>3666</v>
      </c>
      <c r="I176" s="31" t="s">
        <v>3842</v>
      </c>
      <c r="J176" s="37" t="s">
        <v>4047</v>
      </c>
      <c r="K176" s="31" t="s">
        <v>2328</v>
      </c>
      <c r="L176" s="31" t="s">
        <v>288</v>
      </c>
      <c r="M176" s="31" t="s">
        <v>2232</v>
      </c>
      <c r="N176" s="31" t="s">
        <v>2328</v>
      </c>
    </row>
    <row r="177" spans="1:14" ht="75" x14ac:dyDescent="0.25">
      <c r="A177" s="31" t="s">
        <v>2328</v>
      </c>
      <c r="B177" s="32" t="s">
        <v>993</v>
      </c>
      <c r="C177" s="31" t="b">
        <v>0</v>
      </c>
      <c r="D177" s="31">
        <v>4</v>
      </c>
      <c r="E177" s="35" t="s">
        <v>995</v>
      </c>
      <c r="F177" s="31" t="s">
        <v>131</v>
      </c>
      <c r="G177" s="31" t="s">
        <v>3665</v>
      </c>
      <c r="H177" s="31" t="s">
        <v>3666</v>
      </c>
      <c r="I177" s="31" t="s">
        <v>3842</v>
      </c>
      <c r="J177" s="37" t="s">
        <v>4047</v>
      </c>
      <c r="K177" s="31" t="s">
        <v>2328</v>
      </c>
      <c r="L177" s="31" t="s">
        <v>288</v>
      </c>
      <c r="M177" s="31" t="s">
        <v>2232</v>
      </c>
      <c r="N177" s="31" t="s">
        <v>2328</v>
      </c>
    </row>
    <row r="178" spans="1:14" ht="75" x14ac:dyDescent="0.25">
      <c r="A178" s="31" t="s">
        <v>2328</v>
      </c>
      <c r="B178" s="32" t="s">
        <v>996</v>
      </c>
      <c r="C178" s="31" t="b">
        <v>1</v>
      </c>
      <c r="D178" s="31">
        <v>0</v>
      </c>
      <c r="E178" s="33" t="s">
        <v>2346</v>
      </c>
      <c r="F178" s="31" t="s">
        <v>3443</v>
      </c>
      <c r="G178" s="31" t="s">
        <v>3665</v>
      </c>
      <c r="H178" s="31" t="s">
        <v>3666</v>
      </c>
      <c r="I178" s="31" t="s">
        <v>3842</v>
      </c>
      <c r="J178" s="37" t="s">
        <v>4047</v>
      </c>
      <c r="K178" s="31" t="s">
        <v>2328</v>
      </c>
      <c r="L178" s="31" t="s">
        <v>294</v>
      </c>
      <c r="M178" s="31" t="s">
        <v>2232</v>
      </c>
      <c r="N178" s="31" t="s">
        <v>2328</v>
      </c>
    </row>
    <row r="179" spans="1:14" ht="75" x14ac:dyDescent="0.25">
      <c r="A179" s="31" t="s">
        <v>2328</v>
      </c>
      <c r="B179" s="32" t="s">
        <v>997</v>
      </c>
      <c r="C179" s="31" t="b">
        <v>0</v>
      </c>
      <c r="D179" s="31">
        <v>2</v>
      </c>
      <c r="E179" s="34" t="s">
        <v>998</v>
      </c>
      <c r="F179" s="31" t="s">
        <v>131</v>
      </c>
      <c r="G179" s="31" t="s">
        <v>3665</v>
      </c>
      <c r="H179" s="31" t="s">
        <v>3666</v>
      </c>
      <c r="I179" s="31" t="s">
        <v>3842</v>
      </c>
      <c r="J179" s="37" t="s">
        <v>4047</v>
      </c>
      <c r="K179" s="31" t="s">
        <v>2328</v>
      </c>
      <c r="L179" s="31" t="s">
        <v>294</v>
      </c>
      <c r="M179" s="31" t="s">
        <v>2232</v>
      </c>
      <c r="N179" s="31" t="s">
        <v>2328</v>
      </c>
    </row>
    <row r="180" spans="1:14" ht="75" x14ac:dyDescent="0.25">
      <c r="A180" s="31" t="s">
        <v>2328</v>
      </c>
      <c r="B180" s="32" t="s">
        <v>999</v>
      </c>
      <c r="C180" s="31" t="b">
        <v>0</v>
      </c>
      <c r="D180" s="31">
        <v>2</v>
      </c>
      <c r="E180" s="34" t="s">
        <v>1000</v>
      </c>
      <c r="F180" s="31" t="s">
        <v>131</v>
      </c>
      <c r="G180" s="31" t="s">
        <v>3665</v>
      </c>
      <c r="H180" s="31" t="s">
        <v>3666</v>
      </c>
      <c r="I180" s="31" t="s">
        <v>3842</v>
      </c>
      <c r="J180" s="37" t="s">
        <v>4047</v>
      </c>
      <c r="K180" s="31" t="s">
        <v>2328</v>
      </c>
      <c r="L180" s="31" t="s">
        <v>296</v>
      </c>
      <c r="M180" s="31" t="s">
        <v>2232</v>
      </c>
      <c r="N180" s="31" t="s">
        <v>2328</v>
      </c>
    </row>
    <row r="181" spans="1:14" ht="75" x14ac:dyDescent="0.25">
      <c r="A181" s="31" t="s">
        <v>2328</v>
      </c>
      <c r="B181" s="32" t="s">
        <v>1001</v>
      </c>
      <c r="C181" s="31" t="b">
        <v>0</v>
      </c>
      <c r="D181" s="31">
        <v>2</v>
      </c>
      <c r="E181" s="34" t="s">
        <v>1003</v>
      </c>
      <c r="F181" s="31" t="s">
        <v>131</v>
      </c>
      <c r="G181" s="31" t="s">
        <v>3665</v>
      </c>
      <c r="H181" s="31" t="s">
        <v>3666</v>
      </c>
      <c r="I181" s="31" t="s">
        <v>3842</v>
      </c>
      <c r="J181" s="37" t="s">
        <v>4047</v>
      </c>
      <c r="K181" s="31" t="s">
        <v>2328</v>
      </c>
      <c r="L181" s="31" t="s">
        <v>296</v>
      </c>
      <c r="M181" s="31" t="s">
        <v>2232</v>
      </c>
      <c r="N181" s="31" t="s">
        <v>2328</v>
      </c>
    </row>
    <row r="182" spans="1:14" ht="75" x14ac:dyDescent="0.25">
      <c r="A182" s="31" t="s">
        <v>2328</v>
      </c>
      <c r="B182" s="32" t="s">
        <v>1004</v>
      </c>
      <c r="C182" s="31" t="b">
        <v>0</v>
      </c>
      <c r="D182" s="31">
        <v>2</v>
      </c>
      <c r="E182" s="34" t="s">
        <v>1006</v>
      </c>
      <c r="F182" s="31" t="s">
        <v>131</v>
      </c>
      <c r="G182" s="31" t="s">
        <v>3665</v>
      </c>
      <c r="H182" s="31" t="s">
        <v>3666</v>
      </c>
      <c r="I182" s="31" t="s">
        <v>3842</v>
      </c>
      <c r="J182" s="37" t="s">
        <v>4047</v>
      </c>
      <c r="K182" s="31" t="s">
        <v>2328</v>
      </c>
      <c r="L182" s="31" t="s">
        <v>294</v>
      </c>
      <c r="M182" s="31" t="s">
        <v>2232</v>
      </c>
      <c r="N182" s="31" t="s">
        <v>2328</v>
      </c>
    </row>
    <row r="183" spans="1:14" ht="75" x14ac:dyDescent="0.25">
      <c r="A183" s="31" t="s">
        <v>2328</v>
      </c>
      <c r="B183" s="32" t="s">
        <v>1007</v>
      </c>
      <c r="C183" s="31" t="b">
        <v>0</v>
      </c>
      <c r="D183" s="31">
        <v>2</v>
      </c>
      <c r="E183" s="34" t="s">
        <v>1009</v>
      </c>
      <c r="F183" s="31" t="s">
        <v>131</v>
      </c>
      <c r="G183" s="31" t="s">
        <v>3665</v>
      </c>
      <c r="H183" s="31" t="s">
        <v>3666</v>
      </c>
      <c r="I183" s="31" t="s">
        <v>3842</v>
      </c>
      <c r="J183" s="37" t="s">
        <v>4047</v>
      </c>
      <c r="K183" s="31" t="s">
        <v>2328</v>
      </c>
      <c r="L183" s="31" t="s">
        <v>296</v>
      </c>
      <c r="M183" s="31" t="s">
        <v>2232</v>
      </c>
      <c r="N183" s="31" t="s">
        <v>2328</v>
      </c>
    </row>
    <row r="184" spans="1:14" ht="75" x14ac:dyDescent="0.25">
      <c r="A184" s="31" t="s">
        <v>2827</v>
      </c>
      <c r="B184" s="32" t="s">
        <v>801</v>
      </c>
      <c r="C184" s="31" t="b">
        <v>0</v>
      </c>
      <c r="D184" s="31">
        <v>2</v>
      </c>
      <c r="E184" s="34" t="s">
        <v>802</v>
      </c>
      <c r="F184" s="31" t="s">
        <v>131</v>
      </c>
      <c r="G184" s="31" t="s">
        <v>3665</v>
      </c>
      <c r="H184" s="31" t="s">
        <v>3666</v>
      </c>
      <c r="I184" s="31" t="s">
        <v>3842</v>
      </c>
      <c r="J184" s="37" t="s">
        <v>4047</v>
      </c>
      <c r="K184" s="31" t="s">
        <v>2328</v>
      </c>
      <c r="L184" s="31" t="s">
        <v>398</v>
      </c>
      <c r="M184" s="31" t="s">
        <v>2232</v>
      </c>
      <c r="N184" s="31" t="s">
        <v>2328</v>
      </c>
    </row>
    <row r="185" spans="1:14" ht="75" x14ac:dyDescent="0.25">
      <c r="A185" s="31" t="s">
        <v>2328</v>
      </c>
      <c r="B185" s="32" t="s">
        <v>1010</v>
      </c>
      <c r="C185" s="31" t="b">
        <v>1</v>
      </c>
      <c r="D185" s="31">
        <v>0</v>
      </c>
      <c r="E185" s="33" t="s">
        <v>2347</v>
      </c>
      <c r="F185" s="31" t="s">
        <v>3443</v>
      </c>
      <c r="G185" s="31" t="s">
        <v>3665</v>
      </c>
      <c r="H185" s="31" t="s">
        <v>3666</v>
      </c>
      <c r="I185" s="31" t="s">
        <v>3842</v>
      </c>
      <c r="J185" s="37" t="s">
        <v>4047</v>
      </c>
      <c r="K185" s="31" t="s">
        <v>2328</v>
      </c>
      <c r="L185" s="31" t="s">
        <v>298</v>
      </c>
      <c r="M185" s="31" t="s">
        <v>2232</v>
      </c>
      <c r="N185" s="31" t="s">
        <v>2328</v>
      </c>
    </row>
    <row r="186" spans="1:14" ht="75" x14ac:dyDescent="0.25">
      <c r="A186" s="31" t="s">
        <v>2328</v>
      </c>
      <c r="B186" s="32" t="s">
        <v>1011</v>
      </c>
      <c r="C186" s="31" t="b">
        <v>1</v>
      </c>
      <c r="D186" s="31">
        <v>2</v>
      </c>
      <c r="E186" s="34" t="s">
        <v>2395</v>
      </c>
      <c r="F186" s="31" t="s">
        <v>3443</v>
      </c>
      <c r="G186" s="31" t="s">
        <v>3665</v>
      </c>
      <c r="H186" s="31" t="s">
        <v>3666</v>
      </c>
      <c r="I186" s="31" t="s">
        <v>3842</v>
      </c>
      <c r="J186" s="37" t="s">
        <v>4047</v>
      </c>
      <c r="K186" s="31" t="s">
        <v>2328</v>
      </c>
      <c r="L186" s="31" t="s">
        <v>303</v>
      </c>
      <c r="M186" s="31" t="s">
        <v>2232</v>
      </c>
      <c r="N186" s="31" t="s">
        <v>2328</v>
      </c>
    </row>
    <row r="187" spans="1:14" ht="75" x14ac:dyDescent="0.25">
      <c r="A187" s="31" t="s">
        <v>2328</v>
      </c>
      <c r="B187" s="32" t="s">
        <v>1013</v>
      </c>
      <c r="C187" s="31" t="b">
        <v>1</v>
      </c>
      <c r="D187" s="31">
        <v>4</v>
      </c>
      <c r="E187" s="35" t="s">
        <v>2419</v>
      </c>
      <c r="F187" s="31" t="s">
        <v>3443</v>
      </c>
      <c r="G187" s="31" t="s">
        <v>3665</v>
      </c>
      <c r="H187" s="31" t="s">
        <v>3666</v>
      </c>
      <c r="I187" s="31" t="s">
        <v>3842</v>
      </c>
      <c r="J187" s="37" t="s">
        <v>4047</v>
      </c>
      <c r="K187" s="31" t="s">
        <v>2328</v>
      </c>
      <c r="L187" s="31" t="s">
        <v>303</v>
      </c>
      <c r="M187" s="31" t="s">
        <v>2232</v>
      </c>
      <c r="N187" s="31" t="s">
        <v>2328</v>
      </c>
    </row>
    <row r="188" spans="1:14" ht="75" x14ac:dyDescent="0.25">
      <c r="A188" s="31" t="s">
        <v>2328</v>
      </c>
      <c r="B188" s="32" t="s">
        <v>1016</v>
      </c>
      <c r="C188" s="31" t="b">
        <v>0</v>
      </c>
      <c r="D188" s="31">
        <v>6</v>
      </c>
      <c r="E188" s="38" t="s">
        <v>1018</v>
      </c>
      <c r="F188" s="31" t="s">
        <v>139</v>
      </c>
      <c r="G188" s="31" t="s">
        <v>3665</v>
      </c>
      <c r="H188" s="31" t="s">
        <v>3666</v>
      </c>
      <c r="I188" s="31" t="s">
        <v>3842</v>
      </c>
      <c r="J188" s="37" t="s">
        <v>4047</v>
      </c>
      <c r="K188" s="31" t="s">
        <v>2328</v>
      </c>
      <c r="L188" s="31" t="s">
        <v>303</v>
      </c>
      <c r="M188" s="31" t="s">
        <v>2232</v>
      </c>
      <c r="N188" s="31" t="s">
        <v>2328</v>
      </c>
    </row>
    <row r="189" spans="1:14" ht="75" x14ac:dyDescent="0.25">
      <c r="A189" s="31" t="s">
        <v>2828</v>
      </c>
      <c r="B189" s="32" t="s">
        <v>1031</v>
      </c>
      <c r="C189" s="31" t="b">
        <v>0</v>
      </c>
      <c r="D189" s="31">
        <v>6</v>
      </c>
      <c r="E189" s="38" t="s">
        <v>304</v>
      </c>
      <c r="F189" s="31" t="s">
        <v>131</v>
      </c>
      <c r="G189" s="31" t="s">
        <v>3665</v>
      </c>
      <c r="H189" s="31" t="s">
        <v>3666</v>
      </c>
      <c r="I189" s="31" t="s">
        <v>3842</v>
      </c>
      <c r="J189" s="37" t="s">
        <v>4047</v>
      </c>
      <c r="K189" s="31" t="s">
        <v>2328</v>
      </c>
      <c r="L189" s="31" t="s">
        <v>303</v>
      </c>
      <c r="M189" s="31" t="s">
        <v>2232</v>
      </c>
      <c r="N189" s="31" t="s">
        <v>2328</v>
      </c>
    </row>
    <row r="190" spans="1:14" ht="75" x14ac:dyDescent="0.25">
      <c r="A190" s="31" t="s">
        <v>2829</v>
      </c>
      <c r="B190" s="32" t="s">
        <v>1033</v>
      </c>
      <c r="C190" s="31" t="b">
        <v>0</v>
      </c>
      <c r="D190" s="31">
        <v>6</v>
      </c>
      <c r="E190" s="38" t="s">
        <v>1035</v>
      </c>
      <c r="F190" s="31" t="s">
        <v>131</v>
      </c>
      <c r="G190" s="31" t="s">
        <v>3665</v>
      </c>
      <c r="H190" s="31" t="s">
        <v>3666</v>
      </c>
      <c r="I190" s="31" t="s">
        <v>3842</v>
      </c>
      <c r="J190" s="37" t="s">
        <v>4047</v>
      </c>
      <c r="K190" s="31" t="s">
        <v>2328</v>
      </c>
      <c r="L190" s="31" t="s">
        <v>303</v>
      </c>
      <c r="M190" s="31" t="s">
        <v>2232</v>
      </c>
      <c r="N190" s="31" t="s">
        <v>2328</v>
      </c>
    </row>
    <row r="191" spans="1:14" ht="75" x14ac:dyDescent="0.25">
      <c r="A191" s="31" t="s">
        <v>2829</v>
      </c>
      <c r="B191" s="32" t="s">
        <v>2830</v>
      </c>
      <c r="C191" s="31" t="b">
        <v>0</v>
      </c>
      <c r="D191" s="31">
        <v>6</v>
      </c>
      <c r="E191" s="38" t="s">
        <v>3319</v>
      </c>
      <c r="F191" s="31" t="s">
        <v>131</v>
      </c>
      <c r="G191" s="31" t="s">
        <v>3665</v>
      </c>
      <c r="H191" s="31" t="s">
        <v>3666</v>
      </c>
      <c r="I191" s="31" t="s">
        <v>3842</v>
      </c>
      <c r="J191" s="37" t="s">
        <v>4047</v>
      </c>
      <c r="K191" s="31" t="s">
        <v>2328</v>
      </c>
      <c r="L191" s="31" t="s">
        <v>303</v>
      </c>
      <c r="M191" s="31" t="s">
        <v>2232</v>
      </c>
      <c r="N191" s="31" t="s">
        <v>2328</v>
      </c>
    </row>
    <row r="192" spans="1:14" ht="75" x14ac:dyDescent="0.25">
      <c r="A192" s="31" t="s">
        <v>2829</v>
      </c>
      <c r="B192" s="32" t="s">
        <v>2832</v>
      </c>
      <c r="C192" s="31" t="b">
        <v>0</v>
      </c>
      <c r="D192" s="31">
        <v>6</v>
      </c>
      <c r="E192" s="38" t="s">
        <v>3320</v>
      </c>
      <c r="F192" s="31" t="s">
        <v>131</v>
      </c>
      <c r="G192" s="31" t="s">
        <v>3665</v>
      </c>
      <c r="H192" s="31" t="s">
        <v>3666</v>
      </c>
      <c r="I192" s="31" t="s">
        <v>3842</v>
      </c>
      <c r="J192" s="37" t="s">
        <v>4047</v>
      </c>
      <c r="K192" s="31" t="s">
        <v>2328</v>
      </c>
      <c r="L192" s="31" t="s">
        <v>303</v>
      </c>
      <c r="M192" s="31" t="s">
        <v>2232</v>
      </c>
      <c r="N192" s="31" t="s">
        <v>2328</v>
      </c>
    </row>
    <row r="193" spans="1:14" ht="75" x14ac:dyDescent="0.25">
      <c r="A193" s="31" t="s">
        <v>2328</v>
      </c>
      <c r="B193" s="32" t="s">
        <v>2834</v>
      </c>
      <c r="C193" s="31" t="b">
        <v>1</v>
      </c>
      <c r="D193" s="31">
        <v>4</v>
      </c>
      <c r="E193" s="35" t="s">
        <v>3412</v>
      </c>
      <c r="F193" s="31" t="s">
        <v>3443</v>
      </c>
      <c r="G193" s="31" t="s">
        <v>3665</v>
      </c>
      <c r="H193" s="31" t="s">
        <v>3666</v>
      </c>
      <c r="I193" s="31" t="s">
        <v>3842</v>
      </c>
      <c r="J193" s="37" t="s">
        <v>4047</v>
      </c>
      <c r="K193" s="31" t="s">
        <v>2328</v>
      </c>
      <c r="L193" s="31" t="s">
        <v>303</v>
      </c>
      <c r="M193" s="31" t="s">
        <v>2232</v>
      </c>
      <c r="N193" s="31" t="s">
        <v>2328</v>
      </c>
    </row>
    <row r="194" spans="1:14" ht="75" x14ac:dyDescent="0.25">
      <c r="A194" s="31" t="s">
        <v>2835</v>
      </c>
      <c r="B194" s="32" t="s">
        <v>1019</v>
      </c>
      <c r="C194" s="31" t="b">
        <v>0</v>
      </c>
      <c r="D194" s="31">
        <v>6</v>
      </c>
      <c r="E194" s="38" t="s">
        <v>1020</v>
      </c>
      <c r="F194" s="31" t="s">
        <v>131</v>
      </c>
      <c r="G194" s="31" t="s">
        <v>3665</v>
      </c>
      <c r="H194" s="31" t="s">
        <v>3666</v>
      </c>
      <c r="I194" s="31" t="s">
        <v>3842</v>
      </c>
      <c r="J194" s="37" t="s">
        <v>4047</v>
      </c>
      <c r="K194" s="31" t="s">
        <v>2328</v>
      </c>
      <c r="L194" s="31" t="s">
        <v>303</v>
      </c>
      <c r="M194" s="31" t="s">
        <v>2232</v>
      </c>
      <c r="N194" s="31" t="s">
        <v>2328</v>
      </c>
    </row>
    <row r="195" spans="1:14" ht="75" x14ac:dyDescent="0.25">
      <c r="A195" s="31" t="s">
        <v>2836</v>
      </c>
      <c r="B195" s="32" t="s">
        <v>1021</v>
      </c>
      <c r="C195" s="31" t="b">
        <v>0</v>
      </c>
      <c r="D195" s="31">
        <v>6</v>
      </c>
      <c r="E195" s="38" t="s">
        <v>1022</v>
      </c>
      <c r="F195" s="31" t="s">
        <v>131</v>
      </c>
      <c r="G195" s="31" t="s">
        <v>3665</v>
      </c>
      <c r="H195" s="31" t="s">
        <v>3666</v>
      </c>
      <c r="I195" s="31" t="s">
        <v>3842</v>
      </c>
      <c r="J195" s="37" t="s">
        <v>4047</v>
      </c>
      <c r="K195" s="31" t="s">
        <v>2328</v>
      </c>
      <c r="L195" s="31" t="s">
        <v>303</v>
      </c>
      <c r="M195" s="31" t="s">
        <v>2232</v>
      </c>
      <c r="N195" s="31" t="s">
        <v>2328</v>
      </c>
    </row>
    <row r="196" spans="1:14" ht="75" x14ac:dyDescent="0.25">
      <c r="A196" s="31" t="s">
        <v>2838</v>
      </c>
      <c r="B196" s="32" t="s">
        <v>1023</v>
      </c>
      <c r="C196" s="31" t="b">
        <v>0</v>
      </c>
      <c r="D196" s="31">
        <v>6</v>
      </c>
      <c r="E196" s="38" t="s">
        <v>1024</v>
      </c>
      <c r="F196" s="31" t="s">
        <v>131</v>
      </c>
      <c r="G196" s="31" t="s">
        <v>3665</v>
      </c>
      <c r="H196" s="31" t="s">
        <v>3666</v>
      </c>
      <c r="I196" s="31" t="s">
        <v>3842</v>
      </c>
      <c r="J196" s="37" t="s">
        <v>4047</v>
      </c>
      <c r="K196" s="31" t="s">
        <v>2328</v>
      </c>
      <c r="L196" s="31" t="s">
        <v>303</v>
      </c>
      <c r="M196" s="31" t="s">
        <v>2232</v>
      </c>
      <c r="N196" s="31" t="s">
        <v>2328</v>
      </c>
    </row>
    <row r="197" spans="1:14" ht="75" x14ac:dyDescent="0.25">
      <c r="A197" s="31" t="s">
        <v>2840</v>
      </c>
      <c r="B197" s="32" t="s">
        <v>1025</v>
      </c>
      <c r="C197" s="31" t="b">
        <v>0</v>
      </c>
      <c r="D197" s="31">
        <v>6</v>
      </c>
      <c r="E197" s="38" t="s">
        <v>1026</v>
      </c>
      <c r="F197" s="31" t="s">
        <v>131</v>
      </c>
      <c r="G197" s="31" t="s">
        <v>3665</v>
      </c>
      <c r="H197" s="31" t="s">
        <v>3666</v>
      </c>
      <c r="I197" s="31" t="s">
        <v>3842</v>
      </c>
      <c r="J197" s="37" t="s">
        <v>4047</v>
      </c>
      <c r="K197" s="31" t="s">
        <v>2328</v>
      </c>
      <c r="L197" s="31" t="s">
        <v>303</v>
      </c>
      <c r="M197" s="31" t="s">
        <v>2232</v>
      </c>
      <c r="N197" s="31" t="s">
        <v>2328</v>
      </c>
    </row>
    <row r="198" spans="1:14" ht="75" x14ac:dyDescent="0.25">
      <c r="A198" s="31" t="s">
        <v>2842</v>
      </c>
      <c r="B198" s="32" t="s">
        <v>1027</v>
      </c>
      <c r="C198" s="31" t="b">
        <v>0</v>
      </c>
      <c r="D198" s="31">
        <v>6</v>
      </c>
      <c r="E198" s="38" t="s">
        <v>1028</v>
      </c>
      <c r="F198" s="31" t="s">
        <v>131</v>
      </c>
      <c r="G198" s="31" t="s">
        <v>3665</v>
      </c>
      <c r="H198" s="31" t="s">
        <v>3666</v>
      </c>
      <c r="I198" s="31" t="s">
        <v>3842</v>
      </c>
      <c r="J198" s="37" t="s">
        <v>4047</v>
      </c>
      <c r="K198" s="31" t="s">
        <v>2328</v>
      </c>
      <c r="L198" s="31" t="s">
        <v>303</v>
      </c>
      <c r="M198" s="31" t="s">
        <v>2232</v>
      </c>
      <c r="N198" s="31" t="s">
        <v>2328</v>
      </c>
    </row>
    <row r="199" spans="1:14" ht="75" x14ac:dyDescent="0.25">
      <c r="A199" s="31" t="s">
        <v>2844</v>
      </c>
      <c r="B199" s="32" t="s">
        <v>1029</v>
      </c>
      <c r="C199" s="31" t="b">
        <v>0</v>
      </c>
      <c r="D199" s="31">
        <v>6</v>
      </c>
      <c r="E199" s="38" t="s">
        <v>1030</v>
      </c>
      <c r="F199" s="31" t="s">
        <v>131</v>
      </c>
      <c r="G199" s="31" t="s">
        <v>3665</v>
      </c>
      <c r="H199" s="31" t="s">
        <v>3666</v>
      </c>
      <c r="I199" s="31" t="s">
        <v>3842</v>
      </c>
      <c r="J199" s="37" t="s">
        <v>4047</v>
      </c>
      <c r="K199" s="31" t="s">
        <v>2328</v>
      </c>
      <c r="L199" s="31" t="s">
        <v>303</v>
      </c>
      <c r="M199" s="31" t="s">
        <v>2232</v>
      </c>
      <c r="N199" s="31" t="s">
        <v>2328</v>
      </c>
    </row>
    <row r="200" spans="1:14" ht="75" x14ac:dyDescent="0.25">
      <c r="A200" s="31" t="s">
        <v>2844</v>
      </c>
      <c r="B200" s="32" t="s">
        <v>2845</v>
      </c>
      <c r="C200" s="31" t="b">
        <v>0</v>
      </c>
      <c r="D200" s="31">
        <v>6</v>
      </c>
      <c r="E200" s="38" t="s">
        <v>3321</v>
      </c>
      <c r="F200" s="31" t="s">
        <v>131</v>
      </c>
      <c r="G200" s="31" t="s">
        <v>3665</v>
      </c>
      <c r="H200" s="31" t="s">
        <v>3666</v>
      </c>
      <c r="I200" s="31" t="s">
        <v>3842</v>
      </c>
      <c r="J200" s="37" t="s">
        <v>4047</v>
      </c>
      <c r="K200" s="31" t="s">
        <v>2328</v>
      </c>
      <c r="L200" s="31" t="s">
        <v>303</v>
      </c>
      <c r="M200" s="31" t="s">
        <v>2232</v>
      </c>
      <c r="N200" s="31" t="s">
        <v>2328</v>
      </c>
    </row>
    <row r="201" spans="1:14" ht="75" x14ac:dyDescent="0.25">
      <c r="A201" s="31" t="s">
        <v>2328</v>
      </c>
      <c r="B201" s="32" t="s">
        <v>1036</v>
      </c>
      <c r="C201" s="31" t="b">
        <v>1</v>
      </c>
      <c r="D201" s="31">
        <v>4</v>
      </c>
      <c r="E201" s="35" t="s">
        <v>3413</v>
      </c>
      <c r="F201" s="31" t="s">
        <v>3443</v>
      </c>
      <c r="G201" s="31" t="s">
        <v>3665</v>
      </c>
      <c r="H201" s="31" t="s">
        <v>3666</v>
      </c>
      <c r="I201" s="31" t="s">
        <v>3842</v>
      </c>
      <c r="J201" s="37" t="s">
        <v>4047</v>
      </c>
      <c r="K201" s="31" t="s">
        <v>2328</v>
      </c>
      <c r="L201" s="31" t="s">
        <v>303</v>
      </c>
      <c r="M201" s="31" t="s">
        <v>2232</v>
      </c>
      <c r="N201" s="31" t="s">
        <v>2328</v>
      </c>
    </row>
    <row r="202" spans="1:14" ht="75" x14ac:dyDescent="0.25">
      <c r="A202" s="31" t="s">
        <v>2847</v>
      </c>
      <c r="B202" s="32" t="s">
        <v>1038</v>
      </c>
      <c r="C202" s="31" t="b">
        <v>0</v>
      </c>
      <c r="D202" s="31">
        <v>6</v>
      </c>
      <c r="E202" s="38" t="s">
        <v>1040</v>
      </c>
      <c r="F202" s="31" t="s">
        <v>131</v>
      </c>
      <c r="G202" s="31" t="s">
        <v>3665</v>
      </c>
      <c r="H202" s="31" t="s">
        <v>3666</v>
      </c>
      <c r="I202" s="31" t="s">
        <v>3842</v>
      </c>
      <c r="J202" s="37" t="s">
        <v>4047</v>
      </c>
      <c r="K202" s="31" t="s">
        <v>2328</v>
      </c>
      <c r="L202" s="31" t="s">
        <v>303</v>
      </c>
      <c r="M202" s="31" t="s">
        <v>2232</v>
      </c>
      <c r="N202" s="31" t="s">
        <v>2328</v>
      </c>
    </row>
    <row r="203" spans="1:14" ht="75" x14ac:dyDescent="0.25">
      <c r="A203" s="31" t="s">
        <v>2848</v>
      </c>
      <c r="B203" s="32" t="s">
        <v>1041</v>
      </c>
      <c r="C203" s="31" t="b">
        <v>0</v>
      </c>
      <c r="D203" s="31">
        <v>6</v>
      </c>
      <c r="E203" s="38" t="s">
        <v>1043</v>
      </c>
      <c r="F203" s="31" t="s">
        <v>131</v>
      </c>
      <c r="G203" s="31" t="s">
        <v>3665</v>
      </c>
      <c r="H203" s="31" t="s">
        <v>3666</v>
      </c>
      <c r="I203" s="31" t="s">
        <v>3842</v>
      </c>
      <c r="J203" s="37" t="s">
        <v>4047</v>
      </c>
      <c r="K203" s="31" t="s">
        <v>2328</v>
      </c>
      <c r="L203" s="31" t="s">
        <v>303</v>
      </c>
      <c r="M203" s="31" t="s">
        <v>2232</v>
      </c>
      <c r="N203" s="31" t="s">
        <v>2328</v>
      </c>
    </row>
    <row r="204" spans="1:14" ht="75" x14ac:dyDescent="0.25">
      <c r="A204" s="31" t="s">
        <v>2848</v>
      </c>
      <c r="B204" s="32" t="s">
        <v>2849</v>
      </c>
      <c r="C204" s="31" t="b">
        <v>0</v>
      </c>
      <c r="D204" s="31">
        <v>6</v>
      </c>
      <c r="E204" s="38" t="s">
        <v>3322</v>
      </c>
      <c r="F204" s="31" t="s">
        <v>131</v>
      </c>
      <c r="G204" s="31" t="s">
        <v>3665</v>
      </c>
      <c r="H204" s="31" t="s">
        <v>3666</v>
      </c>
      <c r="I204" s="31" t="s">
        <v>3842</v>
      </c>
      <c r="J204" s="37" t="s">
        <v>4047</v>
      </c>
      <c r="K204" s="31" t="s">
        <v>2328</v>
      </c>
      <c r="L204" s="31" t="s">
        <v>303</v>
      </c>
      <c r="M204" s="31" t="s">
        <v>2232</v>
      </c>
      <c r="N204" s="31" t="s">
        <v>2328</v>
      </c>
    </row>
    <row r="205" spans="1:14" ht="75" x14ac:dyDescent="0.25">
      <c r="A205" s="31" t="s">
        <v>2328</v>
      </c>
      <c r="B205" s="32" t="s">
        <v>1044</v>
      </c>
      <c r="C205" s="31" t="b">
        <v>1</v>
      </c>
      <c r="D205" s="31">
        <v>4</v>
      </c>
      <c r="E205" s="35" t="s">
        <v>3414</v>
      </c>
      <c r="F205" s="31" t="s">
        <v>3443</v>
      </c>
      <c r="G205" s="31" t="s">
        <v>3665</v>
      </c>
      <c r="H205" s="31" t="s">
        <v>3666</v>
      </c>
      <c r="I205" s="31" t="s">
        <v>3842</v>
      </c>
      <c r="J205" s="37" t="s">
        <v>4047</v>
      </c>
      <c r="K205" s="31" t="s">
        <v>2328</v>
      </c>
      <c r="L205" s="31" t="s">
        <v>303</v>
      </c>
      <c r="M205" s="31" t="s">
        <v>2232</v>
      </c>
      <c r="N205" s="31" t="s">
        <v>2328</v>
      </c>
    </row>
    <row r="206" spans="1:14" ht="75" x14ac:dyDescent="0.25">
      <c r="A206" s="31" t="s">
        <v>2852</v>
      </c>
      <c r="B206" s="32" t="s">
        <v>1047</v>
      </c>
      <c r="C206" s="31" t="b">
        <v>0</v>
      </c>
      <c r="D206" s="31">
        <v>6</v>
      </c>
      <c r="E206" s="38" t="s">
        <v>1049</v>
      </c>
      <c r="F206" s="31" t="s">
        <v>131</v>
      </c>
      <c r="G206" s="31" t="s">
        <v>3665</v>
      </c>
      <c r="H206" s="31" t="s">
        <v>3666</v>
      </c>
      <c r="I206" s="31" t="s">
        <v>3842</v>
      </c>
      <c r="J206" s="37" t="s">
        <v>4047</v>
      </c>
      <c r="K206" s="31" t="s">
        <v>2328</v>
      </c>
      <c r="L206" s="31" t="s">
        <v>303</v>
      </c>
      <c r="M206" s="31" t="s">
        <v>2232</v>
      </c>
      <c r="N206" s="31" t="s">
        <v>2328</v>
      </c>
    </row>
    <row r="207" spans="1:14" ht="75" x14ac:dyDescent="0.25">
      <c r="A207" s="31" t="s">
        <v>2854</v>
      </c>
      <c r="B207" s="32" t="s">
        <v>1050</v>
      </c>
      <c r="C207" s="31" t="b">
        <v>0</v>
      </c>
      <c r="D207" s="31">
        <v>6</v>
      </c>
      <c r="E207" s="38" t="s">
        <v>33</v>
      </c>
      <c r="F207" s="31" t="s">
        <v>131</v>
      </c>
      <c r="G207" s="31" t="s">
        <v>3665</v>
      </c>
      <c r="H207" s="31" t="s">
        <v>3666</v>
      </c>
      <c r="I207" s="31" t="s">
        <v>3842</v>
      </c>
      <c r="J207" s="37" t="s">
        <v>4047</v>
      </c>
      <c r="K207" s="31" t="s">
        <v>2328</v>
      </c>
      <c r="L207" s="31" t="s">
        <v>303</v>
      </c>
      <c r="M207" s="31" t="s">
        <v>2232</v>
      </c>
      <c r="N207" s="31" t="s">
        <v>2328</v>
      </c>
    </row>
    <row r="208" spans="1:14" ht="75" x14ac:dyDescent="0.25">
      <c r="A208" s="31" t="s">
        <v>2856</v>
      </c>
      <c r="B208" s="32" t="s">
        <v>1052</v>
      </c>
      <c r="C208" s="31" t="b">
        <v>0</v>
      </c>
      <c r="D208" s="31">
        <v>6</v>
      </c>
      <c r="E208" s="38" t="s">
        <v>1054</v>
      </c>
      <c r="F208" s="31" t="s">
        <v>131</v>
      </c>
      <c r="G208" s="31" t="s">
        <v>3665</v>
      </c>
      <c r="H208" s="31" t="s">
        <v>3666</v>
      </c>
      <c r="I208" s="31" t="s">
        <v>3842</v>
      </c>
      <c r="J208" s="37" t="s">
        <v>4047</v>
      </c>
      <c r="K208" s="31" t="s">
        <v>2328</v>
      </c>
      <c r="L208" s="31" t="s">
        <v>303</v>
      </c>
      <c r="M208" s="31" t="s">
        <v>2232</v>
      </c>
      <c r="N208" s="31" t="s">
        <v>2328</v>
      </c>
    </row>
    <row r="209" spans="1:14" ht="75" x14ac:dyDescent="0.25">
      <c r="A209" s="31" t="s">
        <v>2858</v>
      </c>
      <c r="B209" s="32" t="s">
        <v>1055</v>
      </c>
      <c r="C209" s="31" t="b">
        <v>0</v>
      </c>
      <c r="D209" s="31">
        <v>6</v>
      </c>
      <c r="E209" s="38" t="s">
        <v>32</v>
      </c>
      <c r="F209" s="31" t="s">
        <v>131</v>
      </c>
      <c r="G209" s="31" t="s">
        <v>3665</v>
      </c>
      <c r="H209" s="31" t="s">
        <v>3666</v>
      </c>
      <c r="I209" s="31" t="s">
        <v>3842</v>
      </c>
      <c r="J209" s="37" t="s">
        <v>4047</v>
      </c>
      <c r="K209" s="31" t="s">
        <v>2328</v>
      </c>
      <c r="L209" s="31" t="s">
        <v>303</v>
      </c>
      <c r="M209" s="31" t="s">
        <v>2232</v>
      </c>
      <c r="N209" s="31" t="s">
        <v>2328</v>
      </c>
    </row>
    <row r="210" spans="1:14" ht="75" x14ac:dyDescent="0.25">
      <c r="A210" s="31" t="s">
        <v>2860</v>
      </c>
      <c r="B210" s="32" t="s">
        <v>1056</v>
      </c>
      <c r="C210" s="31" t="b">
        <v>0</v>
      </c>
      <c r="D210" s="31">
        <v>6</v>
      </c>
      <c r="E210" s="38" t="s">
        <v>31</v>
      </c>
      <c r="F210" s="31" t="s">
        <v>131</v>
      </c>
      <c r="G210" s="31" t="s">
        <v>3665</v>
      </c>
      <c r="H210" s="31" t="s">
        <v>3666</v>
      </c>
      <c r="I210" s="31" t="s">
        <v>3842</v>
      </c>
      <c r="J210" s="37" t="s">
        <v>4047</v>
      </c>
      <c r="K210" s="31" t="s">
        <v>2328</v>
      </c>
      <c r="L210" s="31" t="s">
        <v>303</v>
      </c>
      <c r="M210" s="31" t="s">
        <v>2232</v>
      </c>
      <c r="N210" s="31" t="s">
        <v>2328</v>
      </c>
    </row>
    <row r="211" spans="1:14" ht="75" x14ac:dyDescent="0.25">
      <c r="A211" s="31" t="s">
        <v>2861</v>
      </c>
      <c r="B211" s="32" t="s">
        <v>1057</v>
      </c>
      <c r="C211" s="31" t="b">
        <v>1</v>
      </c>
      <c r="D211" s="31">
        <v>2</v>
      </c>
      <c r="E211" s="34" t="s">
        <v>2396</v>
      </c>
      <c r="F211" s="31" t="s">
        <v>3443</v>
      </c>
      <c r="G211" s="31" t="s">
        <v>3665</v>
      </c>
      <c r="H211" s="31" t="s">
        <v>3666</v>
      </c>
      <c r="I211" s="31" t="s">
        <v>3842</v>
      </c>
      <c r="J211" s="37" t="s">
        <v>4047</v>
      </c>
      <c r="K211" s="31" t="s">
        <v>2328</v>
      </c>
      <c r="L211" s="31" t="s">
        <v>305</v>
      </c>
      <c r="M211" s="31" t="s">
        <v>2232</v>
      </c>
      <c r="N211" s="31" t="s">
        <v>2328</v>
      </c>
    </row>
    <row r="212" spans="1:14" ht="75" x14ac:dyDescent="0.25">
      <c r="A212" s="31" t="s">
        <v>2328</v>
      </c>
      <c r="B212" s="32" t="s">
        <v>1059</v>
      </c>
      <c r="C212" s="31" t="b">
        <v>1</v>
      </c>
      <c r="D212" s="31">
        <v>4</v>
      </c>
      <c r="E212" s="35" t="s">
        <v>2438</v>
      </c>
      <c r="F212" s="31" t="s">
        <v>3443</v>
      </c>
      <c r="G212" s="31" t="s">
        <v>3665</v>
      </c>
      <c r="H212" s="31" t="s">
        <v>3666</v>
      </c>
      <c r="I212" s="31" t="s">
        <v>3842</v>
      </c>
      <c r="J212" s="37" t="s">
        <v>4047</v>
      </c>
      <c r="K212" s="31" t="s">
        <v>2328</v>
      </c>
      <c r="L212" s="31" t="s">
        <v>303</v>
      </c>
      <c r="M212" s="31" t="s">
        <v>2232</v>
      </c>
      <c r="N212" s="31" t="s">
        <v>2328</v>
      </c>
    </row>
    <row r="213" spans="1:14" ht="75" x14ac:dyDescent="0.25">
      <c r="A213" s="31" t="s">
        <v>2862</v>
      </c>
      <c r="B213" s="32" t="s">
        <v>1062</v>
      </c>
      <c r="C213" s="31" t="b">
        <v>0</v>
      </c>
      <c r="D213" s="31">
        <v>6</v>
      </c>
      <c r="E213" s="38" t="s">
        <v>1064</v>
      </c>
      <c r="F213" s="31" t="s">
        <v>131</v>
      </c>
      <c r="G213" s="31" t="s">
        <v>3665</v>
      </c>
      <c r="H213" s="31" t="s">
        <v>3666</v>
      </c>
      <c r="I213" s="31" t="s">
        <v>3842</v>
      </c>
      <c r="J213" s="37" t="s">
        <v>4047</v>
      </c>
      <c r="K213" s="31" t="s">
        <v>2328</v>
      </c>
      <c r="L213" s="31" t="s">
        <v>307</v>
      </c>
      <c r="M213" s="31" t="s">
        <v>2232</v>
      </c>
      <c r="N213" s="31" t="s">
        <v>2328</v>
      </c>
    </row>
    <row r="214" spans="1:14" ht="75" x14ac:dyDescent="0.25">
      <c r="A214" s="31" t="s">
        <v>2863</v>
      </c>
      <c r="B214" s="32" t="s">
        <v>1065</v>
      </c>
      <c r="C214" s="31" t="b">
        <v>0</v>
      </c>
      <c r="D214" s="31">
        <v>6</v>
      </c>
      <c r="E214" s="38" t="s">
        <v>1067</v>
      </c>
      <c r="F214" s="31" t="s">
        <v>131</v>
      </c>
      <c r="G214" s="31" t="s">
        <v>3665</v>
      </c>
      <c r="H214" s="31" t="s">
        <v>3666</v>
      </c>
      <c r="I214" s="31" t="s">
        <v>3842</v>
      </c>
      <c r="J214" s="37" t="s">
        <v>4047</v>
      </c>
      <c r="K214" s="31" t="s">
        <v>2328</v>
      </c>
      <c r="L214" s="31" t="s">
        <v>307</v>
      </c>
      <c r="M214" s="31" t="s">
        <v>2232</v>
      </c>
      <c r="N214" s="31" t="s">
        <v>2328</v>
      </c>
    </row>
    <row r="215" spans="1:14" ht="75" x14ac:dyDescent="0.25">
      <c r="A215" s="31" t="s">
        <v>2864</v>
      </c>
      <c r="B215" s="32" t="s">
        <v>1068</v>
      </c>
      <c r="C215" s="31" t="b">
        <v>0</v>
      </c>
      <c r="D215" s="31">
        <v>6</v>
      </c>
      <c r="E215" s="38" t="s">
        <v>1070</v>
      </c>
      <c r="F215" s="31" t="s">
        <v>131</v>
      </c>
      <c r="G215" s="31" t="s">
        <v>3665</v>
      </c>
      <c r="H215" s="31" t="s">
        <v>3666</v>
      </c>
      <c r="I215" s="31" t="s">
        <v>3842</v>
      </c>
      <c r="J215" s="37" t="s">
        <v>4047</v>
      </c>
      <c r="K215" s="31" t="s">
        <v>2328</v>
      </c>
      <c r="L215" s="31" t="s">
        <v>307</v>
      </c>
      <c r="M215" s="31" t="s">
        <v>2232</v>
      </c>
      <c r="N215" s="31" t="s">
        <v>2328</v>
      </c>
    </row>
    <row r="216" spans="1:14" ht="75" x14ac:dyDescent="0.25">
      <c r="A216" s="31" t="s">
        <v>2865</v>
      </c>
      <c r="B216" s="32" t="s">
        <v>1071</v>
      </c>
      <c r="C216" s="31" t="b">
        <v>0</v>
      </c>
      <c r="D216" s="31">
        <v>6</v>
      </c>
      <c r="E216" s="38" t="s">
        <v>19</v>
      </c>
      <c r="F216" s="31" t="s">
        <v>131</v>
      </c>
      <c r="G216" s="31" t="s">
        <v>3665</v>
      </c>
      <c r="H216" s="31" t="s">
        <v>3666</v>
      </c>
      <c r="I216" s="31" t="s">
        <v>3842</v>
      </c>
      <c r="J216" s="37" t="s">
        <v>4047</v>
      </c>
      <c r="K216" s="31" t="s">
        <v>2328</v>
      </c>
      <c r="L216" s="31" t="s">
        <v>305</v>
      </c>
      <c r="M216" s="31" t="s">
        <v>2232</v>
      </c>
      <c r="N216" s="31" t="s">
        <v>2328</v>
      </c>
    </row>
    <row r="217" spans="1:14" ht="75" x14ac:dyDescent="0.25">
      <c r="A217" s="31" t="s">
        <v>2328</v>
      </c>
      <c r="B217" s="32" t="s">
        <v>1073</v>
      </c>
      <c r="C217" s="31" t="b">
        <v>1</v>
      </c>
      <c r="D217" s="31">
        <v>4</v>
      </c>
      <c r="E217" s="35" t="s">
        <v>2439</v>
      </c>
      <c r="F217" s="31" t="s">
        <v>3443</v>
      </c>
      <c r="G217" s="31" t="s">
        <v>3665</v>
      </c>
      <c r="H217" s="31" t="s">
        <v>3666</v>
      </c>
      <c r="I217" s="31" t="s">
        <v>3842</v>
      </c>
      <c r="J217" s="37" t="s">
        <v>4047</v>
      </c>
      <c r="K217" s="31" t="s">
        <v>2328</v>
      </c>
      <c r="L217" s="31" t="s">
        <v>303</v>
      </c>
      <c r="M217" s="31" t="s">
        <v>2232</v>
      </c>
      <c r="N217" s="31" t="s">
        <v>2328</v>
      </c>
    </row>
    <row r="218" spans="1:14" ht="75" x14ac:dyDescent="0.25">
      <c r="A218" s="31" t="s">
        <v>2866</v>
      </c>
      <c r="B218" s="32" t="s">
        <v>1076</v>
      </c>
      <c r="C218" s="31" t="b">
        <v>0</v>
      </c>
      <c r="D218" s="31">
        <v>6</v>
      </c>
      <c r="E218" s="38" t="s">
        <v>2397</v>
      </c>
      <c r="F218" s="31" t="s">
        <v>131</v>
      </c>
      <c r="G218" s="31" t="s">
        <v>3665</v>
      </c>
      <c r="H218" s="31" t="s">
        <v>3666</v>
      </c>
      <c r="I218" s="31" t="s">
        <v>3842</v>
      </c>
      <c r="J218" s="37" t="s">
        <v>4047</v>
      </c>
      <c r="K218" s="31" t="s">
        <v>2328</v>
      </c>
      <c r="L218" s="31" t="s">
        <v>305</v>
      </c>
      <c r="M218" s="31" t="s">
        <v>2232</v>
      </c>
      <c r="N218" s="31" t="s">
        <v>2328</v>
      </c>
    </row>
    <row r="219" spans="1:14" ht="75" x14ac:dyDescent="0.25">
      <c r="A219" s="31" t="s">
        <v>2867</v>
      </c>
      <c r="B219" s="32" t="s">
        <v>1078</v>
      </c>
      <c r="C219" s="31" t="b">
        <v>0</v>
      </c>
      <c r="D219" s="31">
        <v>6</v>
      </c>
      <c r="E219" s="38" t="s">
        <v>2398</v>
      </c>
      <c r="F219" s="31" t="s">
        <v>131</v>
      </c>
      <c r="G219" s="31" t="s">
        <v>3665</v>
      </c>
      <c r="H219" s="31" t="s">
        <v>3666</v>
      </c>
      <c r="I219" s="31" t="s">
        <v>3842</v>
      </c>
      <c r="J219" s="37" t="s">
        <v>4047</v>
      </c>
      <c r="K219" s="31" t="s">
        <v>2328</v>
      </c>
      <c r="L219" s="31" t="s">
        <v>305</v>
      </c>
      <c r="M219" s="31" t="s">
        <v>2232</v>
      </c>
      <c r="N219" s="31" t="s">
        <v>2328</v>
      </c>
    </row>
    <row r="220" spans="1:14" ht="75" x14ac:dyDescent="0.25">
      <c r="A220" s="31" t="s">
        <v>2868</v>
      </c>
      <c r="B220" s="32" t="s">
        <v>1080</v>
      </c>
      <c r="C220" s="31" t="b">
        <v>0</v>
      </c>
      <c r="D220" s="31">
        <v>6</v>
      </c>
      <c r="E220" s="38" t="s">
        <v>1082</v>
      </c>
      <c r="F220" s="31" t="s">
        <v>131</v>
      </c>
      <c r="G220" s="31" t="s">
        <v>3665</v>
      </c>
      <c r="H220" s="31" t="s">
        <v>3666</v>
      </c>
      <c r="I220" s="31" t="s">
        <v>3842</v>
      </c>
      <c r="J220" s="37" t="s">
        <v>4047</v>
      </c>
      <c r="K220" s="31" t="s">
        <v>2328</v>
      </c>
      <c r="L220" s="31" t="s">
        <v>305</v>
      </c>
      <c r="M220" s="31" t="s">
        <v>2232</v>
      </c>
      <c r="N220" s="31" t="s">
        <v>2328</v>
      </c>
    </row>
    <row r="221" spans="1:14" ht="75" x14ac:dyDescent="0.25">
      <c r="A221" s="31" t="s">
        <v>2869</v>
      </c>
      <c r="B221" s="32" t="s">
        <v>1083</v>
      </c>
      <c r="C221" s="31" t="b">
        <v>0</v>
      </c>
      <c r="D221" s="31">
        <v>6</v>
      </c>
      <c r="E221" s="38" t="s">
        <v>1085</v>
      </c>
      <c r="F221" s="31" t="s">
        <v>131</v>
      </c>
      <c r="G221" s="31" t="s">
        <v>3665</v>
      </c>
      <c r="H221" s="31" t="s">
        <v>3666</v>
      </c>
      <c r="I221" s="31" t="s">
        <v>3842</v>
      </c>
      <c r="J221" s="37" t="s">
        <v>4047</v>
      </c>
      <c r="K221" s="31" t="s">
        <v>2328</v>
      </c>
      <c r="L221" s="31" t="s">
        <v>305</v>
      </c>
      <c r="M221" s="31" t="s">
        <v>2232</v>
      </c>
      <c r="N221" s="31" t="s">
        <v>2328</v>
      </c>
    </row>
    <row r="222" spans="1:14" ht="75" x14ac:dyDescent="0.25">
      <c r="A222" s="31" t="s">
        <v>2870</v>
      </c>
      <c r="B222" s="32" t="s">
        <v>1086</v>
      </c>
      <c r="C222" s="31" t="b">
        <v>0</v>
      </c>
      <c r="D222" s="31">
        <v>6</v>
      </c>
      <c r="E222" s="38" t="s">
        <v>1088</v>
      </c>
      <c r="F222" s="31" t="s">
        <v>131</v>
      </c>
      <c r="G222" s="31" t="s">
        <v>3665</v>
      </c>
      <c r="H222" s="31" t="s">
        <v>3666</v>
      </c>
      <c r="I222" s="31" t="s">
        <v>3842</v>
      </c>
      <c r="J222" s="37" t="s">
        <v>4047</v>
      </c>
      <c r="K222" s="31" t="s">
        <v>2328</v>
      </c>
      <c r="L222" s="31" t="s">
        <v>305</v>
      </c>
      <c r="M222" s="31" t="s">
        <v>2232</v>
      </c>
      <c r="N222" s="31" t="s">
        <v>2328</v>
      </c>
    </row>
    <row r="223" spans="1:14" ht="75" x14ac:dyDescent="0.25">
      <c r="A223" s="31" t="s">
        <v>2871</v>
      </c>
      <c r="B223" s="32" t="s">
        <v>1089</v>
      </c>
      <c r="C223" s="31" t="b">
        <v>0</v>
      </c>
      <c r="D223" s="31">
        <v>6</v>
      </c>
      <c r="E223" s="38" t="s">
        <v>1091</v>
      </c>
      <c r="F223" s="31" t="s">
        <v>131</v>
      </c>
      <c r="G223" s="31" t="s">
        <v>3665</v>
      </c>
      <c r="H223" s="31" t="s">
        <v>3666</v>
      </c>
      <c r="I223" s="31" t="s">
        <v>3842</v>
      </c>
      <c r="J223" s="37" t="s">
        <v>4047</v>
      </c>
      <c r="K223" s="31" t="s">
        <v>2328</v>
      </c>
      <c r="L223" s="31" t="s">
        <v>305</v>
      </c>
      <c r="M223" s="31" t="s">
        <v>2232</v>
      </c>
      <c r="N223" s="31" t="s">
        <v>2328</v>
      </c>
    </row>
    <row r="224" spans="1:14" ht="75" x14ac:dyDescent="0.25">
      <c r="A224" s="31" t="s">
        <v>2872</v>
      </c>
      <c r="B224" s="32" t="s">
        <v>1092</v>
      </c>
      <c r="C224" s="31" t="b">
        <v>0</v>
      </c>
      <c r="D224" s="31">
        <v>6</v>
      </c>
      <c r="E224" s="38" t="s">
        <v>2244</v>
      </c>
      <c r="F224" s="31" t="s">
        <v>131</v>
      </c>
      <c r="G224" s="31" t="s">
        <v>3665</v>
      </c>
      <c r="H224" s="31" t="s">
        <v>3666</v>
      </c>
      <c r="I224" s="31" t="s">
        <v>3842</v>
      </c>
      <c r="J224" s="37" t="s">
        <v>4047</v>
      </c>
      <c r="K224" s="31" t="s">
        <v>2328</v>
      </c>
      <c r="L224" s="31" t="s">
        <v>305</v>
      </c>
      <c r="M224" s="31" t="s">
        <v>2232</v>
      </c>
      <c r="N224" s="31" t="s">
        <v>2328</v>
      </c>
    </row>
    <row r="225" spans="1:14" ht="75" x14ac:dyDescent="0.25">
      <c r="A225" s="31" t="s">
        <v>2873</v>
      </c>
      <c r="B225" s="32" t="s">
        <v>1094</v>
      </c>
      <c r="C225" s="31" t="b">
        <v>0</v>
      </c>
      <c r="D225" s="31">
        <v>6</v>
      </c>
      <c r="E225" s="38" t="s">
        <v>1096</v>
      </c>
      <c r="F225" s="31" t="s">
        <v>131</v>
      </c>
      <c r="G225" s="31" t="s">
        <v>3665</v>
      </c>
      <c r="H225" s="31" t="s">
        <v>3666</v>
      </c>
      <c r="I225" s="31" t="s">
        <v>3842</v>
      </c>
      <c r="J225" s="37" t="s">
        <v>4047</v>
      </c>
      <c r="K225" s="31" t="s">
        <v>2328</v>
      </c>
      <c r="L225" s="31" t="s">
        <v>305</v>
      </c>
      <c r="M225" s="31" t="s">
        <v>2232</v>
      </c>
      <c r="N225" s="31" t="s">
        <v>2328</v>
      </c>
    </row>
    <row r="226" spans="1:14" ht="75" x14ac:dyDescent="0.25">
      <c r="A226" s="31" t="s">
        <v>2874</v>
      </c>
      <c r="B226" s="32" t="s">
        <v>1097</v>
      </c>
      <c r="C226" s="31" t="b">
        <v>0</v>
      </c>
      <c r="D226" s="31">
        <v>6</v>
      </c>
      <c r="E226" s="38" t="s">
        <v>1099</v>
      </c>
      <c r="F226" s="31" t="s">
        <v>131</v>
      </c>
      <c r="G226" s="31" t="s">
        <v>3665</v>
      </c>
      <c r="H226" s="31" t="s">
        <v>3666</v>
      </c>
      <c r="I226" s="31" t="s">
        <v>3842</v>
      </c>
      <c r="J226" s="37" t="s">
        <v>4047</v>
      </c>
      <c r="K226" s="31" t="s">
        <v>2328</v>
      </c>
      <c r="L226" s="31" t="s">
        <v>305</v>
      </c>
      <c r="M226" s="31" t="s">
        <v>2232</v>
      </c>
      <c r="N226" s="31" t="s">
        <v>2328</v>
      </c>
    </row>
    <row r="227" spans="1:14" ht="75" x14ac:dyDescent="0.25">
      <c r="A227" s="31" t="s">
        <v>2328</v>
      </c>
      <c r="B227" s="32" t="s">
        <v>1100</v>
      </c>
      <c r="C227" s="31" t="b">
        <v>1</v>
      </c>
      <c r="D227" s="31">
        <v>4</v>
      </c>
      <c r="E227" s="35" t="s">
        <v>2440</v>
      </c>
      <c r="F227" s="31" t="s">
        <v>3443</v>
      </c>
      <c r="G227" s="31" t="s">
        <v>3665</v>
      </c>
      <c r="H227" s="31" t="s">
        <v>3666</v>
      </c>
      <c r="I227" s="31" t="s">
        <v>3842</v>
      </c>
      <c r="J227" s="37" t="s">
        <v>4047</v>
      </c>
      <c r="K227" s="31" t="s">
        <v>2328</v>
      </c>
      <c r="L227" s="31" t="s">
        <v>303</v>
      </c>
      <c r="M227" s="31" t="s">
        <v>2232</v>
      </c>
      <c r="N227" s="31" t="s">
        <v>2328</v>
      </c>
    </row>
    <row r="228" spans="1:14" ht="75" x14ac:dyDescent="0.25">
      <c r="A228" s="31" t="s">
        <v>2875</v>
      </c>
      <c r="B228" s="32" t="s">
        <v>1103</v>
      </c>
      <c r="C228" s="31" t="b">
        <v>0</v>
      </c>
      <c r="D228" s="31">
        <v>6</v>
      </c>
      <c r="E228" s="38" t="s">
        <v>2399</v>
      </c>
      <c r="F228" s="31" t="s">
        <v>131</v>
      </c>
      <c r="G228" s="31" t="s">
        <v>3665</v>
      </c>
      <c r="H228" s="31" t="s">
        <v>3666</v>
      </c>
      <c r="I228" s="31" t="s">
        <v>3842</v>
      </c>
      <c r="J228" s="37" t="s">
        <v>4047</v>
      </c>
      <c r="K228" s="31" t="s">
        <v>2328</v>
      </c>
      <c r="L228" s="31" t="s">
        <v>305</v>
      </c>
      <c r="M228" s="31" t="s">
        <v>2232</v>
      </c>
      <c r="N228" s="31" t="s">
        <v>2328</v>
      </c>
    </row>
    <row r="229" spans="1:14" ht="75" x14ac:dyDescent="0.25">
      <c r="A229" s="31" t="s">
        <v>2876</v>
      </c>
      <c r="B229" s="32" t="s">
        <v>1105</v>
      </c>
      <c r="C229" s="31" t="b">
        <v>0</v>
      </c>
      <c r="D229" s="31">
        <v>6</v>
      </c>
      <c r="E229" s="38" t="s">
        <v>2400</v>
      </c>
      <c r="F229" s="31" t="s">
        <v>131</v>
      </c>
      <c r="G229" s="31" t="s">
        <v>3665</v>
      </c>
      <c r="H229" s="31" t="s">
        <v>3666</v>
      </c>
      <c r="I229" s="31" t="s">
        <v>3842</v>
      </c>
      <c r="J229" s="37" t="s">
        <v>4047</v>
      </c>
      <c r="K229" s="31" t="s">
        <v>2328</v>
      </c>
      <c r="L229" s="31" t="s">
        <v>305</v>
      </c>
      <c r="M229" s="31" t="s">
        <v>2232</v>
      </c>
      <c r="N229" s="31" t="s">
        <v>2328</v>
      </c>
    </row>
    <row r="230" spans="1:14" ht="75" x14ac:dyDescent="0.25">
      <c r="A230" s="31" t="s">
        <v>2877</v>
      </c>
      <c r="B230" s="32" t="s">
        <v>1107</v>
      </c>
      <c r="C230" s="31" t="b">
        <v>0</v>
      </c>
      <c r="D230" s="31">
        <v>6</v>
      </c>
      <c r="E230" s="38" t="s">
        <v>1109</v>
      </c>
      <c r="F230" s="31" t="s">
        <v>131</v>
      </c>
      <c r="G230" s="31" t="s">
        <v>3665</v>
      </c>
      <c r="H230" s="31" t="s">
        <v>3666</v>
      </c>
      <c r="I230" s="31" t="s">
        <v>3842</v>
      </c>
      <c r="J230" s="37" t="s">
        <v>4047</v>
      </c>
      <c r="K230" s="31" t="s">
        <v>2328</v>
      </c>
      <c r="L230" s="31" t="s">
        <v>305</v>
      </c>
      <c r="M230" s="31" t="s">
        <v>2232</v>
      </c>
      <c r="N230" s="31" t="s">
        <v>2328</v>
      </c>
    </row>
    <row r="231" spans="1:14" ht="75" x14ac:dyDescent="0.25">
      <c r="A231" s="31" t="s">
        <v>2878</v>
      </c>
      <c r="B231" s="32" t="s">
        <v>1110</v>
      </c>
      <c r="C231" s="31" t="b">
        <v>0</v>
      </c>
      <c r="D231" s="31">
        <v>6</v>
      </c>
      <c r="E231" s="38" t="s">
        <v>1112</v>
      </c>
      <c r="F231" s="31" t="s">
        <v>131</v>
      </c>
      <c r="G231" s="31" t="s">
        <v>3665</v>
      </c>
      <c r="H231" s="31" t="s">
        <v>3666</v>
      </c>
      <c r="I231" s="31" t="s">
        <v>3842</v>
      </c>
      <c r="J231" s="37" t="s">
        <v>4047</v>
      </c>
      <c r="K231" s="31" t="s">
        <v>2328</v>
      </c>
      <c r="L231" s="31" t="s">
        <v>305</v>
      </c>
      <c r="M231" s="31" t="s">
        <v>2232</v>
      </c>
      <c r="N231" s="31" t="s">
        <v>2328</v>
      </c>
    </row>
    <row r="232" spans="1:14" ht="75" x14ac:dyDescent="0.25">
      <c r="A232" s="31" t="s">
        <v>2879</v>
      </c>
      <c r="B232" s="32" t="s">
        <v>1113</v>
      </c>
      <c r="C232" s="31" t="b">
        <v>0</v>
      </c>
      <c r="D232" s="31">
        <v>6</v>
      </c>
      <c r="E232" s="38" t="s">
        <v>1115</v>
      </c>
      <c r="F232" s="31" t="s">
        <v>131</v>
      </c>
      <c r="G232" s="31" t="s">
        <v>3665</v>
      </c>
      <c r="H232" s="31" t="s">
        <v>3666</v>
      </c>
      <c r="I232" s="31" t="s">
        <v>3842</v>
      </c>
      <c r="J232" s="37" t="s">
        <v>4047</v>
      </c>
      <c r="K232" s="31" t="s">
        <v>2328</v>
      </c>
      <c r="L232" s="31" t="s">
        <v>305</v>
      </c>
      <c r="M232" s="31" t="s">
        <v>2232</v>
      </c>
      <c r="N232" s="31" t="s">
        <v>2328</v>
      </c>
    </row>
    <row r="233" spans="1:14" ht="75" x14ac:dyDescent="0.25">
      <c r="A233" s="31" t="s">
        <v>2328</v>
      </c>
      <c r="B233" s="32" t="s">
        <v>2245</v>
      </c>
      <c r="C233" s="31" t="b">
        <v>1</v>
      </c>
      <c r="D233" s="31">
        <v>4</v>
      </c>
      <c r="E233" s="35" t="s">
        <v>3343</v>
      </c>
      <c r="F233" s="31" t="s">
        <v>3443</v>
      </c>
      <c r="G233" s="31" t="s">
        <v>3665</v>
      </c>
      <c r="H233" s="31" t="s">
        <v>3666</v>
      </c>
      <c r="I233" s="31" t="s">
        <v>3842</v>
      </c>
      <c r="J233" s="37" t="s">
        <v>4047</v>
      </c>
      <c r="K233" s="31" t="s">
        <v>2328</v>
      </c>
      <c r="L233" s="31" t="s">
        <v>303</v>
      </c>
      <c r="M233" s="31" t="s">
        <v>2232</v>
      </c>
      <c r="N233" s="31" t="s">
        <v>2328</v>
      </c>
    </row>
    <row r="234" spans="1:14" ht="75" x14ac:dyDescent="0.25">
      <c r="A234" s="31" t="s">
        <v>2880</v>
      </c>
      <c r="B234" s="32" t="s">
        <v>1116</v>
      </c>
      <c r="C234" s="31" t="b">
        <v>0</v>
      </c>
      <c r="D234" s="31">
        <v>6</v>
      </c>
      <c r="E234" s="38" t="s">
        <v>1118</v>
      </c>
      <c r="F234" s="31" t="s">
        <v>131</v>
      </c>
      <c r="G234" s="31" t="s">
        <v>3665</v>
      </c>
      <c r="H234" s="31" t="s">
        <v>3666</v>
      </c>
      <c r="I234" s="31" t="s">
        <v>3842</v>
      </c>
      <c r="J234" s="37" t="s">
        <v>4047</v>
      </c>
      <c r="K234" s="31" t="s">
        <v>2328</v>
      </c>
      <c r="L234" s="31" t="s">
        <v>307</v>
      </c>
      <c r="M234" s="31" t="s">
        <v>2232</v>
      </c>
      <c r="N234" s="31" t="s">
        <v>2328</v>
      </c>
    </row>
    <row r="235" spans="1:14" ht="75" x14ac:dyDescent="0.25">
      <c r="A235" s="31" t="s">
        <v>2881</v>
      </c>
      <c r="B235" s="32" t="s">
        <v>1119</v>
      </c>
      <c r="C235" s="31" t="b">
        <v>0</v>
      </c>
      <c r="D235" s="31">
        <v>6</v>
      </c>
      <c r="E235" s="38" t="s">
        <v>1121</v>
      </c>
      <c r="F235" s="31" t="s">
        <v>131</v>
      </c>
      <c r="G235" s="31" t="s">
        <v>3665</v>
      </c>
      <c r="H235" s="31" t="s">
        <v>3666</v>
      </c>
      <c r="I235" s="31" t="s">
        <v>3842</v>
      </c>
      <c r="J235" s="37" t="s">
        <v>4047</v>
      </c>
      <c r="K235" s="31" t="s">
        <v>2328</v>
      </c>
      <c r="L235" s="31" t="s">
        <v>307</v>
      </c>
      <c r="M235" s="31" t="s">
        <v>2232</v>
      </c>
      <c r="N235" s="31" t="s">
        <v>2328</v>
      </c>
    </row>
    <row r="236" spans="1:14" ht="75" x14ac:dyDescent="0.25">
      <c r="A236" s="31" t="s">
        <v>2328</v>
      </c>
      <c r="B236" s="32" t="s">
        <v>1122</v>
      </c>
      <c r="C236" s="31" t="b">
        <v>1</v>
      </c>
      <c r="D236" s="31">
        <v>2</v>
      </c>
      <c r="E236" s="34" t="s">
        <v>2427</v>
      </c>
      <c r="F236" s="31" t="s">
        <v>3443</v>
      </c>
      <c r="G236" s="31" t="s">
        <v>3665</v>
      </c>
      <c r="H236" s="31" t="s">
        <v>3666</v>
      </c>
      <c r="I236" s="31" t="s">
        <v>3842</v>
      </c>
      <c r="J236" s="37" t="s">
        <v>4047</v>
      </c>
      <c r="K236" s="31" t="s">
        <v>2328</v>
      </c>
      <c r="L236" s="31" t="s">
        <v>309</v>
      </c>
      <c r="M236" s="31" t="s">
        <v>2232</v>
      </c>
      <c r="N236" s="31" t="s">
        <v>2328</v>
      </c>
    </row>
    <row r="237" spans="1:14" ht="75" x14ac:dyDescent="0.25">
      <c r="A237" s="31" t="s">
        <v>2328</v>
      </c>
      <c r="B237" s="32" t="s">
        <v>2248</v>
      </c>
      <c r="C237" s="31" t="b">
        <v>1</v>
      </c>
      <c r="D237" s="31">
        <v>4</v>
      </c>
      <c r="E237" s="35" t="s">
        <v>3344</v>
      </c>
      <c r="F237" s="31" t="s">
        <v>3443</v>
      </c>
      <c r="G237" s="31" t="s">
        <v>3665</v>
      </c>
      <c r="H237" s="31" t="s">
        <v>3666</v>
      </c>
      <c r="I237" s="31" t="s">
        <v>3842</v>
      </c>
      <c r="J237" s="37" t="s">
        <v>4047</v>
      </c>
      <c r="K237" s="31" t="s">
        <v>2328</v>
      </c>
      <c r="L237" s="31" t="s">
        <v>309</v>
      </c>
      <c r="M237" s="31" t="s">
        <v>2232</v>
      </c>
      <c r="N237" s="31" t="s">
        <v>2328</v>
      </c>
    </row>
    <row r="238" spans="1:14" ht="90" x14ac:dyDescent="0.25">
      <c r="A238" s="31" t="s">
        <v>2882</v>
      </c>
      <c r="B238" s="32" t="s">
        <v>1124</v>
      </c>
      <c r="C238" s="31" t="b">
        <v>0</v>
      </c>
      <c r="D238" s="31">
        <v>4</v>
      </c>
      <c r="E238" s="35" t="s">
        <v>2251</v>
      </c>
      <c r="F238" s="31" t="s">
        <v>131</v>
      </c>
      <c r="G238" s="31" t="s">
        <v>3665</v>
      </c>
      <c r="H238" s="31" t="s">
        <v>3666</v>
      </c>
      <c r="I238" s="31" t="s">
        <v>3842</v>
      </c>
      <c r="J238" s="37" t="s">
        <v>4047</v>
      </c>
      <c r="K238" s="31" t="s">
        <v>2328</v>
      </c>
      <c r="L238" s="31" t="s">
        <v>309</v>
      </c>
      <c r="M238" s="31" t="s">
        <v>2232</v>
      </c>
      <c r="N238" s="31" t="s">
        <v>2328</v>
      </c>
    </row>
    <row r="239" spans="1:14" ht="75" x14ac:dyDescent="0.25">
      <c r="A239" s="31" t="s">
        <v>2328</v>
      </c>
      <c r="B239" s="32" t="s">
        <v>1126</v>
      </c>
      <c r="C239" s="31" t="b">
        <v>0</v>
      </c>
      <c r="D239" s="31">
        <v>4</v>
      </c>
      <c r="E239" s="35" t="s">
        <v>1128</v>
      </c>
      <c r="F239" s="31" t="s">
        <v>139</v>
      </c>
      <c r="G239" s="31" t="s">
        <v>3665</v>
      </c>
      <c r="H239" s="31" t="s">
        <v>3666</v>
      </c>
      <c r="I239" s="31" t="s">
        <v>3842</v>
      </c>
      <c r="J239" s="37" t="s">
        <v>4047</v>
      </c>
      <c r="K239" s="31" t="s">
        <v>2328</v>
      </c>
      <c r="L239" s="31" t="s">
        <v>309</v>
      </c>
      <c r="M239" s="31" t="s">
        <v>2232</v>
      </c>
      <c r="N239" s="31" t="s">
        <v>2328</v>
      </c>
    </row>
    <row r="240" spans="1:14" ht="75" x14ac:dyDescent="0.25">
      <c r="A240" s="31" t="s">
        <v>2328</v>
      </c>
      <c r="B240" s="32" t="s">
        <v>1129</v>
      </c>
      <c r="C240" s="31" t="b">
        <v>1</v>
      </c>
      <c r="D240" s="31">
        <v>4</v>
      </c>
      <c r="E240" s="35" t="s">
        <v>2391</v>
      </c>
      <c r="F240" s="31" t="s">
        <v>3443</v>
      </c>
      <c r="G240" s="31" t="s">
        <v>3665</v>
      </c>
      <c r="H240" s="31" t="s">
        <v>3666</v>
      </c>
      <c r="I240" s="31" t="s">
        <v>3842</v>
      </c>
      <c r="J240" s="37" t="s">
        <v>4047</v>
      </c>
      <c r="K240" s="31" t="s">
        <v>2328</v>
      </c>
      <c r="L240" s="31" t="s">
        <v>309</v>
      </c>
      <c r="M240" s="31" t="s">
        <v>2232</v>
      </c>
      <c r="N240" s="31" t="s">
        <v>2328</v>
      </c>
    </row>
    <row r="241" spans="1:14" ht="75" x14ac:dyDescent="0.25">
      <c r="A241" s="31" t="s">
        <v>2883</v>
      </c>
      <c r="B241" s="32" t="s">
        <v>1132</v>
      </c>
      <c r="C241" s="31" t="b">
        <v>0</v>
      </c>
      <c r="D241" s="31">
        <v>6</v>
      </c>
      <c r="E241" s="38" t="s">
        <v>1134</v>
      </c>
      <c r="F241" s="31" t="s">
        <v>131</v>
      </c>
      <c r="G241" s="31" t="s">
        <v>3665</v>
      </c>
      <c r="H241" s="31" t="s">
        <v>3666</v>
      </c>
      <c r="I241" s="31" t="s">
        <v>3842</v>
      </c>
      <c r="J241" s="37" t="s">
        <v>4047</v>
      </c>
      <c r="K241" s="31" t="s">
        <v>2328</v>
      </c>
      <c r="L241" s="31" t="s">
        <v>309</v>
      </c>
      <c r="M241" s="31" t="s">
        <v>2232</v>
      </c>
      <c r="N241" s="31" t="s">
        <v>2328</v>
      </c>
    </row>
    <row r="242" spans="1:14" ht="75" x14ac:dyDescent="0.25">
      <c r="A242" s="31" t="s">
        <v>2884</v>
      </c>
      <c r="B242" s="32" t="s">
        <v>1135</v>
      </c>
      <c r="C242" s="31" t="b">
        <v>0</v>
      </c>
      <c r="D242" s="31">
        <v>6</v>
      </c>
      <c r="E242" s="38" t="s">
        <v>1137</v>
      </c>
      <c r="F242" s="31" t="s">
        <v>131</v>
      </c>
      <c r="G242" s="31" t="s">
        <v>3665</v>
      </c>
      <c r="H242" s="31" t="s">
        <v>3666</v>
      </c>
      <c r="I242" s="31" t="s">
        <v>3842</v>
      </c>
      <c r="J242" s="37" t="s">
        <v>4047</v>
      </c>
      <c r="K242" s="31" t="s">
        <v>2328</v>
      </c>
      <c r="L242" s="31" t="s">
        <v>309</v>
      </c>
      <c r="M242" s="31" t="s">
        <v>2232</v>
      </c>
      <c r="N242" s="31" t="s">
        <v>2328</v>
      </c>
    </row>
    <row r="243" spans="1:14" ht="75" x14ac:dyDescent="0.25">
      <c r="A243" s="31" t="s">
        <v>2885</v>
      </c>
      <c r="B243" s="32" t="s">
        <v>1138</v>
      </c>
      <c r="C243" s="31" t="b">
        <v>0</v>
      </c>
      <c r="D243" s="31">
        <v>6</v>
      </c>
      <c r="E243" s="38" t="s">
        <v>1140</v>
      </c>
      <c r="F243" s="31" t="s">
        <v>131</v>
      </c>
      <c r="G243" s="31" t="s">
        <v>3665</v>
      </c>
      <c r="H243" s="31" t="s">
        <v>3666</v>
      </c>
      <c r="I243" s="31" t="s">
        <v>3842</v>
      </c>
      <c r="J243" s="37" t="s">
        <v>4047</v>
      </c>
      <c r="K243" s="31" t="s">
        <v>2328</v>
      </c>
      <c r="L243" s="31" t="s">
        <v>309</v>
      </c>
      <c r="M243" s="31" t="s">
        <v>2232</v>
      </c>
      <c r="N243" s="31" t="s">
        <v>2328</v>
      </c>
    </row>
    <row r="244" spans="1:14" ht="75" x14ac:dyDescent="0.25">
      <c r="A244" s="31" t="s">
        <v>2328</v>
      </c>
      <c r="B244" s="32" t="s">
        <v>1141</v>
      </c>
      <c r="C244" s="31" t="b">
        <v>1</v>
      </c>
      <c r="D244" s="31">
        <v>4</v>
      </c>
      <c r="E244" s="35" t="s">
        <v>2392</v>
      </c>
      <c r="F244" s="31" t="s">
        <v>3443</v>
      </c>
      <c r="G244" s="31" t="s">
        <v>3665</v>
      </c>
      <c r="H244" s="31" t="s">
        <v>3666</v>
      </c>
      <c r="I244" s="31" t="s">
        <v>3842</v>
      </c>
      <c r="J244" s="37" t="s">
        <v>4047</v>
      </c>
      <c r="K244" s="31" t="s">
        <v>2328</v>
      </c>
      <c r="L244" s="31" t="s">
        <v>309</v>
      </c>
      <c r="M244" s="31" t="s">
        <v>2232</v>
      </c>
      <c r="N244" s="31" t="s">
        <v>2328</v>
      </c>
    </row>
    <row r="245" spans="1:14" ht="75" x14ac:dyDescent="0.25">
      <c r="A245" s="31" t="s">
        <v>2886</v>
      </c>
      <c r="B245" s="32" t="s">
        <v>1144</v>
      </c>
      <c r="C245" s="31" t="b">
        <v>0</v>
      </c>
      <c r="D245" s="31">
        <v>6</v>
      </c>
      <c r="E245" s="38" t="s">
        <v>1146</v>
      </c>
      <c r="F245" s="31" t="s">
        <v>131</v>
      </c>
      <c r="G245" s="31" t="s">
        <v>3665</v>
      </c>
      <c r="H245" s="31" t="s">
        <v>3666</v>
      </c>
      <c r="I245" s="31" t="s">
        <v>3842</v>
      </c>
      <c r="J245" s="37" t="s">
        <v>4047</v>
      </c>
      <c r="K245" s="31" t="s">
        <v>2328</v>
      </c>
      <c r="L245" s="31" t="s">
        <v>309</v>
      </c>
      <c r="M245" s="31" t="s">
        <v>2232</v>
      </c>
      <c r="N245" s="31" t="s">
        <v>2328</v>
      </c>
    </row>
    <row r="246" spans="1:14" ht="75" x14ac:dyDescent="0.25">
      <c r="A246" s="31" t="s">
        <v>2887</v>
      </c>
      <c r="B246" s="32" t="s">
        <v>1147</v>
      </c>
      <c r="C246" s="31" t="b">
        <v>0</v>
      </c>
      <c r="D246" s="31">
        <v>6</v>
      </c>
      <c r="E246" s="38" t="s">
        <v>1149</v>
      </c>
      <c r="F246" s="31" t="s">
        <v>131</v>
      </c>
      <c r="G246" s="31" t="s">
        <v>3665</v>
      </c>
      <c r="H246" s="31" t="s">
        <v>3666</v>
      </c>
      <c r="I246" s="31" t="s">
        <v>3842</v>
      </c>
      <c r="J246" s="37" t="s">
        <v>4047</v>
      </c>
      <c r="K246" s="31" t="s">
        <v>2328</v>
      </c>
      <c r="L246" s="31" t="s">
        <v>309</v>
      </c>
      <c r="M246" s="31" t="s">
        <v>2232</v>
      </c>
      <c r="N246" s="31" t="s">
        <v>2328</v>
      </c>
    </row>
    <row r="247" spans="1:14" ht="75" x14ac:dyDescent="0.25">
      <c r="A247" s="31" t="s">
        <v>2888</v>
      </c>
      <c r="B247" s="32" t="s">
        <v>1150</v>
      </c>
      <c r="C247" s="31" t="b">
        <v>0</v>
      </c>
      <c r="D247" s="31">
        <v>6</v>
      </c>
      <c r="E247" s="38" t="s">
        <v>1152</v>
      </c>
      <c r="F247" s="31" t="s">
        <v>131</v>
      </c>
      <c r="G247" s="31" t="s">
        <v>3665</v>
      </c>
      <c r="H247" s="31" t="s">
        <v>3666</v>
      </c>
      <c r="I247" s="31" t="s">
        <v>3842</v>
      </c>
      <c r="J247" s="37" t="s">
        <v>4047</v>
      </c>
      <c r="K247" s="31" t="s">
        <v>2328</v>
      </c>
      <c r="L247" s="31" t="s">
        <v>309</v>
      </c>
      <c r="M247" s="31" t="s">
        <v>2232</v>
      </c>
      <c r="N247" s="31" t="s">
        <v>2328</v>
      </c>
    </row>
    <row r="248" spans="1:14" ht="75" x14ac:dyDescent="0.25">
      <c r="A248" s="31" t="s">
        <v>2889</v>
      </c>
      <c r="B248" s="32" t="s">
        <v>1153</v>
      </c>
      <c r="C248" s="31" t="b">
        <v>0</v>
      </c>
      <c r="D248" s="31">
        <v>6</v>
      </c>
      <c r="E248" s="38" t="s">
        <v>1155</v>
      </c>
      <c r="F248" s="31" t="s">
        <v>131</v>
      </c>
      <c r="G248" s="31" t="s">
        <v>3665</v>
      </c>
      <c r="H248" s="31" t="s">
        <v>3666</v>
      </c>
      <c r="I248" s="31" t="s">
        <v>3842</v>
      </c>
      <c r="J248" s="37" t="s">
        <v>4047</v>
      </c>
      <c r="K248" s="31" t="s">
        <v>2328</v>
      </c>
      <c r="L248" s="31" t="s">
        <v>309</v>
      </c>
      <c r="M248" s="31" t="s">
        <v>2232</v>
      </c>
      <c r="N248" s="31" t="s">
        <v>2328</v>
      </c>
    </row>
    <row r="249" spans="1:14" ht="75" x14ac:dyDescent="0.25">
      <c r="A249" s="31" t="s">
        <v>2890</v>
      </c>
      <c r="B249" s="32" t="s">
        <v>1156</v>
      </c>
      <c r="C249" s="31" t="b">
        <v>0</v>
      </c>
      <c r="D249" s="31">
        <v>6</v>
      </c>
      <c r="E249" s="38" t="s">
        <v>1158</v>
      </c>
      <c r="F249" s="31" t="s">
        <v>131</v>
      </c>
      <c r="G249" s="31" t="s">
        <v>3665</v>
      </c>
      <c r="H249" s="31" t="s">
        <v>3666</v>
      </c>
      <c r="I249" s="31" t="s">
        <v>3842</v>
      </c>
      <c r="J249" s="37" t="s">
        <v>4047</v>
      </c>
      <c r="K249" s="31" t="s">
        <v>2328</v>
      </c>
      <c r="L249" s="31" t="s">
        <v>309</v>
      </c>
      <c r="M249" s="31" t="s">
        <v>2232</v>
      </c>
      <c r="N249" s="31" t="s">
        <v>2328</v>
      </c>
    </row>
    <row r="250" spans="1:14" ht="75" x14ac:dyDescent="0.25">
      <c r="A250" s="31" t="s">
        <v>2328</v>
      </c>
      <c r="B250" s="32" t="s">
        <v>1159</v>
      </c>
      <c r="C250" s="31" t="b">
        <v>1</v>
      </c>
      <c r="D250" s="31">
        <v>4</v>
      </c>
      <c r="E250" s="35" t="s">
        <v>2393</v>
      </c>
      <c r="F250" s="31" t="s">
        <v>3443</v>
      </c>
      <c r="G250" s="31" t="s">
        <v>3665</v>
      </c>
      <c r="H250" s="31" t="s">
        <v>3666</v>
      </c>
      <c r="I250" s="31" t="s">
        <v>3842</v>
      </c>
      <c r="J250" s="37" t="s">
        <v>4047</v>
      </c>
      <c r="K250" s="31" t="s">
        <v>2328</v>
      </c>
      <c r="L250" s="31" t="s">
        <v>309</v>
      </c>
      <c r="M250" s="31" t="s">
        <v>2232</v>
      </c>
      <c r="N250" s="31" t="s">
        <v>2328</v>
      </c>
    </row>
    <row r="251" spans="1:14" ht="75" x14ac:dyDescent="0.25">
      <c r="A251" s="31" t="s">
        <v>2891</v>
      </c>
      <c r="B251" s="32" t="s">
        <v>1162</v>
      </c>
      <c r="C251" s="31" t="b">
        <v>0</v>
      </c>
      <c r="D251" s="31">
        <v>6</v>
      </c>
      <c r="E251" s="38" t="s">
        <v>1164</v>
      </c>
      <c r="F251" s="31" t="s">
        <v>131</v>
      </c>
      <c r="G251" s="31" t="s">
        <v>3665</v>
      </c>
      <c r="H251" s="31" t="s">
        <v>3666</v>
      </c>
      <c r="I251" s="31" t="s">
        <v>3842</v>
      </c>
      <c r="J251" s="37" t="s">
        <v>4047</v>
      </c>
      <c r="K251" s="31" t="s">
        <v>2328</v>
      </c>
      <c r="L251" s="31" t="s">
        <v>309</v>
      </c>
      <c r="M251" s="31" t="s">
        <v>2232</v>
      </c>
      <c r="N251" s="31" t="s">
        <v>2328</v>
      </c>
    </row>
    <row r="252" spans="1:14" ht="75" x14ac:dyDescent="0.25">
      <c r="A252" s="31" t="s">
        <v>2892</v>
      </c>
      <c r="B252" s="32" t="s">
        <v>1165</v>
      </c>
      <c r="C252" s="31" t="b">
        <v>0</v>
      </c>
      <c r="D252" s="31">
        <v>6</v>
      </c>
      <c r="E252" s="38" t="s">
        <v>1167</v>
      </c>
      <c r="F252" s="31" t="s">
        <v>131</v>
      </c>
      <c r="G252" s="31" t="s">
        <v>3665</v>
      </c>
      <c r="H252" s="31" t="s">
        <v>3666</v>
      </c>
      <c r="I252" s="31" t="s">
        <v>3842</v>
      </c>
      <c r="J252" s="37" t="s">
        <v>4047</v>
      </c>
      <c r="K252" s="31" t="s">
        <v>2328</v>
      </c>
      <c r="L252" s="31" t="s">
        <v>309</v>
      </c>
      <c r="M252" s="31" t="s">
        <v>2232</v>
      </c>
      <c r="N252" s="31" t="s">
        <v>2328</v>
      </c>
    </row>
    <row r="253" spans="1:14" ht="75" x14ac:dyDescent="0.25">
      <c r="A253" s="31" t="s">
        <v>2893</v>
      </c>
      <c r="B253" s="32" t="s">
        <v>1168</v>
      </c>
      <c r="C253" s="31" t="b">
        <v>0</v>
      </c>
      <c r="D253" s="31">
        <v>6</v>
      </c>
      <c r="E253" s="38" t="s">
        <v>1170</v>
      </c>
      <c r="F253" s="31" t="s">
        <v>131</v>
      </c>
      <c r="G253" s="31" t="s">
        <v>3665</v>
      </c>
      <c r="H253" s="31" t="s">
        <v>3666</v>
      </c>
      <c r="I253" s="31" t="s">
        <v>3842</v>
      </c>
      <c r="J253" s="37" t="s">
        <v>4047</v>
      </c>
      <c r="K253" s="31" t="s">
        <v>2328</v>
      </c>
      <c r="L253" s="31" t="s">
        <v>309</v>
      </c>
      <c r="M253" s="31" t="s">
        <v>2232</v>
      </c>
      <c r="N253" s="31" t="s">
        <v>2328</v>
      </c>
    </row>
    <row r="254" spans="1:14" ht="75" x14ac:dyDescent="0.25">
      <c r="A254" s="31" t="s">
        <v>2894</v>
      </c>
      <c r="B254" s="32" t="s">
        <v>1171</v>
      </c>
      <c r="C254" s="31" t="b">
        <v>0</v>
      </c>
      <c r="D254" s="31">
        <v>6</v>
      </c>
      <c r="E254" s="38" t="s">
        <v>1173</v>
      </c>
      <c r="F254" s="31" t="s">
        <v>131</v>
      </c>
      <c r="G254" s="31" t="s">
        <v>3665</v>
      </c>
      <c r="H254" s="31" t="s">
        <v>3666</v>
      </c>
      <c r="I254" s="31" t="s">
        <v>3842</v>
      </c>
      <c r="J254" s="37" t="s">
        <v>4047</v>
      </c>
      <c r="K254" s="31" t="s">
        <v>2328</v>
      </c>
      <c r="L254" s="31" t="s">
        <v>309</v>
      </c>
      <c r="M254" s="31" t="s">
        <v>2232</v>
      </c>
      <c r="N254" s="31" t="s">
        <v>2328</v>
      </c>
    </row>
    <row r="255" spans="1:14" ht="75" x14ac:dyDescent="0.25">
      <c r="A255" s="31" t="s">
        <v>2895</v>
      </c>
      <c r="B255" s="32" t="s">
        <v>1174</v>
      </c>
      <c r="C255" s="31" t="b">
        <v>0</v>
      </c>
      <c r="D255" s="31">
        <v>6</v>
      </c>
      <c r="E255" s="38" t="s">
        <v>1176</v>
      </c>
      <c r="F255" s="31" t="s">
        <v>131</v>
      </c>
      <c r="G255" s="31" t="s">
        <v>3665</v>
      </c>
      <c r="H255" s="31" t="s">
        <v>3666</v>
      </c>
      <c r="I255" s="31" t="s">
        <v>3842</v>
      </c>
      <c r="J255" s="37" t="s">
        <v>4047</v>
      </c>
      <c r="K255" s="31" t="s">
        <v>2328</v>
      </c>
      <c r="L255" s="31" t="s">
        <v>309</v>
      </c>
      <c r="M255" s="31" t="s">
        <v>2232</v>
      </c>
      <c r="N255" s="31" t="s">
        <v>2328</v>
      </c>
    </row>
    <row r="256" spans="1:14" ht="75" x14ac:dyDescent="0.25">
      <c r="A256" s="31" t="s">
        <v>2328</v>
      </c>
      <c r="B256" s="32" t="s">
        <v>1177</v>
      </c>
      <c r="C256" s="31" t="b">
        <v>0</v>
      </c>
      <c r="D256" s="31">
        <v>6</v>
      </c>
      <c r="E256" s="38" t="s">
        <v>1179</v>
      </c>
      <c r="F256" s="31" t="s">
        <v>139</v>
      </c>
      <c r="G256" s="31" t="s">
        <v>3665</v>
      </c>
      <c r="H256" s="31" t="s">
        <v>3666</v>
      </c>
      <c r="I256" s="31" t="s">
        <v>3842</v>
      </c>
      <c r="J256" s="37" t="s">
        <v>4047</v>
      </c>
      <c r="K256" s="31" t="s">
        <v>2328</v>
      </c>
      <c r="L256" s="31" t="s">
        <v>309</v>
      </c>
      <c r="M256" s="31" t="s">
        <v>2232</v>
      </c>
      <c r="N256" s="31" t="s">
        <v>2328</v>
      </c>
    </row>
    <row r="257" spans="1:14" ht="75" x14ac:dyDescent="0.25">
      <c r="A257" s="31" t="s">
        <v>2328</v>
      </c>
      <c r="B257" s="32" t="s">
        <v>1180</v>
      </c>
      <c r="C257" s="31" t="b">
        <v>1</v>
      </c>
      <c r="D257" s="31">
        <v>4</v>
      </c>
      <c r="E257" s="35" t="s">
        <v>2394</v>
      </c>
      <c r="F257" s="31" t="s">
        <v>3443</v>
      </c>
      <c r="G257" s="31" t="s">
        <v>3665</v>
      </c>
      <c r="H257" s="31" t="s">
        <v>3666</v>
      </c>
      <c r="I257" s="31" t="s">
        <v>3842</v>
      </c>
      <c r="J257" s="37" t="s">
        <v>4047</v>
      </c>
      <c r="K257" s="31" t="s">
        <v>2328</v>
      </c>
      <c r="L257" s="31" t="s">
        <v>309</v>
      </c>
      <c r="M257" s="31" t="s">
        <v>2232</v>
      </c>
      <c r="N257" s="31" t="s">
        <v>2328</v>
      </c>
    </row>
    <row r="258" spans="1:14" ht="75" x14ac:dyDescent="0.25">
      <c r="A258" s="31" t="s">
        <v>2896</v>
      </c>
      <c r="B258" s="32" t="s">
        <v>1183</v>
      </c>
      <c r="C258" s="31" t="b">
        <v>0</v>
      </c>
      <c r="D258" s="31">
        <v>6</v>
      </c>
      <c r="E258" s="38" t="s">
        <v>1185</v>
      </c>
      <c r="F258" s="31" t="s">
        <v>131</v>
      </c>
      <c r="G258" s="31" t="s">
        <v>3665</v>
      </c>
      <c r="H258" s="31" t="s">
        <v>3666</v>
      </c>
      <c r="I258" s="31" t="s">
        <v>3842</v>
      </c>
      <c r="J258" s="37" t="s">
        <v>4047</v>
      </c>
      <c r="K258" s="31" t="s">
        <v>2328</v>
      </c>
      <c r="L258" s="31" t="s">
        <v>309</v>
      </c>
      <c r="M258" s="31" t="s">
        <v>2232</v>
      </c>
      <c r="N258" s="31" t="s">
        <v>2328</v>
      </c>
    </row>
    <row r="259" spans="1:14" ht="345" x14ac:dyDescent="0.25">
      <c r="A259" s="31" t="s">
        <v>2328</v>
      </c>
      <c r="B259" s="32" t="s">
        <v>1186</v>
      </c>
      <c r="C259" s="31" t="b">
        <v>0</v>
      </c>
      <c r="D259" s="31">
        <v>6</v>
      </c>
      <c r="E259" s="38" t="s">
        <v>2252</v>
      </c>
      <c r="F259" s="31" t="s">
        <v>139</v>
      </c>
      <c r="G259" s="31" t="s">
        <v>3665</v>
      </c>
      <c r="H259" s="31" t="s">
        <v>3666</v>
      </c>
      <c r="I259" s="31" t="s">
        <v>3842</v>
      </c>
      <c r="J259" s="37" t="s">
        <v>4047</v>
      </c>
      <c r="K259" s="31" t="s">
        <v>2328</v>
      </c>
      <c r="L259" s="31" t="s">
        <v>309</v>
      </c>
      <c r="M259" s="31" t="s">
        <v>2232</v>
      </c>
      <c r="N259" s="31" t="s">
        <v>2328</v>
      </c>
    </row>
    <row r="260" spans="1:14" ht="75" x14ac:dyDescent="0.25">
      <c r="A260" s="31" t="s">
        <v>2897</v>
      </c>
      <c r="B260" s="32" t="s">
        <v>1188</v>
      </c>
      <c r="C260" s="31" t="b">
        <v>0</v>
      </c>
      <c r="D260" s="31">
        <v>6</v>
      </c>
      <c r="E260" s="38" t="s">
        <v>1190</v>
      </c>
      <c r="F260" s="31" t="s">
        <v>131</v>
      </c>
      <c r="G260" s="31" t="s">
        <v>3665</v>
      </c>
      <c r="H260" s="31" t="s">
        <v>3666</v>
      </c>
      <c r="I260" s="31" t="s">
        <v>3842</v>
      </c>
      <c r="J260" s="37" t="s">
        <v>4047</v>
      </c>
      <c r="K260" s="31" t="s">
        <v>2328</v>
      </c>
      <c r="L260" s="31" t="s">
        <v>309</v>
      </c>
      <c r="M260" s="31" t="s">
        <v>2232</v>
      </c>
      <c r="N260" s="31" t="s">
        <v>2328</v>
      </c>
    </row>
    <row r="261" spans="1:14" ht="105" x14ac:dyDescent="0.25">
      <c r="A261" s="31" t="s">
        <v>2328</v>
      </c>
      <c r="B261" s="32" t="s">
        <v>1191</v>
      </c>
      <c r="C261" s="31" t="b">
        <v>0</v>
      </c>
      <c r="D261" s="31">
        <v>6</v>
      </c>
      <c r="E261" s="38" t="s">
        <v>2253</v>
      </c>
      <c r="F261" s="31" t="s">
        <v>139</v>
      </c>
      <c r="G261" s="31" t="s">
        <v>3665</v>
      </c>
      <c r="H261" s="31" t="s">
        <v>3666</v>
      </c>
      <c r="I261" s="31" t="s">
        <v>3842</v>
      </c>
      <c r="J261" s="37" t="s">
        <v>4047</v>
      </c>
      <c r="K261" s="31" t="s">
        <v>2328</v>
      </c>
      <c r="L261" s="31" t="s">
        <v>309</v>
      </c>
      <c r="M261" s="31" t="s">
        <v>2232</v>
      </c>
      <c r="N261" s="31" t="s">
        <v>2328</v>
      </c>
    </row>
    <row r="262" spans="1:14" ht="105" x14ac:dyDescent="0.25">
      <c r="A262" s="31" t="s">
        <v>2328</v>
      </c>
      <c r="B262" s="32" t="s">
        <v>1193</v>
      </c>
      <c r="C262" s="31" t="b">
        <v>0</v>
      </c>
      <c r="D262" s="31">
        <v>6</v>
      </c>
      <c r="E262" s="38" t="s">
        <v>2253</v>
      </c>
      <c r="F262" s="31" t="s">
        <v>139</v>
      </c>
      <c r="G262" s="31" t="s">
        <v>3665</v>
      </c>
      <c r="H262" s="31" t="s">
        <v>3666</v>
      </c>
      <c r="I262" s="31" t="s">
        <v>3842</v>
      </c>
      <c r="J262" s="37" t="s">
        <v>4047</v>
      </c>
      <c r="K262" s="31" t="s">
        <v>2328</v>
      </c>
      <c r="L262" s="31" t="s">
        <v>309</v>
      </c>
      <c r="M262" s="31" t="s">
        <v>2232</v>
      </c>
      <c r="N262" s="31" t="s">
        <v>2328</v>
      </c>
    </row>
    <row r="263" spans="1:14" ht="75" x14ac:dyDescent="0.25">
      <c r="A263" s="31" t="s">
        <v>2898</v>
      </c>
      <c r="B263" s="32" t="s">
        <v>1195</v>
      </c>
      <c r="C263" s="31" t="b">
        <v>0</v>
      </c>
      <c r="D263" s="31">
        <v>6</v>
      </c>
      <c r="E263" s="38" t="s">
        <v>1197</v>
      </c>
      <c r="F263" s="31" t="s">
        <v>131</v>
      </c>
      <c r="G263" s="31" t="s">
        <v>3665</v>
      </c>
      <c r="H263" s="31" t="s">
        <v>3666</v>
      </c>
      <c r="I263" s="31" t="s">
        <v>3842</v>
      </c>
      <c r="J263" s="37" t="s">
        <v>4047</v>
      </c>
      <c r="K263" s="31" t="s">
        <v>2328</v>
      </c>
      <c r="L263" s="31" t="s">
        <v>309</v>
      </c>
      <c r="M263" s="31" t="s">
        <v>2232</v>
      </c>
      <c r="N263" s="31" t="s">
        <v>2328</v>
      </c>
    </row>
    <row r="264" spans="1:14" ht="75" x14ac:dyDescent="0.25">
      <c r="A264" s="31" t="s">
        <v>2899</v>
      </c>
      <c r="B264" s="32" t="s">
        <v>1198</v>
      </c>
      <c r="C264" s="31" t="b">
        <v>0</v>
      </c>
      <c r="D264" s="31">
        <v>6</v>
      </c>
      <c r="E264" s="38" t="s">
        <v>1200</v>
      </c>
      <c r="F264" s="31" t="s">
        <v>131</v>
      </c>
      <c r="G264" s="31" t="s">
        <v>3665</v>
      </c>
      <c r="H264" s="31" t="s">
        <v>3666</v>
      </c>
      <c r="I264" s="31" t="s">
        <v>3842</v>
      </c>
      <c r="J264" s="37" t="s">
        <v>4047</v>
      </c>
      <c r="K264" s="31" t="s">
        <v>2328</v>
      </c>
      <c r="L264" s="31" t="s">
        <v>309</v>
      </c>
      <c r="M264" s="31" t="s">
        <v>2232</v>
      </c>
      <c r="N264" s="31" t="s">
        <v>2328</v>
      </c>
    </row>
    <row r="265" spans="1:14" ht="75" x14ac:dyDescent="0.25">
      <c r="A265" s="31" t="s">
        <v>2900</v>
      </c>
      <c r="B265" s="32" t="s">
        <v>1201</v>
      </c>
      <c r="C265" s="31" t="b">
        <v>0</v>
      </c>
      <c r="D265" s="31">
        <v>6</v>
      </c>
      <c r="E265" s="38" t="s">
        <v>1203</v>
      </c>
      <c r="F265" s="31" t="s">
        <v>131</v>
      </c>
      <c r="G265" s="31" t="s">
        <v>3665</v>
      </c>
      <c r="H265" s="31" t="s">
        <v>3666</v>
      </c>
      <c r="I265" s="31" t="s">
        <v>3842</v>
      </c>
      <c r="J265" s="37" t="s">
        <v>4047</v>
      </c>
      <c r="K265" s="31" t="s">
        <v>2328</v>
      </c>
      <c r="L265" s="31" t="s">
        <v>309</v>
      </c>
      <c r="M265" s="31" t="s">
        <v>2232</v>
      </c>
      <c r="N265" s="31" t="s">
        <v>2328</v>
      </c>
    </row>
    <row r="266" spans="1:14" ht="75" x14ac:dyDescent="0.25">
      <c r="A266" s="31" t="s">
        <v>2901</v>
      </c>
      <c r="B266" s="32" t="s">
        <v>1204</v>
      </c>
      <c r="C266" s="31" t="b">
        <v>0</v>
      </c>
      <c r="D266" s="31">
        <v>6</v>
      </c>
      <c r="E266" s="38" t="s">
        <v>1206</v>
      </c>
      <c r="F266" s="31" t="s">
        <v>131</v>
      </c>
      <c r="G266" s="31" t="s">
        <v>3665</v>
      </c>
      <c r="H266" s="31" t="s">
        <v>3666</v>
      </c>
      <c r="I266" s="31" t="s">
        <v>3842</v>
      </c>
      <c r="J266" s="37" t="s">
        <v>4047</v>
      </c>
      <c r="K266" s="31" t="s">
        <v>2328</v>
      </c>
      <c r="L266" s="31" t="s">
        <v>309</v>
      </c>
      <c r="M266" s="31" t="s">
        <v>2232</v>
      </c>
      <c r="N266" s="31" t="s">
        <v>2328</v>
      </c>
    </row>
    <row r="267" spans="1:14" ht="75" x14ac:dyDescent="0.25">
      <c r="A267" s="31" t="s">
        <v>2902</v>
      </c>
      <c r="B267" s="32" t="s">
        <v>1207</v>
      </c>
      <c r="C267" s="31" t="b">
        <v>0</v>
      </c>
      <c r="D267" s="31">
        <v>6</v>
      </c>
      <c r="E267" s="38" t="s">
        <v>1209</v>
      </c>
      <c r="F267" s="31" t="s">
        <v>131</v>
      </c>
      <c r="G267" s="31" t="s">
        <v>3665</v>
      </c>
      <c r="H267" s="31" t="s">
        <v>3666</v>
      </c>
      <c r="I267" s="31" t="s">
        <v>3842</v>
      </c>
      <c r="J267" s="37" t="s">
        <v>4047</v>
      </c>
      <c r="K267" s="31" t="s">
        <v>2328</v>
      </c>
      <c r="L267" s="31" t="s">
        <v>309</v>
      </c>
      <c r="M267" s="31" t="s">
        <v>2232</v>
      </c>
      <c r="N267" s="31" t="s">
        <v>2328</v>
      </c>
    </row>
    <row r="268" spans="1:14" ht="75" x14ac:dyDescent="0.25">
      <c r="A268" s="31" t="s">
        <v>2903</v>
      </c>
      <c r="B268" s="32" t="s">
        <v>1210</v>
      </c>
      <c r="C268" s="31" t="b">
        <v>0</v>
      </c>
      <c r="D268" s="31">
        <v>6</v>
      </c>
      <c r="E268" s="38" t="s">
        <v>1212</v>
      </c>
      <c r="F268" s="31" t="s">
        <v>131</v>
      </c>
      <c r="G268" s="31" t="s">
        <v>3665</v>
      </c>
      <c r="H268" s="31" t="s">
        <v>3666</v>
      </c>
      <c r="I268" s="31" t="s">
        <v>3842</v>
      </c>
      <c r="J268" s="37" t="s">
        <v>4047</v>
      </c>
      <c r="K268" s="31" t="s">
        <v>2328</v>
      </c>
      <c r="L268" s="31" t="s">
        <v>309</v>
      </c>
      <c r="M268" s="31" t="s">
        <v>2232</v>
      </c>
      <c r="N268" s="31" t="s">
        <v>2328</v>
      </c>
    </row>
    <row r="269" spans="1:14" ht="75" x14ac:dyDescent="0.25">
      <c r="A269" s="31" t="s">
        <v>2904</v>
      </c>
      <c r="B269" s="32" t="s">
        <v>1213</v>
      </c>
      <c r="C269" s="31" t="b">
        <v>0</v>
      </c>
      <c r="D269" s="31">
        <v>6</v>
      </c>
      <c r="E269" s="38" t="s">
        <v>1215</v>
      </c>
      <c r="F269" s="31" t="s">
        <v>131</v>
      </c>
      <c r="G269" s="31" t="s">
        <v>3665</v>
      </c>
      <c r="H269" s="31" t="s">
        <v>3666</v>
      </c>
      <c r="I269" s="31" t="s">
        <v>3842</v>
      </c>
      <c r="J269" s="37" t="s">
        <v>4047</v>
      </c>
      <c r="K269" s="31" t="s">
        <v>2328</v>
      </c>
      <c r="L269" s="31" t="s">
        <v>309</v>
      </c>
      <c r="M269" s="31" t="s">
        <v>2232</v>
      </c>
      <c r="N269" s="31" t="s">
        <v>2328</v>
      </c>
    </row>
    <row r="270" spans="1:14" ht="75" x14ac:dyDescent="0.25">
      <c r="A270" s="31" t="s">
        <v>2905</v>
      </c>
      <c r="B270" s="32" t="s">
        <v>1216</v>
      </c>
      <c r="C270" s="31" t="b">
        <v>0</v>
      </c>
      <c r="D270" s="31">
        <v>6</v>
      </c>
      <c r="E270" s="38" t="s">
        <v>1218</v>
      </c>
      <c r="F270" s="31" t="s">
        <v>131</v>
      </c>
      <c r="G270" s="31" t="s">
        <v>3665</v>
      </c>
      <c r="H270" s="31" t="s">
        <v>3666</v>
      </c>
      <c r="I270" s="31" t="s">
        <v>3842</v>
      </c>
      <c r="J270" s="37" t="s">
        <v>4047</v>
      </c>
      <c r="K270" s="31" t="s">
        <v>2328</v>
      </c>
      <c r="L270" s="31" t="s">
        <v>309</v>
      </c>
      <c r="M270" s="31" t="s">
        <v>2232</v>
      </c>
      <c r="N270" s="31" t="s">
        <v>2328</v>
      </c>
    </row>
    <row r="271" spans="1:14" ht="75" x14ac:dyDescent="0.25">
      <c r="A271" s="31" t="s">
        <v>2906</v>
      </c>
      <c r="B271" s="32" t="s">
        <v>1219</v>
      </c>
      <c r="C271" s="31" t="b">
        <v>0</v>
      </c>
      <c r="D271" s="31">
        <v>6</v>
      </c>
      <c r="E271" s="38" t="s">
        <v>1221</v>
      </c>
      <c r="F271" s="31" t="s">
        <v>131</v>
      </c>
      <c r="G271" s="31" t="s">
        <v>3665</v>
      </c>
      <c r="H271" s="31" t="s">
        <v>3666</v>
      </c>
      <c r="I271" s="31" t="s">
        <v>3842</v>
      </c>
      <c r="J271" s="37" t="s">
        <v>4047</v>
      </c>
      <c r="K271" s="31" t="s">
        <v>2328</v>
      </c>
      <c r="L271" s="31" t="s">
        <v>309</v>
      </c>
      <c r="M271" s="31" t="s">
        <v>2232</v>
      </c>
      <c r="N271" s="31" t="s">
        <v>2328</v>
      </c>
    </row>
    <row r="272" spans="1:14" ht="75" x14ac:dyDescent="0.25">
      <c r="A272" s="31" t="s">
        <v>2907</v>
      </c>
      <c r="B272" s="32" t="s">
        <v>1222</v>
      </c>
      <c r="C272" s="31" t="b">
        <v>0</v>
      </c>
      <c r="D272" s="31">
        <v>6</v>
      </c>
      <c r="E272" s="38" t="s">
        <v>1224</v>
      </c>
      <c r="F272" s="31" t="s">
        <v>131</v>
      </c>
      <c r="G272" s="31" t="s">
        <v>3665</v>
      </c>
      <c r="H272" s="31" t="s">
        <v>3666</v>
      </c>
      <c r="I272" s="31" t="s">
        <v>3842</v>
      </c>
      <c r="J272" s="37" t="s">
        <v>4047</v>
      </c>
      <c r="K272" s="31" t="s">
        <v>2328</v>
      </c>
      <c r="L272" s="31" t="s">
        <v>309</v>
      </c>
      <c r="M272" s="31" t="s">
        <v>2232</v>
      </c>
      <c r="N272" s="31" t="s">
        <v>2328</v>
      </c>
    </row>
    <row r="273" spans="1:14" ht="75" x14ac:dyDescent="0.25">
      <c r="A273" s="31" t="s">
        <v>2908</v>
      </c>
      <c r="B273" s="32" t="s">
        <v>1225</v>
      </c>
      <c r="C273" s="31" t="b">
        <v>0</v>
      </c>
      <c r="D273" s="31">
        <v>6</v>
      </c>
      <c r="E273" s="38" t="s">
        <v>1227</v>
      </c>
      <c r="F273" s="31" t="s">
        <v>131</v>
      </c>
      <c r="G273" s="31" t="s">
        <v>3665</v>
      </c>
      <c r="H273" s="31" t="s">
        <v>3666</v>
      </c>
      <c r="I273" s="31" t="s">
        <v>3842</v>
      </c>
      <c r="J273" s="37" t="s">
        <v>4047</v>
      </c>
      <c r="K273" s="31" t="s">
        <v>2328</v>
      </c>
      <c r="L273" s="31" t="s">
        <v>309</v>
      </c>
      <c r="M273" s="31" t="s">
        <v>2232</v>
      </c>
      <c r="N273" s="31" t="s">
        <v>2328</v>
      </c>
    </row>
    <row r="274" spans="1:14" ht="75" x14ac:dyDescent="0.25">
      <c r="A274" s="31" t="s">
        <v>2328</v>
      </c>
      <c r="B274" s="32" t="s">
        <v>1228</v>
      </c>
      <c r="C274" s="31" t="b">
        <v>1</v>
      </c>
      <c r="D274" s="31">
        <v>2</v>
      </c>
      <c r="E274" s="34" t="s">
        <v>2349</v>
      </c>
      <c r="F274" s="31" t="s">
        <v>3443</v>
      </c>
      <c r="G274" s="31" t="s">
        <v>3665</v>
      </c>
      <c r="H274" s="31" t="s">
        <v>3666</v>
      </c>
      <c r="I274" s="31" t="s">
        <v>3842</v>
      </c>
      <c r="J274" s="37" t="s">
        <v>4047</v>
      </c>
      <c r="K274" s="31" t="s">
        <v>2328</v>
      </c>
      <c r="L274" s="31" t="s">
        <v>312</v>
      </c>
      <c r="M274" s="31" t="s">
        <v>2232</v>
      </c>
      <c r="N274" s="31" t="s">
        <v>2328</v>
      </c>
    </row>
    <row r="275" spans="1:14" ht="75" x14ac:dyDescent="0.25">
      <c r="A275" s="31" t="s">
        <v>2909</v>
      </c>
      <c r="B275" s="32" t="s">
        <v>1229</v>
      </c>
      <c r="C275" s="31" t="b">
        <v>0</v>
      </c>
      <c r="D275" s="31">
        <v>4</v>
      </c>
      <c r="E275" s="35" t="s">
        <v>313</v>
      </c>
      <c r="F275" s="31" t="s">
        <v>131</v>
      </c>
      <c r="G275" s="31" t="s">
        <v>3665</v>
      </c>
      <c r="H275" s="31" t="s">
        <v>3666</v>
      </c>
      <c r="I275" s="31" t="s">
        <v>3842</v>
      </c>
      <c r="J275" s="37" t="s">
        <v>4047</v>
      </c>
      <c r="K275" s="31" t="s">
        <v>2328</v>
      </c>
      <c r="L275" s="31" t="s">
        <v>312</v>
      </c>
      <c r="M275" s="31" t="s">
        <v>2232</v>
      </c>
      <c r="N275" s="31" t="s">
        <v>2328</v>
      </c>
    </row>
    <row r="276" spans="1:14" ht="105" x14ac:dyDescent="0.25">
      <c r="A276" s="31" t="s">
        <v>2328</v>
      </c>
      <c r="B276" s="32" t="s">
        <v>1230</v>
      </c>
      <c r="C276" s="31" t="b">
        <v>0</v>
      </c>
      <c r="D276" s="31">
        <v>4</v>
      </c>
      <c r="E276" s="35" t="s">
        <v>2254</v>
      </c>
      <c r="F276" s="31" t="s">
        <v>139</v>
      </c>
      <c r="G276" s="31" t="s">
        <v>3665</v>
      </c>
      <c r="H276" s="31" t="s">
        <v>3666</v>
      </c>
      <c r="I276" s="31" t="s">
        <v>3842</v>
      </c>
      <c r="J276" s="37" t="s">
        <v>4047</v>
      </c>
      <c r="K276" s="31" t="s">
        <v>2328</v>
      </c>
      <c r="L276" s="31" t="s">
        <v>312</v>
      </c>
      <c r="M276" s="31" t="s">
        <v>2232</v>
      </c>
      <c r="N276" s="31" t="s">
        <v>2328</v>
      </c>
    </row>
    <row r="277" spans="1:14" ht="75" x14ac:dyDescent="0.25">
      <c r="A277" s="31" t="s">
        <v>2910</v>
      </c>
      <c r="B277" s="32" t="s">
        <v>1232</v>
      </c>
      <c r="C277" s="31" t="b">
        <v>0</v>
      </c>
      <c r="D277" s="31">
        <v>4</v>
      </c>
      <c r="E277" s="35" t="s">
        <v>1234</v>
      </c>
      <c r="F277" s="31" t="s">
        <v>131</v>
      </c>
      <c r="G277" s="31" t="s">
        <v>3665</v>
      </c>
      <c r="H277" s="31" t="s">
        <v>3666</v>
      </c>
      <c r="I277" s="31" t="s">
        <v>3842</v>
      </c>
      <c r="J277" s="37" t="s">
        <v>4047</v>
      </c>
      <c r="K277" s="31" t="s">
        <v>2328</v>
      </c>
      <c r="L277" s="31" t="s">
        <v>312</v>
      </c>
      <c r="M277" s="31" t="s">
        <v>2232</v>
      </c>
      <c r="N277" s="31" t="s">
        <v>2328</v>
      </c>
    </row>
    <row r="278" spans="1:14" ht="75" x14ac:dyDescent="0.25">
      <c r="A278" s="31" t="s">
        <v>2911</v>
      </c>
      <c r="B278" s="32" t="s">
        <v>1235</v>
      </c>
      <c r="C278" s="31" t="b">
        <v>0</v>
      </c>
      <c r="D278" s="31">
        <v>4</v>
      </c>
      <c r="E278" s="35" t="s">
        <v>1237</v>
      </c>
      <c r="F278" s="31" t="s">
        <v>131</v>
      </c>
      <c r="G278" s="31" t="s">
        <v>3665</v>
      </c>
      <c r="H278" s="31" t="s">
        <v>3666</v>
      </c>
      <c r="I278" s="31" t="s">
        <v>3842</v>
      </c>
      <c r="J278" s="37" t="s">
        <v>4047</v>
      </c>
      <c r="K278" s="31" t="s">
        <v>2328</v>
      </c>
      <c r="L278" s="31" t="s">
        <v>312</v>
      </c>
      <c r="M278" s="31" t="s">
        <v>2232</v>
      </c>
      <c r="N278" s="31" t="s">
        <v>2328</v>
      </c>
    </row>
    <row r="279" spans="1:14" ht="75" x14ac:dyDescent="0.25">
      <c r="A279" s="31" t="s">
        <v>2912</v>
      </c>
      <c r="B279" s="32" t="s">
        <v>1238</v>
      </c>
      <c r="C279" s="31" t="b">
        <v>0</v>
      </c>
      <c r="D279" s="31">
        <v>4</v>
      </c>
      <c r="E279" s="35" t="s">
        <v>1240</v>
      </c>
      <c r="F279" s="31" t="s">
        <v>131</v>
      </c>
      <c r="G279" s="31" t="s">
        <v>3665</v>
      </c>
      <c r="H279" s="31" t="s">
        <v>3666</v>
      </c>
      <c r="I279" s="31" t="s">
        <v>3842</v>
      </c>
      <c r="J279" s="37" t="s">
        <v>4047</v>
      </c>
      <c r="K279" s="31" t="s">
        <v>2328</v>
      </c>
      <c r="L279" s="31" t="s">
        <v>312</v>
      </c>
      <c r="M279" s="31" t="s">
        <v>2232</v>
      </c>
      <c r="N279" s="31" t="s">
        <v>2328</v>
      </c>
    </row>
    <row r="280" spans="1:14" ht="75" x14ac:dyDescent="0.25">
      <c r="A280" s="31" t="s">
        <v>2913</v>
      </c>
      <c r="B280" s="32" t="s">
        <v>1241</v>
      </c>
      <c r="C280" s="31" t="b">
        <v>0</v>
      </c>
      <c r="D280" s="31">
        <v>4</v>
      </c>
      <c r="E280" s="35" t="s">
        <v>1243</v>
      </c>
      <c r="F280" s="31" t="s">
        <v>131</v>
      </c>
      <c r="G280" s="31" t="s">
        <v>3665</v>
      </c>
      <c r="H280" s="31" t="s">
        <v>3666</v>
      </c>
      <c r="I280" s="31" t="s">
        <v>3842</v>
      </c>
      <c r="J280" s="37" t="s">
        <v>4047</v>
      </c>
      <c r="K280" s="31" t="s">
        <v>2328</v>
      </c>
      <c r="L280" s="31" t="s">
        <v>312</v>
      </c>
      <c r="M280" s="31" t="s">
        <v>2232</v>
      </c>
      <c r="N280" s="31" t="s">
        <v>2328</v>
      </c>
    </row>
    <row r="281" spans="1:14" ht="75" x14ac:dyDescent="0.25">
      <c r="A281" s="31" t="s">
        <v>2914</v>
      </c>
      <c r="B281" s="32" t="s">
        <v>1244</v>
      </c>
      <c r="C281" s="31" t="b">
        <v>0</v>
      </c>
      <c r="D281" s="31">
        <v>4</v>
      </c>
      <c r="E281" s="35" t="s">
        <v>1246</v>
      </c>
      <c r="F281" s="31" t="s">
        <v>131</v>
      </c>
      <c r="G281" s="31" t="s">
        <v>3665</v>
      </c>
      <c r="H281" s="31" t="s">
        <v>3666</v>
      </c>
      <c r="I281" s="31" t="s">
        <v>3842</v>
      </c>
      <c r="J281" s="37" t="s">
        <v>4047</v>
      </c>
      <c r="K281" s="31" t="s">
        <v>2328</v>
      </c>
      <c r="L281" s="31" t="s">
        <v>312</v>
      </c>
      <c r="M281" s="31" t="s">
        <v>2232</v>
      </c>
      <c r="N281" s="31" t="s">
        <v>2328</v>
      </c>
    </row>
    <row r="282" spans="1:14" ht="75" x14ac:dyDescent="0.25">
      <c r="A282" s="31" t="s">
        <v>2915</v>
      </c>
      <c r="B282" s="32" t="s">
        <v>1247</v>
      </c>
      <c r="C282" s="31" t="b">
        <v>0</v>
      </c>
      <c r="D282" s="31">
        <v>4</v>
      </c>
      <c r="E282" s="35" t="s">
        <v>1249</v>
      </c>
      <c r="F282" s="31" t="s">
        <v>131</v>
      </c>
      <c r="G282" s="31" t="s">
        <v>3665</v>
      </c>
      <c r="H282" s="31" t="s">
        <v>3666</v>
      </c>
      <c r="I282" s="31" t="s">
        <v>3842</v>
      </c>
      <c r="J282" s="37" t="s">
        <v>4047</v>
      </c>
      <c r="K282" s="31" t="s">
        <v>2328</v>
      </c>
      <c r="L282" s="31" t="s">
        <v>312</v>
      </c>
      <c r="M282" s="31" t="s">
        <v>2232</v>
      </c>
      <c r="N282" s="31" t="s">
        <v>2328</v>
      </c>
    </row>
    <row r="283" spans="1:14" ht="75" x14ac:dyDescent="0.25">
      <c r="A283" s="31" t="s">
        <v>2916</v>
      </c>
      <c r="B283" s="32" t="s">
        <v>1250</v>
      </c>
      <c r="C283" s="31" t="b">
        <v>0</v>
      </c>
      <c r="D283" s="31">
        <v>4</v>
      </c>
      <c r="E283" s="35" t="s">
        <v>1252</v>
      </c>
      <c r="F283" s="31" t="s">
        <v>131</v>
      </c>
      <c r="G283" s="31" t="s">
        <v>3665</v>
      </c>
      <c r="H283" s="31" t="s">
        <v>3666</v>
      </c>
      <c r="I283" s="31" t="s">
        <v>3842</v>
      </c>
      <c r="J283" s="37" t="s">
        <v>4047</v>
      </c>
      <c r="K283" s="31" t="s">
        <v>2328</v>
      </c>
      <c r="L283" s="31" t="s">
        <v>312</v>
      </c>
      <c r="M283" s="31" t="s">
        <v>2232</v>
      </c>
      <c r="N283" s="31" t="s">
        <v>2328</v>
      </c>
    </row>
    <row r="284" spans="1:14" ht="75" x14ac:dyDescent="0.25">
      <c r="A284" s="31" t="s">
        <v>2917</v>
      </c>
      <c r="B284" s="32" t="s">
        <v>1253</v>
      </c>
      <c r="C284" s="31" t="b">
        <v>0</v>
      </c>
      <c r="D284" s="31">
        <v>4</v>
      </c>
      <c r="E284" s="35" t="s">
        <v>1255</v>
      </c>
      <c r="F284" s="31" t="s">
        <v>131</v>
      </c>
      <c r="G284" s="31" t="s">
        <v>3665</v>
      </c>
      <c r="H284" s="31" t="s">
        <v>3666</v>
      </c>
      <c r="I284" s="31" t="s">
        <v>3842</v>
      </c>
      <c r="J284" s="37" t="s">
        <v>4047</v>
      </c>
      <c r="K284" s="31" t="s">
        <v>2328</v>
      </c>
      <c r="L284" s="31" t="s">
        <v>312</v>
      </c>
      <c r="M284" s="31" t="s">
        <v>2232</v>
      </c>
      <c r="N284" s="31" t="s">
        <v>2328</v>
      </c>
    </row>
    <row r="285" spans="1:14" ht="75" x14ac:dyDescent="0.25">
      <c r="A285" s="31" t="s">
        <v>2918</v>
      </c>
      <c r="B285" s="32" t="s">
        <v>1256</v>
      </c>
      <c r="C285" s="31" t="b">
        <v>0</v>
      </c>
      <c r="D285" s="31">
        <v>4</v>
      </c>
      <c r="E285" s="35" t="s">
        <v>1258</v>
      </c>
      <c r="F285" s="31" t="s">
        <v>131</v>
      </c>
      <c r="G285" s="31" t="s">
        <v>3665</v>
      </c>
      <c r="H285" s="31" t="s">
        <v>3666</v>
      </c>
      <c r="I285" s="31" t="s">
        <v>3842</v>
      </c>
      <c r="J285" s="37" t="s">
        <v>4047</v>
      </c>
      <c r="K285" s="31" t="s">
        <v>2328</v>
      </c>
      <c r="L285" s="31" t="s">
        <v>312</v>
      </c>
      <c r="M285" s="31" t="s">
        <v>2232</v>
      </c>
      <c r="N285" s="31" t="s">
        <v>2328</v>
      </c>
    </row>
    <row r="286" spans="1:14" ht="75" x14ac:dyDescent="0.25">
      <c r="A286" s="31" t="s">
        <v>2328</v>
      </c>
      <c r="B286" s="32" t="s">
        <v>1259</v>
      </c>
      <c r="C286" s="31" t="b">
        <v>1</v>
      </c>
      <c r="D286" s="31">
        <v>0</v>
      </c>
      <c r="E286" s="33" t="s">
        <v>2436</v>
      </c>
      <c r="F286" s="31" t="s">
        <v>3443</v>
      </c>
      <c r="G286" s="31" t="s">
        <v>3665</v>
      </c>
      <c r="H286" s="31" t="s">
        <v>3666</v>
      </c>
      <c r="I286" s="31" t="s">
        <v>3842</v>
      </c>
      <c r="J286" s="37" t="s">
        <v>4047</v>
      </c>
      <c r="K286" s="31" t="s">
        <v>2328</v>
      </c>
      <c r="L286" s="31" t="s">
        <v>1261</v>
      </c>
      <c r="M286" s="31" t="s">
        <v>2232</v>
      </c>
      <c r="N286" s="31" t="s">
        <v>2328</v>
      </c>
    </row>
    <row r="287" spans="1:14" ht="75" x14ac:dyDescent="0.25">
      <c r="A287" s="31" t="s">
        <v>2328</v>
      </c>
      <c r="B287" s="32" t="s">
        <v>1262</v>
      </c>
      <c r="C287" s="31" t="b">
        <v>1</v>
      </c>
      <c r="D287" s="31">
        <v>2</v>
      </c>
      <c r="E287" s="34" t="s">
        <v>2437</v>
      </c>
      <c r="F287" s="31" t="s">
        <v>3443</v>
      </c>
      <c r="G287" s="31" t="s">
        <v>3665</v>
      </c>
      <c r="H287" s="31" t="s">
        <v>3666</v>
      </c>
      <c r="I287" s="31" t="s">
        <v>3842</v>
      </c>
      <c r="J287" s="37" t="s">
        <v>4047</v>
      </c>
      <c r="K287" s="31" t="s">
        <v>2328</v>
      </c>
      <c r="L287" s="31" t="s">
        <v>1261</v>
      </c>
      <c r="M287" s="31" t="s">
        <v>2232</v>
      </c>
      <c r="N287" s="31" t="s">
        <v>2328</v>
      </c>
    </row>
    <row r="288" spans="1:14" ht="75" x14ac:dyDescent="0.25">
      <c r="A288" s="31" t="s">
        <v>2919</v>
      </c>
      <c r="B288" s="32" t="s">
        <v>1264</v>
      </c>
      <c r="C288" s="31" t="b">
        <v>0</v>
      </c>
      <c r="D288" s="31">
        <v>4</v>
      </c>
      <c r="E288" s="35" t="s">
        <v>29</v>
      </c>
      <c r="F288" s="31" t="s">
        <v>131</v>
      </c>
      <c r="G288" s="31" t="s">
        <v>3665</v>
      </c>
      <c r="H288" s="31" t="s">
        <v>3666</v>
      </c>
      <c r="I288" s="31" t="s">
        <v>3842</v>
      </c>
      <c r="J288" s="37" t="s">
        <v>4047</v>
      </c>
      <c r="K288" s="31" t="s">
        <v>2328</v>
      </c>
      <c r="L288" s="31" t="s">
        <v>1261</v>
      </c>
      <c r="M288" s="31" t="s">
        <v>2232</v>
      </c>
      <c r="N288" s="31" t="s">
        <v>2328</v>
      </c>
    </row>
    <row r="289" spans="1:14" ht="75" x14ac:dyDescent="0.25">
      <c r="A289" s="31" t="s">
        <v>2920</v>
      </c>
      <c r="B289" s="32" t="s">
        <v>1266</v>
      </c>
      <c r="C289" s="31" t="b">
        <v>0</v>
      </c>
      <c r="D289" s="31">
        <v>4</v>
      </c>
      <c r="E289" s="35" t="s">
        <v>28</v>
      </c>
      <c r="F289" s="31" t="s">
        <v>131</v>
      </c>
      <c r="G289" s="31" t="s">
        <v>3665</v>
      </c>
      <c r="H289" s="31" t="s">
        <v>3666</v>
      </c>
      <c r="I289" s="31" t="s">
        <v>3842</v>
      </c>
      <c r="J289" s="37" t="s">
        <v>4047</v>
      </c>
      <c r="K289" s="31" t="s">
        <v>2328</v>
      </c>
      <c r="L289" s="31" t="s">
        <v>1261</v>
      </c>
      <c r="M289" s="31" t="s">
        <v>2232</v>
      </c>
      <c r="N289" s="31" t="s">
        <v>2328</v>
      </c>
    </row>
    <row r="290" spans="1:14" ht="75" x14ac:dyDescent="0.25">
      <c r="A290" s="31" t="s">
        <v>2921</v>
      </c>
      <c r="B290" s="32" t="s">
        <v>1268</v>
      </c>
      <c r="C290" s="31" t="b">
        <v>0</v>
      </c>
      <c r="D290" s="31">
        <v>4</v>
      </c>
      <c r="E290" s="35" t="s">
        <v>1270</v>
      </c>
      <c r="F290" s="31" t="s">
        <v>131</v>
      </c>
      <c r="G290" s="31" t="s">
        <v>3665</v>
      </c>
      <c r="H290" s="31" t="s">
        <v>3666</v>
      </c>
      <c r="I290" s="31" t="s">
        <v>3842</v>
      </c>
      <c r="J290" s="37" t="s">
        <v>4047</v>
      </c>
      <c r="K290" s="31" t="s">
        <v>2328</v>
      </c>
      <c r="L290" s="31" t="s">
        <v>1261</v>
      </c>
      <c r="M290" s="31" t="s">
        <v>2232</v>
      </c>
      <c r="N290" s="31" t="s">
        <v>2328</v>
      </c>
    </row>
    <row r="291" spans="1:14" ht="75" x14ac:dyDescent="0.25">
      <c r="A291" s="31" t="s">
        <v>2922</v>
      </c>
      <c r="B291" s="32" t="s">
        <v>1271</v>
      </c>
      <c r="C291" s="31" t="b">
        <v>0</v>
      </c>
      <c r="D291" s="31">
        <v>4</v>
      </c>
      <c r="E291" s="35" t="s">
        <v>2255</v>
      </c>
      <c r="F291" s="31" t="s">
        <v>131</v>
      </c>
      <c r="G291" s="31" t="s">
        <v>3665</v>
      </c>
      <c r="H291" s="31" t="s">
        <v>3666</v>
      </c>
      <c r="I291" s="31" t="s">
        <v>3842</v>
      </c>
      <c r="J291" s="37" t="s">
        <v>4047</v>
      </c>
      <c r="K291" s="31" t="s">
        <v>2328</v>
      </c>
      <c r="L291" s="31" t="s">
        <v>1261</v>
      </c>
      <c r="M291" s="31" t="s">
        <v>2232</v>
      </c>
      <c r="N291" s="31" t="s">
        <v>2328</v>
      </c>
    </row>
    <row r="292" spans="1:14" ht="75" x14ac:dyDescent="0.25">
      <c r="A292" s="31" t="s">
        <v>2328</v>
      </c>
      <c r="B292" s="32" t="s">
        <v>2256</v>
      </c>
      <c r="C292" s="31" t="b">
        <v>1</v>
      </c>
      <c r="D292" s="31">
        <v>0</v>
      </c>
      <c r="E292" s="33" t="s">
        <v>2350</v>
      </c>
      <c r="F292" s="31" t="s">
        <v>3443</v>
      </c>
      <c r="G292" s="31" t="s">
        <v>3665</v>
      </c>
      <c r="H292" s="31" t="s">
        <v>3666</v>
      </c>
      <c r="I292" s="31" t="s">
        <v>3842</v>
      </c>
      <c r="J292" s="37" t="s">
        <v>4047</v>
      </c>
      <c r="K292" s="31" t="s">
        <v>2328</v>
      </c>
      <c r="L292" s="31" t="s">
        <v>314</v>
      </c>
      <c r="M292" s="31" t="s">
        <v>2232</v>
      </c>
      <c r="N292" s="31" t="s">
        <v>2328</v>
      </c>
    </row>
    <row r="293" spans="1:14" ht="75" x14ac:dyDescent="0.25">
      <c r="A293" s="31" t="s">
        <v>2328</v>
      </c>
      <c r="B293" s="32" t="s">
        <v>1273</v>
      </c>
      <c r="C293" s="31" t="b">
        <v>1</v>
      </c>
      <c r="D293" s="31">
        <v>2</v>
      </c>
      <c r="E293" s="34" t="s">
        <v>2424</v>
      </c>
      <c r="F293" s="31" t="s">
        <v>3443</v>
      </c>
      <c r="G293" s="31" t="s">
        <v>3665</v>
      </c>
      <c r="H293" s="31" t="s">
        <v>3666</v>
      </c>
      <c r="I293" s="31" t="s">
        <v>3842</v>
      </c>
      <c r="J293" s="37" t="s">
        <v>4047</v>
      </c>
      <c r="K293" s="31" t="s">
        <v>2328</v>
      </c>
      <c r="L293" s="31" t="s">
        <v>317</v>
      </c>
      <c r="M293" s="31" t="s">
        <v>2232</v>
      </c>
      <c r="N293" s="31" t="s">
        <v>2328</v>
      </c>
    </row>
    <row r="294" spans="1:14" ht="75" x14ac:dyDescent="0.25">
      <c r="A294" s="31" t="s">
        <v>2923</v>
      </c>
      <c r="B294" s="32" t="s">
        <v>1275</v>
      </c>
      <c r="C294" s="31" t="b">
        <v>0</v>
      </c>
      <c r="D294" s="31">
        <v>4</v>
      </c>
      <c r="E294" s="35" t="s">
        <v>57</v>
      </c>
      <c r="F294" s="31" t="s">
        <v>131</v>
      </c>
      <c r="G294" s="31" t="s">
        <v>3665</v>
      </c>
      <c r="H294" s="31" t="s">
        <v>3666</v>
      </c>
      <c r="I294" s="31" t="s">
        <v>3842</v>
      </c>
      <c r="J294" s="37" t="s">
        <v>4047</v>
      </c>
      <c r="K294" s="31" t="s">
        <v>2328</v>
      </c>
      <c r="L294" s="31" t="s">
        <v>317</v>
      </c>
      <c r="M294" s="31" t="s">
        <v>2232</v>
      </c>
      <c r="N294" s="31" t="s">
        <v>2328</v>
      </c>
    </row>
    <row r="295" spans="1:14" ht="75" x14ac:dyDescent="0.25">
      <c r="A295" s="31" t="s">
        <v>2924</v>
      </c>
      <c r="B295" s="32" t="s">
        <v>1276</v>
      </c>
      <c r="C295" s="31" t="b">
        <v>0</v>
      </c>
      <c r="D295" s="31">
        <v>4</v>
      </c>
      <c r="E295" s="35" t="s">
        <v>56</v>
      </c>
      <c r="F295" s="31" t="s">
        <v>131</v>
      </c>
      <c r="G295" s="31" t="s">
        <v>3665</v>
      </c>
      <c r="H295" s="31" t="s">
        <v>3666</v>
      </c>
      <c r="I295" s="31" t="s">
        <v>3842</v>
      </c>
      <c r="J295" s="37" t="s">
        <v>4047</v>
      </c>
      <c r="K295" s="31" t="s">
        <v>2328</v>
      </c>
      <c r="L295" s="31" t="s">
        <v>317</v>
      </c>
      <c r="M295" s="31" t="s">
        <v>2232</v>
      </c>
      <c r="N295" s="31" t="s">
        <v>2328</v>
      </c>
    </row>
    <row r="296" spans="1:14" ht="75" x14ac:dyDescent="0.25">
      <c r="A296" s="31" t="s">
        <v>2328</v>
      </c>
      <c r="B296" s="32" t="s">
        <v>1278</v>
      </c>
      <c r="C296" s="31" t="b">
        <v>1</v>
      </c>
      <c r="D296" s="31">
        <v>0</v>
      </c>
      <c r="E296" s="33" t="s">
        <v>2352</v>
      </c>
      <c r="F296" s="31" t="s">
        <v>3443</v>
      </c>
      <c r="G296" s="31" t="s">
        <v>3665</v>
      </c>
      <c r="H296" s="31" t="s">
        <v>3666</v>
      </c>
      <c r="I296" s="31" t="s">
        <v>3842</v>
      </c>
      <c r="J296" s="37" t="s">
        <v>4047</v>
      </c>
      <c r="K296" s="31" t="s">
        <v>2328</v>
      </c>
      <c r="L296" s="31" t="s">
        <v>323</v>
      </c>
      <c r="M296" s="31" t="s">
        <v>2232</v>
      </c>
      <c r="N296" s="31" t="s">
        <v>2328</v>
      </c>
    </row>
    <row r="297" spans="1:14" ht="75" x14ac:dyDescent="0.25">
      <c r="A297" s="31" t="s">
        <v>2328</v>
      </c>
      <c r="B297" s="32" t="s">
        <v>1279</v>
      </c>
      <c r="C297" s="31" t="b">
        <v>1</v>
      </c>
      <c r="D297" s="31">
        <v>2</v>
      </c>
      <c r="E297" s="34" t="s">
        <v>2401</v>
      </c>
      <c r="F297" s="31" t="s">
        <v>3443</v>
      </c>
      <c r="G297" s="31" t="s">
        <v>3665</v>
      </c>
      <c r="H297" s="31" t="s">
        <v>3666</v>
      </c>
      <c r="I297" s="31" t="s">
        <v>3842</v>
      </c>
      <c r="J297" s="37" t="s">
        <v>4047</v>
      </c>
      <c r="K297" s="31" t="s">
        <v>2328</v>
      </c>
      <c r="L297" s="31" t="s">
        <v>327</v>
      </c>
      <c r="M297" s="31" t="s">
        <v>2232</v>
      </c>
      <c r="N297" s="31" t="s">
        <v>2328</v>
      </c>
    </row>
    <row r="298" spans="1:14" ht="75" x14ac:dyDescent="0.25">
      <c r="A298" s="31" t="s">
        <v>2925</v>
      </c>
      <c r="B298" s="32" t="s">
        <v>1281</v>
      </c>
      <c r="C298" s="31" t="b">
        <v>0</v>
      </c>
      <c r="D298" s="31">
        <v>4</v>
      </c>
      <c r="E298" s="35" t="s">
        <v>1283</v>
      </c>
      <c r="F298" s="31" t="s">
        <v>131</v>
      </c>
      <c r="G298" s="31" t="s">
        <v>3665</v>
      </c>
      <c r="H298" s="31" t="s">
        <v>3666</v>
      </c>
      <c r="I298" s="31" t="s">
        <v>3842</v>
      </c>
      <c r="J298" s="37" t="s">
        <v>4047</v>
      </c>
      <c r="K298" s="31" t="s">
        <v>2328</v>
      </c>
      <c r="L298" s="31" t="s">
        <v>329</v>
      </c>
      <c r="M298" s="31" t="s">
        <v>2232</v>
      </c>
      <c r="N298" s="31" t="s">
        <v>2328</v>
      </c>
    </row>
    <row r="299" spans="1:14" ht="75" x14ac:dyDescent="0.25">
      <c r="A299" s="31" t="s">
        <v>2926</v>
      </c>
      <c r="B299" s="32" t="s">
        <v>1284</v>
      </c>
      <c r="C299" s="31" t="b">
        <v>0</v>
      </c>
      <c r="D299" s="31">
        <v>4</v>
      </c>
      <c r="E299" s="35" t="s">
        <v>1286</v>
      </c>
      <c r="F299" s="31" t="s">
        <v>131</v>
      </c>
      <c r="G299" s="31" t="s">
        <v>3665</v>
      </c>
      <c r="H299" s="31" t="s">
        <v>3666</v>
      </c>
      <c r="I299" s="31" t="s">
        <v>3842</v>
      </c>
      <c r="J299" s="37" t="s">
        <v>4047</v>
      </c>
      <c r="K299" s="31" t="s">
        <v>2328</v>
      </c>
      <c r="L299" s="31" t="s">
        <v>329</v>
      </c>
      <c r="M299" s="31" t="s">
        <v>2232</v>
      </c>
      <c r="N299" s="31" t="s">
        <v>2328</v>
      </c>
    </row>
    <row r="300" spans="1:14" ht="75" x14ac:dyDescent="0.25">
      <c r="A300" s="31" t="s">
        <v>2927</v>
      </c>
      <c r="B300" s="32" t="s">
        <v>1287</v>
      </c>
      <c r="C300" s="31" t="b">
        <v>0</v>
      </c>
      <c r="D300" s="31">
        <v>4</v>
      </c>
      <c r="E300" s="35" t="s">
        <v>1289</v>
      </c>
      <c r="F300" s="31" t="s">
        <v>131</v>
      </c>
      <c r="G300" s="31" t="s">
        <v>3665</v>
      </c>
      <c r="H300" s="31" t="s">
        <v>3666</v>
      </c>
      <c r="I300" s="31" t="s">
        <v>3842</v>
      </c>
      <c r="J300" s="37" t="s">
        <v>4047</v>
      </c>
      <c r="K300" s="31" t="s">
        <v>2328</v>
      </c>
      <c r="L300" s="31" t="s">
        <v>329</v>
      </c>
      <c r="M300" s="31" t="s">
        <v>2232</v>
      </c>
      <c r="N300" s="31" t="s">
        <v>2328</v>
      </c>
    </row>
    <row r="301" spans="1:14" ht="75" x14ac:dyDescent="0.25">
      <c r="A301" s="31" t="s">
        <v>2928</v>
      </c>
      <c r="B301" s="32" t="s">
        <v>1290</v>
      </c>
      <c r="C301" s="31" t="b">
        <v>0</v>
      </c>
      <c r="D301" s="31">
        <v>4</v>
      </c>
      <c r="E301" s="35" t="s">
        <v>1292</v>
      </c>
      <c r="F301" s="31" t="s">
        <v>131</v>
      </c>
      <c r="G301" s="31" t="s">
        <v>3665</v>
      </c>
      <c r="H301" s="31" t="s">
        <v>3666</v>
      </c>
      <c r="I301" s="31" t="s">
        <v>3842</v>
      </c>
      <c r="J301" s="37" t="s">
        <v>4047</v>
      </c>
      <c r="K301" s="31" t="s">
        <v>2328</v>
      </c>
      <c r="L301" s="31" t="s">
        <v>331</v>
      </c>
      <c r="M301" s="31" t="s">
        <v>2232</v>
      </c>
      <c r="N301" s="31" t="s">
        <v>2328</v>
      </c>
    </row>
    <row r="302" spans="1:14" ht="75" x14ac:dyDescent="0.25">
      <c r="A302" s="31" t="s">
        <v>2929</v>
      </c>
      <c r="B302" s="32" t="s">
        <v>1293</v>
      </c>
      <c r="C302" s="31" t="b">
        <v>0</v>
      </c>
      <c r="D302" s="31">
        <v>4</v>
      </c>
      <c r="E302" s="35" t="s">
        <v>1295</v>
      </c>
      <c r="F302" s="31" t="s">
        <v>131</v>
      </c>
      <c r="G302" s="31" t="s">
        <v>3665</v>
      </c>
      <c r="H302" s="31" t="s">
        <v>3666</v>
      </c>
      <c r="I302" s="31" t="s">
        <v>3842</v>
      </c>
      <c r="J302" s="37" t="s">
        <v>4047</v>
      </c>
      <c r="K302" s="31" t="s">
        <v>2328</v>
      </c>
      <c r="L302" s="31" t="s">
        <v>331</v>
      </c>
      <c r="M302" s="31" t="s">
        <v>2232</v>
      </c>
      <c r="N302" s="31" t="s">
        <v>2328</v>
      </c>
    </row>
    <row r="303" spans="1:14" ht="75" x14ac:dyDescent="0.25">
      <c r="A303" s="31" t="s">
        <v>2930</v>
      </c>
      <c r="B303" s="32" t="s">
        <v>1296</v>
      </c>
      <c r="C303" s="31" t="b">
        <v>0</v>
      </c>
      <c r="D303" s="31">
        <v>4</v>
      </c>
      <c r="E303" s="35" t="s">
        <v>1298</v>
      </c>
      <c r="F303" s="31" t="s">
        <v>131</v>
      </c>
      <c r="G303" s="31" t="s">
        <v>3665</v>
      </c>
      <c r="H303" s="31" t="s">
        <v>3666</v>
      </c>
      <c r="I303" s="31" t="s">
        <v>3842</v>
      </c>
      <c r="J303" s="37" t="s">
        <v>4047</v>
      </c>
      <c r="K303" s="31" t="s">
        <v>2328</v>
      </c>
      <c r="L303" s="31" t="s">
        <v>331</v>
      </c>
      <c r="M303" s="31" t="s">
        <v>2232</v>
      </c>
      <c r="N303" s="31" t="s">
        <v>2328</v>
      </c>
    </row>
    <row r="304" spans="1:14" ht="75" x14ac:dyDescent="0.25">
      <c r="A304" s="31" t="s">
        <v>2328</v>
      </c>
      <c r="B304" s="32" t="s">
        <v>1299</v>
      </c>
      <c r="C304" s="31" t="b">
        <v>1</v>
      </c>
      <c r="D304" s="31">
        <v>2</v>
      </c>
      <c r="E304" s="34" t="s">
        <v>2402</v>
      </c>
      <c r="F304" s="31" t="s">
        <v>3443</v>
      </c>
      <c r="G304" s="31" t="s">
        <v>3665</v>
      </c>
      <c r="H304" s="31" t="s">
        <v>3666</v>
      </c>
      <c r="I304" s="31" t="s">
        <v>3842</v>
      </c>
      <c r="J304" s="37" t="s">
        <v>4047</v>
      </c>
      <c r="K304" s="31" t="s">
        <v>2328</v>
      </c>
      <c r="L304" s="31" t="s">
        <v>333</v>
      </c>
      <c r="M304" s="31" t="s">
        <v>2232</v>
      </c>
      <c r="N304" s="31" t="s">
        <v>2328</v>
      </c>
    </row>
    <row r="305" spans="1:14" ht="75" x14ac:dyDescent="0.25">
      <c r="A305" s="31" t="s">
        <v>2328</v>
      </c>
      <c r="B305" s="32" t="s">
        <v>2257</v>
      </c>
      <c r="C305" s="31" t="b">
        <v>0</v>
      </c>
      <c r="D305" s="31">
        <v>4</v>
      </c>
      <c r="E305" s="35" t="s">
        <v>2258</v>
      </c>
      <c r="F305" s="31" t="s">
        <v>131</v>
      </c>
      <c r="G305" s="31" t="s">
        <v>3665</v>
      </c>
      <c r="H305" s="31" t="s">
        <v>3666</v>
      </c>
      <c r="I305" s="31" t="s">
        <v>3842</v>
      </c>
      <c r="J305" s="37" t="s">
        <v>4047</v>
      </c>
      <c r="K305" s="31" t="s">
        <v>2328</v>
      </c>
      <c r="L305" s="31" t="s">
        <v>317</v>
      </c>
      <c r="M305" s="31" t="s">
        <v>2232</v>
      </c>
      <c r="N305" s="31" t="s">
        <v>2328</v>
      </c>
    </row>
    <row r="306" spans="1:14" ht="75" x14ac:dyDescent="0.25">
      <c r="A306" s="31" t="s">
        <v>2931</v>
      </c>
      <c r="B306" s="32" t="s">
        <v>1301</v>
      </c>
      <c r="C306" s="31" t="b">
        <v>0</v>
      </c>
      <c r="D306" s="31">
        <v>4</v>
      </c>
      <c r="E306" s="35" t="s">
        <v>3589</v>
      </c>
      <c r="F306" s="31" t="s">
        <v>139</v>
      </c>
      <c r="G306" s="31" t="s">
        <v>3665</v>
      </c>
      <c r="H306" s="31" t="s">
        <v>3666</v>
      </c>
      <c r="I306" s="31" t="s">
        <v>3842</v>
      </c>
      <c r="J306" s="37" t="s">
        <v>4047</v>
      </c>
      <c r="K306" s="31" t="s">
        <v>2328</v>
      </c>
      <c r="L306" s="31" t="s">
        <v>1304</v>
      </c>
      <c r="M306" s="31" t="s">
        <v>2232</v>
      </c>
      <c r="N306" s="31" t="s">
        <v>2328</v>
      </c>
    </row>
    <row r="307" spans="1:14" ht="75" x14ac:dyDescent="0.25">
      <c r="A307" s="31" t="s">
        <v>2932</v>
      </c>
      <c r="B307" s="32" t="s">
        <v>1305</v>
      </c>
      <c r="C307" s="31" t="b">
        <v>0</v>
      </c>
      <c r="D307" s="31">
        <v>4</v>
      </c>
      <c r="E307" s="35" t="s">
        <v>1307</v>
      </c>
      <c r="F307" s="31" t="s">
        <v>131</v>
      </c>
      <c r="G307" s="31" t="s">
        <v>3665</v>
      </c>
      <c r="H307" s="31" t="s">
        <v>3666</v>
      </c>
      <c r="I307" s="31" t="s">
        <v>3842</v>
      </c>
      <c r="J307" s="37" t="s">
        <v>4047</v>
      </c>
      <c r="K307" s="31" t="s">
        <v>3590</v>
      </c>
      <c r="L307" s="31" t="s">
        <v>1304</v>
      </c>
      <c r="M307" s="31" t="s">
        <v>2232</v>
      </c>
      <c r="N307" s="31" t="s">
        <v>2328</v>
      </c>
    </row>
    <row r="308" spans="1:14" ht="75" x14ac:dyDescent="0.25">
      <c r="A308" s="31" t="s">
        <v>2933</v>
      </c>
      <c r="B308" s="32" t="s">
        <v>1308</v>
      </c>
      <c r="C308" s="31" t="b">
        <v>0</v>
      </c>
      <c r="D308" s="31">
        <v>4</v>
      </c>
      <c r="E308" s="35" t="s">
        <v>1310</v>
      </c>
      <c r="F308" s="31" t="s">
        <v>131</v>
      </c>
      <c r="G308" s="31" t="s">
        <v>3665</v>
      </c>
      <c r="H308" s="31" t="s">
        <v>3666</v>
      </c>
      <c r="I308" s="31" t="s">
        <v>3842</v>
      </c>
      <c r="J308" s="37" t="s">
        <v>4047</v>
      </c>
      <c r="K308" s="31" t="s">
        <v>2328</v>
      </c>
      <c r="L308" s="31" t="s">
        <v>1304</v>
      </c>
      <c r="M308" s="31" t="s">
        <v>2232</v>
      </c>
      <c r="N308" s="31" t="s">
        <v>2328</v>
      </c>
    </row>
    <row r="309" spans="1:14" ht="75" x14ac:dyDescent="0.25">
      <c r="A309" s="31" t="s">
        <v>2934</v>
      </c>
      <c r="B309" s="32" t="s">
        <v>1311</v>
      </c>
      <c r="C309" s="31" t="b">
        <v>0</v>
      </c>
      <c r="D309" s="31">
        <v>4</v>
      </c>
      <c r="E309" s="35" t="s">
        <v>1313</v>
      </c>
      <c r="F309" s="31" t="s">
        <v>131</v>
      </c>
      <c r="G309" s="31" t="s">
        <v>3665</v>
      </c>
      <c r="H309" s="31" t="s">
        <v>3666</v>
      </c>
      <c r="I309" s="31" t="s">
        <v>3842</v>
      </c>
      <c r="J309" s="37" t="s">
        <v>4047</v>
      </c>
      <c r="K309" s="31" t="s">
        <v>2328</v>
      </c>
      <c r="L309" s="31" t="s">
        <v>1304</v>
      </c>
      <c r="M309" s="31" t="s">
        <v>2232</v>
      </c>
      <c r="N309" s="31" t="s">
        <v>2328</v>
      </c>
    </row>
    <row r="310" spans="1:14" ht="75" x14ac:dyDescent="0.25">
      <c r="A310" s="31" t="s">
        <v>2935</v>
      </c>
      <c r="B310" s="32" t="s">
        <v>1314</v>
      </c>
      <c r="C310" s="31" t="b">
        <v>0</v>
      </c>
      <c r="D310" s="31">
        <v>4</v>
      </c>
      <c r="E310" s="35" t="s">
        <v>1316</v>
      </c>
      <c r="F310" s="31" t="s">
        <v>131</v>
      </c>
      <c r="G310" s="31" t="s">
        <v>3665</v>
      </c>
      <c r="H310" s="31" t="s">
        <v>3666</v>
      </c>
      <c r="I310" s="31" t="s">
        <v>3842</v>
      </c>
      <c r="J310" s="37" t="s">
        <v>4047</v>
      </c>
      <c r="K310" s="31" t="s">
        <v>2328</v>
      </c>
      <c r="L310" s="31" t="s">
        <v>1304</v>
      </c>
      <c r="M310" s="31" t="s">
        <v>2232</v>
      </c>
      <c r="N310" s="31" t="s">
        <v>2328</v>
      </c>
    </row>
    <row r="311" spans="1:14" ht="75" x14ac:dyDescent="0.25">
      <c r="A311" s="31" t="s">
        <v>2936</v>
      </c>
      <c r="B311" s="32" t="s">
        <v>1317</v>
      </c>
      <c r="C311" s="31" t="b">
        <v>0</v>
      </c>
      <c r="D311" s="31">
        <v>4</v>
      </c>
      <c r="E311" s="35" t="s">
        <v>1319</v>
      </c>
      <c r="F311" s="31" t="s">
        <v>131</v>
      </c>
      <c r="G311" s="31" t="s">
        <v>3665</v>
      </c>
      <c r="H311" s="31" t="s">
        <v>3666</v>
      </c>
      <c r="I311" s="31" t="s">
        <v>3842</v>
      </c>
      <c r="J311" s="37" t="s">
        <v>4047</v>
      </c>
      <c r="K311" s="31" t="s">
        <v>2328</v>
      </c>
      <c r="L311" s="31" t="s">
        <v>1304</v>
      </c>
      <c r="M311" s="31" t="s">
        <v>2232</v>
      </c>
      <c r="N311" s="31" t="s">
        <v>2328</v>
      </c>
    </row>
    <row r="312" spans="1:14" ht="75" x14ac:dyDescent="0.25">
      <c r="A312" s="31" t="s">
        <v>2937</v>
      </c>
      <c r="B312" s="32" t="s">
        <v>1320</v>
      </c>
      <c r="C312" s="31" t="b">
        <v>0</v>
      </c>
      <c r="D312" s="31">
        <v>4</v>
      </c>
      <c r="E312" s="35" t="s">
        <v>1322</v>
      </c>
      <c r="F312" s="31" t="s">
        <v>131</v>
      </c>
      <c r="G312" s="31" t="s">
        <v>3665</v>
      </c>
      <c r="H312" s="31" t="s">
        <v>3666</v>
      </c>
      <c r="I312" s="31" t="s">
        <v>3842</v>
      </c>
      <c r="J312" s="37" t="s">
        <v>4047</v>
      </c>
      <c r="K312" s="31" t="s">
        <v>2328</v>
      </c>
      <c r="L312" s="31" t="s">
        <v>1304</v>
      </c>
      <c r="M312" s="31" t="s">
        <v>2232</v>
      </c>
      <c r="N312" s="31" t="s">
        <v>2328</v>
      </c>
    </row>
    <row r="313" spans="1:14" ht="75" x14ac:dyDescent="0.25">
      <c r="A313" s="31" t="s">
        <v>2938</v>
      </c>
      <c r="B313" s="32" t="s">
        <v>1323</v>
      </c>
      <c r="C313" s="31" t="b">
        <v>0</v>
      </c>
      <c r="D313" s="31">
        <v>4</v>
      </c>
      <c r="E313" s="35" t="s">
        <v>1325</v>
      </c>
      <c r="F313" s="31" t="s">
        <v>131</v>
      </c>
      <c r="G313" s="31" t="s">
        <v>3665</v>
      </c>
      <c r="H313" s="31" t="s">
        <v>3666</v>
      </c>
      <c r="I313" s="31" t="s">
        <v>3842</v>
      </c>
      <c r="J313" s="37" t="s">
        <v>4047</v>
      </c>
      <c r="K313" s="31" t="s">
        <v>2328</v>
      </c>
      <c r="L313" s="31" t="s">
        <v>1304</v>
      </c>
      <c r="M313" s="31" t="s">
        <v>2232</v>
      </c>
      <c r="N313" s="31" t="s">
        <v>2328</v>
      </c>
    </row>
    <row r="314" spans="1:14" ht="75" x14ac:dyDescent="0.25">
      <c r="A314" s="31" t="s">
        <v>2939</v>
      </c>
      <c r="B314" s="32" t="s">
        <v>1326</v>
      </c>
      <c r="C314" s="31" t="b">
        <v>0</v>
      </c>
      <c r="D314" s="31">
        <v>4</v>
      </c>
      <c r="E314" s="35" t="s">
        <v>1328</v>
      </c>
      <c r="F314" s="31" t="s">
        <v>131</v>
      </c>
      <c r="G314" s="31" t="s">
        <v>3665</v>
      </c>
      <c r="H314" s="31" t="s">
        <v>3666</v>
      </c>
      <c r="I314" s="31" t="s">
        <v>3842</v>
      </c>
      <c r="J314" s="37" t="s">
        <v>4047</v>
      </c>
      <c r="K314" s="31" t="s">
        <v>2328</v>
      </c>
      <c r="L314" s="31" t="s">
        <v>1304</v>
      </c>
      <c r="M314" s="31" t="s">
        <v>2232</v>
      </c>
      <c r="N314" s="31" t="s">
        <v>2328</v>
      </c>
    </row>
    <row r="315" spans="1:14" ht="75" x14ac:dyDescent="0.25">
      <c r="A315" s="31" t="s">
        <v>2940</v>
      </c>
      <c r="B315" s="32" t="s">
        <v>1329</v>
      </c>
      <c r="C315" s="31" t="b">
        <v>0</v>
      </c>
      <c r="D315" s="31">
        <v>4</v>
      </c>
      <c r="E315" s="35" t="s">
        <v>1331</v>
      </c>
      <c r="F315" s="31" t="s">
        <v>131</v>
      </c>
      <c r="G315" s="31" t="s">
        <v>3665</v>
      </c>
      <c r="H315" s="31" t="s">
        <v>3666</v>
      </c>
      <c r="I315" s="31" t="s">
        <v>3842</v>
      </c>
      <c r="J315" s="37" t="s">
        <v>4047</v>
      </c>
      <c r="K315" s="31" t="s">
        <v>2328</v>
      </c>
      <c r="L315" s="31" t="s">
        <v>1304</v>
      </c>
      <c r="M315" s="31" t="s">
        <v>2232</v>
      </c>
      <c r="N315" s="31" t="s">
        <v>2328</v>
      </c>
    </row>
    <row r="316" spans="1:14" ht="75" x14ac:dyDescent="0.25">
      <c r="A316" s="31" t="s">
        <v>2941</v>
      </c>
      <c r="B316" s="32" t="s">
        <v>1332</v>
      </c>
      <c r="C316" s="31" t="b">
        <v>0</v>
      </c>
      <c r="D316" s="31">
        <v>4</v>
      </c>
      <c r="E316" s="35" t="s">
        <v>1334</v>
      </c>
      <c r="F316" s="31" t="s">
        <v>131</v>
      </c>
      <c r="G316" s="31" t="s">
        <v>3665</v>
      </c>
      <c r="H316" s="31" t="s">
        <v>3666</v>
      </c>
      <c r="I316" s="31" t="s">
        <v>3842</v>
      </c>
      <c r="J316" s="37" t="s">
        <v>4047</v>
      </c>
      <c r="K316" s="31" t="s">
        <v>2328</v>
      </c>
      <c r="L316" s="31" t="s">
        <v>1304</v>
      </c>
      <c r="M316" s="31" t="s">
        <v>2232</v>
      </c>
      <c r="N316" s="31" t="s">
        <v>2328</v>
      </c>
    </row>
    <row r="317" spans="1:14" ht="75" x14ac:dyDescent="0.25">
      <c r="A317" s="31" t="s">
        <v>2328</v>
      </c>
      <c r="B317" s="32" t="s">
        <v>1335</v>
      </c>
      <c r="C317" s="31" t="b">
        <v>1</v>
      </c>
      <c r="D317" s="31">
        <v>4</v>
      </c>
      <c r="E317" s="35" t="s">
        <v>2403</v>
      </c>
      <c r="F317" s="31" t="s">
        <v>3443</v>
      </c>
      <c r="G317" s="31" t="s">
        <v>3665</v>
      </c>
      <c r="H317" s="31" t="s">
        <v>3666</v>
      </c>
      <c r="I317" s="31" t="s">
        <v>3842</v>
      </c>
      <c r="J317" s="37" t="s">
        <v>4047</v>
      </c>
      <c r="K317" s="31" t="s">
        <v>2328</v>
      </c>
      <c r="L317" s="31" t="s">
        <v>1304</v>
      </c>
      <c r="M317" s="31" t="s">
        <v>2232</v>
      </c>
      <c r="N317" s="31" t="s">
        <v>2328</v>
      </c>
    </row>
    <row r="318" spans="1:14" ht="75" x14ac:dyDescent="0.25">
      <c r="A318" s="31" t="s">
        <v>2942</v>
      </c>
      <c r="B318" s="32" t="s">
        <v>1338</v>
      </c>
      <c r="C318" s="31" t="b">
        <v>0</v>
      </c>
      <c r="D318" s="31">
        <v>6</v>
      </c>
      <c r="E318" s="38" t="s">
        <v>2259</v>
      </c>
      <c r="F318" s="31" t="s">
        <v>131</v>
      </c>
      <c r="G318" s="31" t="s">
        <v>3665</v>
      </c>
      <c r="H318" s="31" t="s">
        <v>3666</v>
      </c>
      <c r="I318" s="31" t="s">
        <v>3842</v>
      </c>
      <c r="J318" s="37" t="s">
        <v>4047</v>
      </c>
      <c r="K318" s="31" t="s">
        <v>2328</v>
      </c>
      <c r="L318" s="31" t="s">
        <v>1304</v>
      </c>
      <c r="M318" s="31" t="s">
        <v>2232</v>
      </c>
      <c r="N318" s="31" t="s">
        <v>2328</v>
      </c>
    </row>
    <row r="319" spans="1:14" ht="75" x14ac:dyDescent="0.25">
      <c r="A319" s="31" t="s">
        <v>2943</v>
      </c>
      <c r="B319" s="32" t="s">
        <v>1340</v>
      </c>
      <c r="C319" s="31" t="b">
        <v>0</v>
      </c>
      <c r="D319" s="31">
        <v>6</v>
      </c>
      <c r="E319" s="38" t="s">
        <v>1342</v>
      </c>
      <c r="F319" s="31" t="s">
        <v>131</v>
      </c>
      <c r="G319" s="31" t="s">
        <v>3665</v>
      </c>
      <c r="H319" s="31" t="s">
        <v>3666</v>
      </c>
      <c r="I319" s="31" t="s">
        <v>3842</v>
      </c>
      <c r="J319" s="37" t="s">
        <v>4047</v>
      </c>
      <c r="K319" s="31" t="s">
        <v>2328</v>
      </c>
      <c r="L319" s="31" t="s">
        <v>1304</v>
      </c>
      <c r="M319" s="31" t="s">
        <v>2232</v>
      </c>
      <c r="N319" s="31" t="s">
        <v>2328</v>
      </c>
    </row>
    <row r="320" spans="1:14" ht="75" x14ac:dyDescent="0.25">
      <c r="A320" s="31" t="s">
        <v>2944</v>
      </c>
      <c r="B320" s="32" t="s">
        <v>1343</v>
      </c>
      <c r="C320" s="31" t="b">
        <v>0</v>
      </c>
      <c r="D320" s="31">
        <v>6</v>
      </c>
      <c r="E320" s="38" t="s">
        <v>1345</v>
      </c>
      <c r="F320" s="31" t="s">
        <v>131</v>
      </c>
      <c r="G320" s="31" t="s">
        <v>3665</v>
      </c>
      <c r="H320" s="31" t="s">
        <v>3666</v>
      </c>
      <c r="I320" s="31" t="s">
        <v>3842</v>
      </c>
      <c r="J320" s="37" t="s">
        <v>4047</v>
      </c>
      <c r="K320" s="31" t="s">
        <v>2328</v>
      </c>
      <c r="L320" s="31" t="s">
        <v>1304</v>
      </c>
      <c r="M320" s="31" t="s">
        <v>2232</v>
      </c>
      <c r="N320" s="31" t="s">
        <v>2328</v>
      </c>
    </row>
    <row r="321" spans="1:14" ht="75" x14ac:dyDescent="0.25">
      <c r="A321" s="31" t="s">
        <v>2945</v>
      </c>
      <c r="B321" s="32" t="s">
        <v>1346</v>
      </c>
      <c r="C321" s="31" t="b">
        <v>0</v>
      </c>
      <c r="D321" s="31">
        <v>6</v>
      </c>
      <c r="E321" s="38" t="s">
        <v>1348</v>
      </c>
      <c r="F321" s="31" t="s">
        <v>131</v>
      </c>
      <c r="G321" s="31" t="s">
        <v>3665</v>
      </c>
      <c r="H321" s="31" t="s">
        <v>3666</v>
      </c>
      <c r="I321" s="31" t="s">
        <v>3842</v>
      </c>
      <c r="J321" s="37" t="s">
        <v>4047</v>
      </c>
      <c r="K321" s="31" t="s">
        <v>2328</v>
      </c>
      <c r="L321" s="31" t="s">
        <v>1304</v>
      </c>
      <c r="M321" s="31" t="s">
        <v>2232</v>
      </c>
      <c r="N321" s="31" t="s">
        <v>2328</v>
      </c>
    </row>
    <row r="322" spans="1:14" ht="75" x14ac:dyDescent="0.25">
      <c r="A322" s="31" t="s">
        <v>2328</v>
      </c>
      <c r="B322" s="32" t="s">
        <v>1349</v>
      </c>
      <c r="C322" s="31" t="b">
        <v>1</v>
      </c>
      <c r="D322" s="31">
        <v>2</v>
      </c>
      <c r="E322" s="34" t="s">
        <v>2404</v>
      </c>
      <c r="F322" s="31" t="s">
        <v>3443</v>
      </c>
      <c r="G322" s="31" t="s">
        <v>3665</v>
      </c>
      <c r="H322" s="31" t="s">
        <v>3666</v>
      </c>
      <c r="I322" s="31" t="s">
        <v>3842</v>
      </c>
      <c r="J322" s="37" t="s">
        <v>4047</v>
      </c>
      <c r="K322" s="31" t="s">
        <v>2328</v>
      </c>
      <c r="L322" s="31" t="s">
        <v>337</v>
      </c>
      <c r="M322" s="31" t="s">
        <v>2232</v>
      </c>
      <c r="N322" s="31" t="s">
        <v>2328</v>
      </c>
    </row>
    <row r="323" spans="1:14" ht="75" x14ac:dyDescent="0.25">
      <c r="A323" s="31" t="s">
        <v>2328</v>
      </c>
      <c r="B323" s="32" t="s">
        <v>1351</v>
      </c>
      <c r="C323" s="31" t="b">
        <v>1</v>
      </c>
      <c r="D323" s="31">
        <v>4</v>
      </c>
      <c r="E323" s="35" t="s">
        <v>2356</v>
      </c>
      <c r="F323" s="31" t="s">
        <v>3443</v>
      </c>
      <c r="G323" s="31" t="s">
        <v>3665</v>
      </c>
      <c r="H323" s="31" t="s">
        <v>3666</v>
      </c>
      <c r="I323" s="31" t="s">
        <v>3842</v>
      </c>
      <c r="J323" s="37" t="s">
        <v>4047</v>
      </c>
      <c r="K323" s="31" t="s">
        <v>2328</v>
      </c>
      <c r="L323" s="31" t="s">
        <v>340</v>
      </c>
      <c r="M323" s="31" t="s">
        <v>2232</v>
      </c>
      <c r="N323" s="31" t="s">
        <v>2328</v>
      </c>
    </row>
    <row r="324" spans="1:14" ht="75" x14ac:dyDescent="0.25">
      <c r="A324" s="31" t="s">
        <v>2946</v>
      </c>
      <c r="B324" s="32" t="s">
        <v>1352</v>
      </c>
      <c r="C324" s="31" t="b">
        <v>0</v>
      </c>
      <c r="D324" s="31">
        <v>6</v>
      </c>
      <c r="E324" s="38" t="s">
        <v>1353</v>
      </c>
      <c r="F324" s="31" t="s">
        <v>131</v>
      </c>
      <c r="G324" s="31" t="s">
        <v>3665</v>
      </c>
      <c r="H324" s="31" t="s">
        <v>3666</v>
      </c>
      <c r="I324" s="31" t="s">
        <v>3842</v>
      </c>
      <c r="J324" s="37" t="s">
        <v>4047</v>
      </c>
      <c r="K324" s="31" t="s">
        <v>2328</v>
      </c>
      <c r="L324" s="31" t="s">
        <v>343</v>
      </c>
      <c r="M324" s="31" t="s">
        <v>2232</v>
      </c>
      <c r="N324" s="31" t="s">
        <v>2328</v>
      </c>
    </row>
    <row r="325" spans="1:14" ht="75" x14ac:dyDescent="0.25">
      <c r="A325" s="31" t="s">
        <v>2947</v>
      </c>
      <c r="B325" s="32" t="s">
        <v>1354</v>
      </c>
      <c r="C325" s="31" t="b">
        <v>0</v>
      </c>
      <c r="D325" s="31">
        <v>6</v>
      </c>
      <c r="E325" s="38" t="s">
        <v>1355</v>
      </c>
      <c r="F325" s="31" t="s">
        <v>131</v>
      </c>
      <c r="G325" s="31" t="s">
        <v>3665</v>
      </c>
      <c r="H325" s="31" t="s">
        <v>3666</v>
      </c>
      <c r="I325" s="31" t="s">
        <v>3842</v>
      </c>
      <c r="J325" s="37" t="s">
        <v>4047</v>
      </c>
      <c r="K325" s="31" t="s">
        <v>2328</v>
      </c>
      <c r="L325" s="31" t="s">
        <v>343</v>
      </c>
      <c r="M325" s="31" t="s">
        <v>2232</v>
      </c>
      <c r="N325" s="31" t="s">
        <v>2328</v>
      </c>
    </row>
    <row r="326" spans="1:14" ht="75" x14ac:dyDescent="0.25">
      <c r="A326" s="31" t="s">
        <v>2948</v>
      </c>
      <c r="B326" s="32" t="s">
        <v>1356</v>
      </c>
      <c r="C326" s="31" t="b">
        <v>0</v>
      </c>
      <c r="D326" s="31">
        <v>6</v>
      </c>
      <c r="E326" s="38" t="s">
        <v>1358</v>
      </c>
      <c r="F326" s="31" t="s">
        <v>131</v>
      </c>
      <c r="G326" s="31" t="s">
        <v>3665</v>
      </c>
      <c r="H326" s="31" t="s">
        <v>3666</v>
      </c>
      <c r="I326" s="31" t="s">
        <v>3842</v>
      </c>
      <c r="J326" s="37" t="s">
        <v>4047</v>
      </c>
      <c r="K326" s="31" t="s">
        <v>2328</v>
      </c>
      <c r="L326" s="31" t="s">
        <v>343</v>
      </c>
      <c r="M326" s="31" t="s">
        <v>2232</v>
      </c>
      <c r="N326" s="31" t="s">
        <v>2328</v>
      </c>
    </row>
    <row r="327" spans="1:14" ht="75" x14ac:dyDescent="0.25">
      <c r="A327" s="31" t="s">
        <v>2328</v>
      </c>
      <c r="B327" s="32" t="s">
        <v>1359</v>
      </c>
      <c r="C327" s="31" t="b">
        <v>1</v>
      </c>
      <c r="D327" s="31">
        <v>4</v>
      </c>
      <c r="E327" s="35" t="s">
        <v>2405</v>
      </c>
      <c r="F327" s="31" t="s">
        <v>3443</v>
      </c>
      <c r="G327" s="31" t="s">
        <v>3665</v>
      </c>
      <c r="H327" s="31" t="s">
        <v>3666</v>
      </c>
      <c r="I327" s="31" t="s">
        <v>3842</v>
      </c>
      <c r="J327" s="37" t="s">
        <v>4047</v>
      </c>
      <c r="K327" s="31" t="s">
        <v>2328</v>
      </c>
      <c r="L327" s="31" t="s">
        <v>347</v>
      </c>
      <c r="M327" s="31" t="s">
        <v>2232</v>
      </c>
      <c r="N327" s="31" t="s">
        <v>2328</v>
      </c>
    </row>
    <row r="328" spans="1:14" ht="75" x14ac:dyDescent="0.25">
      <c r="A328" s="31" t="s">
        <v>2949</v>
      </c>
      <c r="B328" s="32" t="s">
        <v>1361</v>
      </c>
      <c r="C328" s="31" t="b">
        <v>0</v>
      </c>
      <c r="D328" s="31">
        <v>6</v>
      </c>
      <c r="E328" s="38" t="s">
        <v>1362</v>
      </c>
      <c r="F328" s="31" t="s">
        <v>131</v>
      </c>
      <c r="G328" s="31" t="s">
        <v>3665</v>
      </c>
      <c r="H328" s="31" t="s">
        <v>3666</v>
      </c>
      <c r="I328" s="31" t="s">
        <v>3842</v>
      </c>
      <c r="J328" s="37" t="s">
        <v>4047</v>
      </c>
      <c r="K328" s="31" t="s">
        <v>2328</v>
      </c>
      <c r="L328" s="31" t="s">
        <v>350</v>
      </c>
      <c r="M328" s="31" t="s">
        <v>2232</v>
      </c>
      <c r="N328" s="31" t="s">
        <v>2328</v>
      </c>
    </row>
    <row r="329" spans="1:14" ht="75" x14ac:dyDescent="0.25">
      <c r="A329" s="31" t="s">
        <v>2328</v>
      </c>
      <c r="B329" s="32" t="s">
        <v>1363</v>
      </c>
      <c r="C329" s="31" t="b">
        <v>1</v>
      </c>
      <c r="D329" s="31">
        <v>4</v>
      </c>
      <c r="E329" s="35" t="s">
        <v>2358</v>
      </c>
      <c r="F329" s="31" t="s">
        <v>3443</v>
      </c>
      <c r="G329" s="31" t="s">
        <v>3665</v>
      </c>
      <c r="H329" s="31" t="s">
        <v>3666</v>
      </c>
      <c r="I329" s="31" t="s">
        <v>3842</v>
      </c>
      <c r="J329" s="37" t="s">
        <v>4047</v>
      </c>
      <c r="K329" s="31" t="s">
        <v>2328</v>
      </c>
      <c r="L329" s="31" t="s">
        <v>355</v>
      </c>
      <c r="M329" s="31" t="s">
        <v>2232</v>
      </c>
      <c r="N329" s="31" t="s">
        <v>2328</v>
      </c>
    </row>
    <row r="330" spans="1:14" ht="75" x14ac:dyDescent="0.25">
      <c r="A330" s="31" t="s">
        <v>2950</v>
      </c>
      <c r="B330" s="32" t="s">
        <v>1364</v>
      </c>
      <c r="C330" s="31" t="b">
        <v>0</v>
      </c>
      <c r="D330" s="31">
        <v>6</v>
      </c>
      <c r="E330" s="38" t="s">
        <v>1365</v>
      </c>
      <c r="F330" s="31" t="s">
        <v>131</v>
      </c>
      <c r="G330" s="31" t="s">
        <v>3665</v>
      </c>
      <c r="H330" s="31" t="s">
        <v>3666</v>
      </c>
      <c r="I330" s="31" t="s">
        <v>3842</v>
      </c>
      <c r="J330" s="37" t="s">
        <v>4047</v>
      </c>
      <c r="K330" s="31" t="s">
        <v>2328</v>
      </c>
      <c r="L330" s="31" t="s">
        <v>355</v>
      </c>
      <c r="M330" s="31" t="s">
        <v>2232</v>
      </c>
      <c r="N330" s="31" t="s">
        <v>2328</v>
      </c>
    </row>
    <row r="331" spans="1:14" ht="75" x14ac:dyDescent="0.25">
      <c r="A331" s="31" t="s">
        <v>2951</v>
      </c>
      <c r="B331" s="32" t="s">
        <v>1366</v>
      </c>
      <c r="C331" s="31" t="b">
        <v>0</v>
      </c>
      <c r="D331" s="31">
        <v>6</v>
      </c>
      <c r="E331" s="38" t="s">
        <v>61</v>
      </c>
      <c r="F331" s="31" t="s">
        <v>131</v>
      </c>
      <c r="G331" s="31" t="s">
        <v>3665</v>
      </c>
      <c r="H331" s="31" t="s">
        <v>3666</v>
      </c>
      <c r="I331" s="31" t="s">
        <v>3842</v>
      </c>
      <c r="J331" s="37" t="s">
        <v>4047</v>
      </c>
      <c r="K331" s="31" t="s">
        <v>2328</v>
      </c>
      <c r="L331" s="31" t="s">
        <v>355</v>
      </c>
      <c r="M331" s="31" t="s">
        <v>2232</v>
      </c>
      <c r="N331" s="31" t="s">
        <v>2328</v>
      </c>
    </row>
    <row r="332" spans="1:14" ht="75" x14ac:dyDescent="0.25">
      <c r="A332" s="31" t="s">
        <v>2952</v>
      </c>
      <c r="B332" s="32" t="s">
        <v>1368</v>
      </c>
      <c r="C332" s="31" t="b">
        <v>0</v>
      </c>
      <c r="D332" s="31">
        <v>6</v>
      </c>
      <c r="E332" s="38" t="s">
        <v>60</v>
      </c>
      <c r="F332" s="31" t="s">
        <v>131</v>
      </c>
      <c r="G332" s="31" t="s">
        <v>3665</v>
      </c>
      <c r="H332" s="31" t="s">
        <v>3666</v>
      </c>
      <c r="I332" s="31" t="s">
        <v>3842</v>
      </c>
      <c r="J332" s="37" t="s">
        <v>4047</v>
      </c>
      <c r="K332" s="31" t="s">
        <v>2328</v>
      </c>
      <c r="L332" s="31" t="s">
        <v>355</v>
      </c>
      <c r="M332" s="31" t="s">
        <v>2232</v>
      </c>
      <c r="N332" s="31" t="s">
        <v>2328</v>
      </c>
    </row>
    <row r="333" spans="1:14" ht="75" x14ac:dyDescent="0.25">
      <c r="A333" s="31" t="s">
        <v>2952</v>
      </c>
      <c r="B333" s="32" t="s">
        <v>1370</v>
      </c>
      <c r="C333" s="31" t="b">
        <v>0</v>
      </c>
      <c r="D333" s="31">
        <v>6</v>
      </c>
      <c r="E333" s="38" t="s">
        <v>59</v>
      </c>
      <c r="F333" s="31" t="s">
        <v>131</v>
      </c>
      <c r="G333" s="31" t="s">
        <v>3665</v>
      </c>
      <c r="H333" s="31" t="s">
        <v>3666</v>
      </c>
      <c r="I333" s="31" t="s">
        <v>3842</v>
      </c>
      <c r="J333" s="37" t="s">
        <v>4047</v>
      </c>
      <c r="K333" s="31" t="s">
        <v>2328</v>
      </c>
      <c r="L333" s="31" t="s">
        <v>355</v>
      </c>
      <c r="M333" s="31" t="s">
        <v>2232</v>
      </c>
      <c r="N333" s="31" t="s">
        <v>2328</v>
      </c>
    </row>
    <row r="334" spans="1:14" ht="75" x14ac:dyDescent="0.25">
      <c r="A334" s="31" t="s">
        <v>2953</v>
      </c>
      <c r="B334" s="32" t="s">
        <v>1372</v>
      </c>
      <c r="C334" s="31" t="b">
        <v>0</v>
      </c>
      <c r="D334" s="31">
        <v>6</v>
      </c>
      <c r="E334" s="38" t="s">
        <v>58</v>
      </c>
      <c r="F334" s="31" t="s">
        <v>131</v>
      </c>
      <c r="G334" s="31" t="s">
        <v>3665</v>
      </c>
      <c r="H334" s="31" t="s">
        <v>3666</v>
      </c>
      <c r="I334" s="31" t="s">
        <v>3842</v>
      </c>
      <c r="J334" s="37" t="s">
        <v>4047</v>
      </c>
      <c r="K334" s="31" t="s">
        <v>2328</v>
      </c>
      <c r="L334" s="31" t="s">
        <v>355</v>
      </c>
      <c r="M334" s="31" t="s">
        <v>2232</v>
      </c>
      <c r="N334" s="31" t="s">
        <v>2328</v>
      </c>
    </row>
    <row r="335" spans="1:14" ht="75" x14ac:dyDescent="0.25">
      <c r="A335" s="31" t="s">
        <v>2328</v>
      </c>
      <c r="B335" s="32" t="s">
        <v>1374</v>
      </c>
      <c r="C335" s="31" t="b">
        <v>1</v>
      </c>
      <c r="D335" s="31">
        <v>4</v>
      </c>
      <c r="E335" s="35" t="s">
        <v>2359</v>
      </c>
      <c r="F335" s="31" t="s">
        <v>3443</v>
      </c>
      <c r="G335" s="31" t="s">
        <v>3665</v>
      </c>
      <c r="H335" s="31" t="s">
        <v>3666</v>
      </c>
      <c r="I335" s="31" t="s">
        <v>3842</v>
      </c>
      <c r="J335" s="37" t="s">
        <v>4047</v>
      </c>
      <c r="K335" s="31" t="s">
        <v>2328</v>
      </c>
      <c r="L335" s="31" t="s">
        <v>356</v>
      </c>
      <c r="M335" s="31" t="s">
        <v>2232</v>
      </c>
      <c r="N335" s="31" t="s">
        <v>2328</v>
      </c>
    </row>
    <row r="336" spans="1:14" ht="75" x14ac:dyDescent="0.25">
      <c r="A336" s="31" t="s">
        <v>2954</v>
      </c>
      <c r="B336" s="32" t="s">
        <v>1375</v>
      </c>
      <c r="C336" s="31" t="b">
        <v>0</v>
      </c>
      <c r="D336" s="31">
        <v>6</v>
      </c>
      <c r="E336" s="38" t="s">
        <v>1376</v>
      </c>
      <c r="F336" s="31" t="s">
        <v>131</v>
      </c>
      <c r="G336" s="31" t="s">
        <v>3665</v>
      </c>
      <c r="H336" s="31" t="s">
        <v>3666</v>
      </c>
      <c r="I336" s="31" t="s">
        <v>3842</v>
      </c>
      <c r="J336" s="37" t="s">
        <v>4047</v>
      </c>
      <c r="K336" s="31" t="s">
        <v>2328</v>
      </c>
      <c r="L336" s="31" t="s">
        <v>359</v>
      </c>
      <c r="M336" s="31" t="s">
        <v>2232</v>
      </c>
      <c r="N336" s="31" t="s">
        <v>2328</v>
      </c>
    </row>
    <row r="337" spans="1:14" ht="75" x14ac:dyDescent="0.25">
      <c r="A337" s="31" t="s">
        <v>2955</v>
      </c>
      <c r="B337" s="32" t="s">
        <v>1377</v>
      </c>
      <c r="C337" s="31" t="b">
        <v>0</v>
      </c>
      <c r="D337" s="31">
        <v>6</v>
      </c>
      <c r="E337" s="38" t="s">
        <v>1379</v>
      </c>
      <c r="F337" s="31" t="s">
        <v>131</v>
      </c>
      <c r="G337" s="31" t="s">
        <v>3665</v>
      </c>
      <c r="H337" s="31" t="s">
        <v>3666</v>
      </c>
      <c r="I337" s="31" t="s">
        <v>3842</v>
      </c>
      <c r="J337" s="37" t="s">
        <v>4047</v>
      </c>
      <c r="K337" s="31" t="s">
        <v>2328</v>
      </c>
      <c r="L337" s="31" t="s">
        <v>359</v>
      </c>
      <c r="M337" s="31" t="s">
        <v>2232</v>
      </c>
      <c r="N337" s="31" t="s">
        <v>2328</v>
      </c>
    </row>
    <row r="338" spans="1:14" ht="75" x14ac:dyDescent="0.25">
      <c r="A338" s="31" t="s">
        <v>2956</v>
      </c>
      <c r="B338" s="32" t="s">
        <v>1380</v>
      </c>
      <c r="C338" s="31" t="b">
        <v>0</v>
      </c>
      <c r="D338" s="31">
        <v>6</v>
      </c>
      <c r="E338" s="38" t="s">
        <v>1382</v>
      </c>
      <c r="F338" s="31" t="s">
        <v>131</v>
      </c>
      <c r="G338" s="31" t="s">
        <v>3665</v>
      </c>
      <c r="H338" s="31" t="s">
        <v>3666</v>
      </c>
      <c r="I338" s="31" t="s">
        <v>3842</v>
      </c>
      <c r="J338" s="37" t="s">
        <v>4047</v>
      </c>
      <c r="K338" s="31" t="s">
        <v>2328</v>
      </c>
      <c r="L338" s="31" t="s">
        <v>359</v>
      </c>
      <c r="M338" s="31" t="s">
        <v>2232</v>
      </c>
      <c r="N338" s="31" t="s">
        <v>2328</v>
      </c>
    </row>
    <row r="339" spans="1:14" ht="75" x14ac:dyDescent="0.25">
      <c r="A339" s="31" t="s">
        <v>2957</v>
      </c>
      <c r="B339" s="32" t="s">
        <v>1383</v>
      </c>
      <c r="C339" s="31" t="b">
        <v>0</v>
      </c>
      <c r="D339" s="31">
        <v>6</v>
      </c>
      <c r="E339" s="38" t="s">
        <v>1385</v>
      </c>
      <c r="F339" s="31" t="s">
        <v>131</v>
      </c>
      <c r="G339" s="31" t="s">
        <v>3665</v>
      </c>
      <c r="H339" s="31" t="s">
        <v>3666</v>
      </c>
      <c r="I339" s="31" t="s">
        <v>3842</v>
      </c>
      <c r="J339" s="37" t="s">
        <v>4047</v>
      </c>
      <c r="K339" s="31" t="s">
        <v>2328</v>
      </c>
      <c r="L339" s="31" t="s">
        <v>359</v>
      </c>
      <c r="M339" s="31" t="s">
        <v>2232</v>
      </c>
      <c r="N339" s="31" t="s">
        <v>2328</v>
      </c>
    </row>
    <row r="340" spans="1:14" ht="75" x14ac:dyDescent="0.25">
      <c r="A340" s="31" t="s">
        <v>3423</v>
      </c>
      <c r="B340" s="32" t="s">
        <v>3420</v>
      </c>
      <c r="C340" s="31" t="b">
        <v>0</v>
      </c>
      <c r="D340" s="31">
        <v>6</v>
      </c>
      <c r="E340" s="38" t="s">
        <v>3422</v>
      </c>
      <c r="F340" s="31" t="s">
        <v>131</v>
      </c>
      <c r="G340" s="31" t="s">
        <v>3665</v>
      </c>
      <c r="H340" s="31" t="s">
        <v>3666</v>
      </c>
      <c r="I340" s="31" t="s">
        <v>3842</v>
      </c>
      <c r="J340" s="37" t="s">
        <v>4047</v>
      </c>
      <c r="K340" s="31" t="s">
        <v>2328</v>
      </c>
      <c r="L340" s="31" t="s">
        <v>359</v>
      </c>
      <c r="M340" s="31" t="s">
        <v>2232</v>
      </c>
      <c r="N340" s="31" t="s">
        <v>2328</v>
      </c>
    </row>
    <row r="341" spans="1:14" ht="75" x14ac:dyDescent="0.25">
      <c r="A341" s="31" t="s">
        <v>2958</v>
      </c>
      <c r="B341" s="32" t="s">
        <v>1386</v>
      </c>
      <c r="C341" s="31" t="b">
        <v>0</v>
      </c>
      <c r="D341" s="31">
        <v>6</v>
      </c>
      <c r="E341" s="38" t="s">
        <v>1388</v>
      </c>
      <c r="F341" s="31" t="s">
        <v>131</v>
      </c>
      <c r="G341" s="31" t="s">
        <v>3665</v>
      </c>
      <c r="H341" s="31" t="s">
        <v>3666</v>
      </c>
      <c r="I341" s="31" t="s">
        <v>3842</v>
      </c>
      <c r="J341" s="37" t="s">
        <v>4047</v>
      </c>
      <c r="K341" s="31" t="s">
        <v>2328</v>
      </c>
      <c r="L341" s="31" t="s">
        <v>3663</v>
      </c>
      <c r="M341" s="31" t="s">
        <v>2232</v>
      </c>
      <c r="N341" s="31" t="s">
        <v>2328</v>
      </c>
    </row>
    <row r="342" spans="1:14" ht="75" x14ac:dyDescent="0.25">
      <c r="A342" s="31" t="s">
        <v>2328</v>
      </c>
      <c r="B342" s="32" t="s">
        <v>2260</v>
      </c>
      <c r="C342" s="31" t="b">
        <v>1</v>
      </c>
      <c r="D342" s="31">
        <v>2</v>
      </c>
      <c r="E342" s="34" t="s">
        <v>2360</v>
      </c>
      <c r="F342" s="31" t="s">
        <v>3443</v>
      </c>
      <c r="G342" s="31" t="s">
        <v>3665</v>
      </c>
      <c r="H342" s="31" t="s">
        <v>3666</v>
      </c>
      <c r="I342" s="31" t="s">
        <v>3842</v>
      </c>
      <c r="J342" s="37" t="s">
        <v>4047</v>
      </c>
      <c r="K342" s="31" t="s">
        <v>2328</v>
      </c>
      <c r="L342" s="31" t="s">
        <v>2328</v>
      </c>
      <c r="M342" s="31" t="s">
        <v>2232</v>
      </c>
      <c r="N342" s="31" t="s">
        <v>2328</v>
      </c>
    </row>
    <row r="343" spans="1:14" ht="75" x14ac:dyDescent="0.25">
      <c r="A343" s="31" t="s">
        <v>2328</v>
      </c>
      <c r="B343" s="32" t="s">
        <v>2261</v>
      </c>
      <c r="C343" s="31" t="b">
        <v>1</v>
      </c>
      <c r="D343" s="31">
        <v>4</v>
      </c>
      <c r="E343" s="35" t="s">
        <v>3345</v>
      </c>
      <c r="F343" s="31" t="s">
        <v>3443</v>
      </c>
      <c r="G343" s="31" t="s">
        <v>3665</v>
      </c>
      <c r="H343" s="31" t="s">
        <v>3666</v>
      </c>
      <c r="I343" s="31" t="s">
        <v>3842</v>
      </c>
      <c r="J343" s="37" t="s">
        <v>4047</v>
      </c>
      <c r="K343" s="31" t="s">
        <v>2328</v>
      </c>
      <c r="L343" s="31" t="s">
        <v>124</v>
      </c>
      <c r="M343" s="31" t="s">
        <v>2232</v>
      </c>
      <c r="N343" s="31" t="s">
        <v>2328</v>
      </c>
    </row>
    <row r="344" spans="1:14" ht="75" x14ac:dyDescent="0.25">
      <c r="A344" s="31" t="s">
        <v>2328</v>
      </c>
      <c r="B344" s="32" t="s">
        <v>2263</v>
      </c>
      <c r="C344" s="31" t="b">
        <v>0</v>
      </c>
      <c r="D344" s="31">
        <v>6</v>
      </c>
      <c r="E344" s="38" t="s">
        <v>2264</v>
      </c>
      <c r="F344" s="31" t="s">
        <v>131</v>
      </c>
      <c r="G344" s="31" t="s">
        <v>3665</v>
      </c>
      <c r="H344" s="31" t="s">
        <v>3666</v>
      </c>
      <c r="I344" s="31" t="s">
        <v>3842</v>
      </c>
      <c r="J344" s="37" t="s">
        <v>4047</v>
      </c>
      <c r="K344" s="31" t="s">
        <v>2328</v>
      </c>
      <c r="L344" s="31" t="s">
        <v>3664</v>
      </c>
      <c r="M344" s="31" t="s">
        <v>2232</v>
      </c>
      <c r="N344" s="31" t="s">
        <v>2328</v>
      </c>
    </row>
    <row r="345" spans="1:14" ht="75" x14ac:dyDescent="0.25">
      <c r="A345" s="31" t="s">
        <v>2328</v>
      </c>
      <c r="B345" s="32" t="s">
        <v>1389</v>
      </c>
      <c r="C345" s="31" t="b">
        <v>1</v>
      </c>
      <c r="D345" s="31">
        <v>4</v>
      </c>
      <c r="E345" s="35" t="s">
        <v>3346</v>
      </c>
      <c r="F345" s="31" t="s">
        <v>3443</v>
      </c>
      <c r="G345" s="31" t="s">
        <v>3665</v>
      </c>
      <c r="H345" s="31" t="s">
        <v>3666</v>
      </c>
      <c r="I345" s="31" t="s">
        <v>3842</v>
      </c>
      <c r="J345" s="37" t="s">
        <v>4047</v>
      </c>
      <c r="K345" s="31" t="s">
        <v>2328</v>
      </c>
      <c r="L345" s="31" t="s">
        <v>124</v>
      </c>
      <c r="M345" s="31" t="s">
        <v>2232</v>
      </c>
      <c r="N345" s="31" t="s">
        <v>2328</v>
      </c>
    </row>
    <row r="346" spans="1:14" ht="75" x14ac:dyDescent="0.25">
      <c r="A346" s="31" t="s">
        <v>2328</v>
      </c>
      <c r="B346" s="32" t="s">
        <v>1392</v>
      </c>
      <c r="C346" s="31" t="b">
        <v>0</v>
      </c>
      <c r="D346" s="31">
        <v>6</v>
      </c>
      <c r="E346" s="38" t="s">
        <v>3424</v>
      </c>
      <c r="F346" s="31" t="s">
        <v>131</v>
      </c>
      <c r="G346" s="31" t="s">
        <v>3665</v>
      </c>
      <c r="H346" s="31" t="s">
        <v>3666</v>
      </c>
      <c r="I346" s="31" t="s">
        <v>3842</v>
      </c>
      <c r="J346" s="37" t="s">
        <v>4047</v>
      </c>
      <c r="K346" s="31" t="s">
        <v>2328</v>
      </c>
      <c r="L346" s="31" t="s">
        <v>124</v>
      </c>
      <c r="M346" s="31" t="s">
        <v>2232</v>
      </c>
      <c r="N346" s="31" t="s">
        <v>2328</v>
      </c>
    </row>
    <row r="347" spans="1:14" ht="75" x14ac:dyDescent="0.25">
      <c r="A347" s="31" t="s">
        <v>2328</v>
      </c>
      <c r="B347" s="32" t="s">
        <v>3425</v>
      </c>
      <c r="C347" s="31" t="b">
        <v>0</v>
      </c>
      <c r="D347" s="31">
        <v>6</v>
      </c>
      <c r="E347" s="38" t="s">
        <v>3426</v>
      </c>
      <c r="F347" s="31" t="s">
        <v>131</v>
      </c>
      <c r="G347" s="31" t="s">
        <v>3665</v>
      </c>
      <c r="H347" s="31" t="s">
        <v>3666</v>
      </c>
      <c r="I347" s="31" t="s">
        <v>3842</v>
      </c>
      <c r="J347" s="37" t="s">
        <v>4047</v>
      </c>
      <c r="K347" s="31" t="s">
        <v>2328</v>
      </c>
      <c r="L347" s="31" t="s">
        <v>125</v>
      </c>
      <c r="M347" s="31" t="s">
        <v>2232</v>
      </c>
      <c r="N347" s="31" t="s">
        <v>2328</v>
      </c>
    </row>
    <row r="348" spans="1:14" ht="75" x14ac:dyDescent="0.25">
      <c r="A348" s="31" t="s">
        <v>2328</v>
      </c>
      <c r="B348" s="32" t="s">
        <v>3427</v>
      </c>
      <c r="C348" s="31" t="b">
        <v>0</v>
      </c>
      <c r="D348" s="31">
        <v>6</v>
      </c>
      <c r="E348" s="38" t="s">
        <v>3428</v>
      </c>
      <c r="F348" s="31" t="s">
        <v>131</v>
      </c>
      <c r="G348" s="31" t="s">
        <v>3665</v>
      </c>
      <c r="H348" s="31" t="s">
        <v>3666</v>
      </c>
      <c r="I348" s="31" t="s">
        <v>3842</v>
      </c>
      <c r="J348" s="37" t="s">
        <v>4047</v>
      </c>
      <c r="K348" s="31" t="s">
        <v>2328</v>
      </c>
      <c r="L348" s="31" t="s">
        <v>125</v>
      </c>
      <c r="M348" s="31" t="s">
        <v>2232</v>
      </c>
      <c r="N348" s="31" t="s">
        <v>2328</v>
      </c>
    </row>
    <row r="349" spans="1:14" ht="75" x14ac:dyDescent="0.25">
      <c r="A349" s="31" t="s">
        <v>2328</v>
      </c>
      <c r="B349" s="32" t="s">
        <v>1394</v>
      </c>
      <c r="C349" s="31" t="b">
        <v>0</v>
      </c>
      <c r="D349" s="31">
        <v>6</v>
      </c>
      <c r="E349" s="38" t="s">
        <v>1395</v>
      </c>
      <c r="F349" s="31" t="s">
        <v>131</v>
      </c>
      <c r="G349" s="31" t="s">
        <v>3665</v>
      </c>
      <c r="H349" s="31" t="s">
        <v>3666</v>
      </c>
      <c r="I349" s="31" t="s">
        <v>3842</v>
      </c>
      <c r="J349" s="37" t="s">
        <v>4047</v>
      </c>
      <c r="K349" s="31" t="s">
        <v>2328</v>
      </c>
      <c r="L349" s="31" t="s">
        <v>124</v>
      </c>
      <c r="M349" s="31" t="s">
        <v>2232</v>
      </c>
      <c r="N349" s="31" t="s">
        <v>2328</v>
      </c>
    </row>
    <row r="350" spans="1:14" ht="75" x14ac:dyDescent="0.25">
      <c r="A350" s="31" t="s">
        <v>2328</v>
      </c>
      <c r="B350" s="32" t="s">
        <v>1396</v>
      </c>
      <c r="C350" s="31" t="b">
        <v>0</v>
      </c>
      <c r="D350" s="31">
        <v>6</v>
      </c>
      <c r="E350" s="38" t="s">
        <v>1397</v>
      </c>
      <c r="F350" s="31" t="s">
        <v>131</v>
      </c>
      <c r="G350" s="31" t="s">
        <v>3665</v>
      </c>
      <c r="H350" s="31" t="s">
        <v>3666</v>
      </c>
      <c r="I350" s="31" t="s">
        <v>3842</v>
      </c>
      <c r="J350" s="37" t="s">
        <v>4047</v>
      </c>
      <c r="K350" s="31" t="s">
        <v>2328</v>
      </c>
      <c r="L350" s="31" t="s">
        <v>124</v>
      </c>
      <c r="M350" s="31" t="s">
        <v>2232</v>
      </c>
      <c r="N350" s="31" t="s">
        <v>2328</v>
      </c>
    </row>
    <row r="351" spans="1:14" ht="75" x14ac:dyDescent="0.25">
      <c r="A351" s="31" t="s">
        <v>2328</v>
      </c>
      <c r="B351" s="32" t="s">
        <v>1398</v>
      </c>
      <c r="C351" s="31" t="b">
        <v>0</v>
      </c>
      <c r="D351" s="31">
        <v>6</v>
      </c>
      <c r="E351" s="38" t="s">
        <v>3430</v>
      </c>
      <c r="F351" s="31" t="s">
        <v>131</v>
      </c>
      <c r="G351" s="31" t="s">
        <v>3665</v>
      </c>
      <c r="H351" s="31" t="s">
        <v>3666</v>
      </c>
      <c r="I351" s="31" t="s">
        <v>3842</v>
      </c>
      <c r="J351" s="37" t="s">
        <v>4047</v>
      </c>
      <c r="K351" s="31" t="s">
        <v>2328</v>
      </c>
      <c r="L351" s="31" t="s">
        <v>124</v>
      </c>
      <c r="M351" s="31" t="s">
        <v>2232</v>
      </c>
      <c r="N351" s="31" t="s">
        <v>2328</v>
      </c>
    </row>
    <row r="352" spans="1:14" ht="75" x14ac:dyDescent="0.25">
      <c r="A352" s="31" t="s">
        <v>2328</v>
      </c>
      <c r="B352" s="32" t="s">
        <v>1399</v>
      </c>
      <c r="C352" s="31" t="b">
        <v>0</v>
      </c>
      <c r="D352" s="31">
        <v>6</v>
      </c>
      <c r="E352" s="38" t="s">
        <v>3432</v>
      </c>
      <c r="F352" s="31" t="s">
        <v>131</v>
      </c>
      <c r="G352" s="31" t="s">
        <v>3665</v>
      </c>
      <c r="H352" s="31" t="s">
        <v>3666</v>
      </c>
      <c r="I352" s="31" t="s">
        <v>3842</v>
      </c>
      <c r="J352" s="37" t="s">
        <v>4047</v>
      </c>
      <c r="K352" s="31" t="s">
        <v>2328</v>
      </c>
      <c r="L352" s="31" t="s">
        <v>124</v>
      </c>
      <c r="M352" s="31" t="s">
        <v>2232</v>
      </c>
      <c r="N352" s="31" t="s">
        <v>2328</v>
      </c>
    </row>
    <row r="353" spans="1:14" x14ac:dyDescent="0.25">
      <c r="A353" s="31" t="s">
        <v>2328</v>
      </c>
      <c r="B353" s="32" t="s">
        <v>1400</v>
      </c>
      <c r="C353" s="31" t="b">
        <v>1</v>
      </c>
      <c r="D353" s="31">
        <v>4</v>
      </c>
      <c r="E353" s="35" t="s">
        <v>3543</v>
      </c>
      <c r="F353" s="31" t="s">
        <v>3443</v>
      </c>
      <c r="G353" s="31" t="s">
        <v>2328</v>
      </c>
      <c r="H353" s="31" t="s">
        <v>2328</v>
      </c>
      <c r="I353" s="31" t="s">
        <v>2328</v>
      </c>
      <c r="J353" s="37" t="s">
        <v>2328</v>
      </c>
      <c r="K353" s="31" t="s">
        <v>2328</v>
      </c>
      <c r="L353" s="31" t="s">
        <v>366</v>
      </c>
      <c r="M353" s="31" t="s">
        <v>2265</v>
      </c>
      <c r="N353" s="31" t="s">
        <v>2328</v>
      </c>
    </row>
    <row r="354" spans="1:14" ht="30" x14ac:dyDescent="0.25">
      <c r="A354" s="31" t="s">
        <v>2328</v>
      </c>
      <c r="B354" s="32" t="s">
        <v>1403</v>
      </c>
      <c r="C354" s="31" t="b">
        <v>0</v>
      </c>
      <c r="D354" s="31">
        <v>6</v>
      </c>
      <c r="E354" s="38" t="s">
        <v>1405</v>
      </c>
      <c r="F354" s="31" t="s">
        <v>131</v>
      </c>
      <c r="G354" s="31" t="s">
        <v>2328</v>
      </c>
      <c r="H354" s="31" t="s">
        <v>2328</v>
      </c>
      <c r="I354" s="31" t="s">
        <v>2328</v>
      </c>
      <c r="J354" s="37" t="s">
        <v>2328</v>
      </c>
      <c r="K354" s="31" t="s">
        <v>2328</v>
      </c>
      <c r="L354" s="31" t="s">
        <v>366</v>
      </c>
      <c r="M354" s="31" t="s">
        <v>2265</v>
      </c>
      <c r="N354" s="31" t="s">
        <v>2328</v>
      </c>
    </row>
    <row r="355" spans="1:14" ht="30" x14ac:dyDescent="0.25">
      <c r="A355" s="31" t="s">
        <v>2328</v>
      </c>
      <c r="B355" s="32" t="s">
        <v>1406</v>
      </c>
      <c r="C355" s="31" t="b">
        <v>0</v>
      </c>
      <c r="D355" s="31">
        <v>6</v>
      </c>
      <c r="E355" s="38" t="s">
        <v>1408</v>
      </c>
      <c r="F355" s="31" t="s">
        <v>131</v>
      </c>
      <c r="G355" s="31" t="s">
        <v>2328</v>
      </c>
      <c r="H355" s="31" t="s">
        <v>2328</v>
      </c>
      <c r="I355" s="31" t="s">
        <v>2328</v>
      </c>
      <c r="J355" s="37" t="s">
        <v>2328</v>
      </c>
      <c r="K355" s="31" t="s">
        <v>2328</v>
      </c>
      <c r="L355" s="31" t="s">
        <v>366</v>
      </c>
      <c r="M355" s="31" t="s">
        <v>2265</v>
      </c>
      <c r="N355" s="31" t="s">
        <v>2328</v>
      </c>
    </row>
    <row r="356" spans="1:14" ht="30" x14ac:dyDescent="0.25">
      <c r="A356" s="31" t="s">
        <v>2328</v>
      </c>
      <c r="B356" s="32" t="s">
        <v>1409</v>
      </c>
      <c r="C356" s="31" t="b">
        <v>0</v>
      </c>
      <c r="D356" s="31">
        <v>6</v>
      </c>
      <c r="E356" s="38" t="s">
        <v>1411</v>
      </c>
      <c r="F356" s="31" t="s">
        <v>131</v>
      </c>
      <c r="G356" s="31" t="s">
        <v>2328</v>
      </c>
      <c r="H356" s="31" t="s">
        <v>2328</v>
      </c>
      <c r="I356" s="31" t="s">
        <v>2328</v>
      </c>
      <c r="J356" s="37" t="s">
        <v>2328</v>
      </c>
      <c r="K356" s="31" t="s">
        <v>2328</v>
      </c>
      <c r="L356" s="31" t="s">
        <v>366</v>
      </c>
      <c r="M356" s="31" t="s">
        <v>2265</v>
      </c>
      <c r="N356" s="31" t="s">
        <v>2328</v>
      </c>
    </row>
    <row r="357" spans="1:14" ht="30" x14ac:dyDescent="0.25">
      <c r="A357" s="31" t="s">
        <v>2328</v>
      </c>
      <c r="B357" s="32" t="s">
        <v>1412</v>
      </c>
      <c r="C357" s="31" t="b">
        <v>0</v>
      </c>
      <c r="D357" s="31">
        <v>6</v>
      </c>
      <c r="E357" s="38" t="s">
        <v>1414</v>
      </c>
      <c r="F357" s="31" t="s">
        <v>131</v>
      </c>
      <c r="G357" s="31" t="s">
        <v>2328</v>
      </c>
      <c r="H357" s="31" t="s">
        <v>2328</v>
      </c>
      <c r="I357" s="31" t="s">
        <v>2328</v>
      </c>
      <c r="J357" s="37" t="s">
        <v>2328</v>
      </c>
      <c r="K357" s="31" t="s">
        <v>2328</v>
      </c>
      <c r="L357" s="31" t="s">
        <v>366</v>
      </c>
      <c r="M357" s="31" t="s">
        <v>2265</v>
      </c>
      <c r="N357" s="31" t="s">
        <v>2328</v>
      </c>
    </row>
    <row r="358" spans="1:14" x14ac:dyDescent="0.25">
      <c r="A358" s="31" t="s">
        <v>2328</v>
      </c>
      <c r="B358" s="32" t="s">
        <v>1415</v>
      </c>
      <c r="C358" s="31" t="b">
        <v>0</v>
      </c>
      <c r="D358" s="31">
        <v>6</v>
      </c>
      <c r="E358" s="38" t="s">
        <v>1417</v>
      </c>
      <c r="F358" s="31" t="s">
        <v>131</v>
      </c>
      <c r="G358" s="31" t="s">
        <v>2328</v>
      </c>
      <c r="H358" s="31" t="s">
        <v>2328</v>
      </c>
      <c r="I358" s="31" t="s">
        <v>2328</v>
      </c>
      <c r="J358" s="37" t="s">
        <v>2328</v>
      </c>
      <c r="K358" s="31" t="s">
        <v>2328</v>
      </c>
      <c r="L358" s="31" t="s">
        <v>366</v>
      </c>
      <c r="M358" s="31" t="s">
        <v>2265</v>
      </c>
      <c r="N358" s="31" t="s">
        <v>2328</v>
      </c>
    </row>
    <row r="359" spans="1:14" x14ac:dyDescent="0.25">
      <c r="A359" s="31" t="s">
        <v>2328</v>
      </c>
      <c r="B359" s="32" t="s">
        <v>1418</v>
      </c>
      <c r="C359" s="31" t="b">
        <v>0</v>
      </c>
      <c r="D359" s="31">
        <v>6</v>
      </c>
      <c r="E359" s="38" t="s">
        <v>1419</v>
      </c>
      <c r="F359" s="31" t="s">
        <v>131</v>
      </c>
      <c r="G359" s="31" t="s">
        <v>2328</v>
      </c>
      <c r="H359" s="31" t="s">
        <v>2328</v>
      </c>
      <c r="I359" s="31" t="s">
        <v>2328</v>
      </c>
      <c r="J359" s="37" t="s">
        <v>2328</v>
      </c>
      <c r="K359" s="31" t="s">
        <v>2328</v>
      </c>
      <c r="L359" s="31" t="s">
        <v>366</v>
      </c>
      <c r="M359" s="31" t="s">
        <v>2265</v>
      </c>
      <c r="N359" s="31" t="s">
        <v>2328</v>
      </c>
    </row>
    <row r="360" spans="1:14" ht="75" x14ac:dyDescent="0.25">
      <c r="A360" s="31" t="s">
        <v>2328</v>
      </c>
      <c r="B360" s="32" t="s">
        <v>3456</v>
      </c>
      <c r="C360" s="31" t="b">
        <v>1</v>
      </c>
      <c r="D360" s="31">
        <v>4</v>
      </c>
      <c r="E360" s="35" t="s">
        <v>3544</v>
      </c>
      <c r="F360" s="31" t="s">
        <v>3443</v>
      </c>
      <c r="G360" s="31" t="s">
        <v>3665</v>
      </c>
      <c r="H360" s="31" t="s">
        <v>3666</v>
      </c>
      <c r="I360" s="31" t="s">
        <v>3842</v>
      </c>
      <c r="J360" s="37" t="s">
        <v>4047</v>
      </c>
      <c r="K360" s="31" t="s">
        <v>2328</v>
      </c>
      <c r="L360" s="31" t="s">
        <v>2328</v>
      </c>
      <c r="M360" s="31" t="s">
        <v>2232</v>
      </c>
      <c r="N360" s="31" t="s">
        <v>2328</v>
      </c>
    </row>
    <row r="361" spans="1:14" ht="75" x14ac:dyDescent="0.25">
      <c r="A361" s="31" t="s">
        <v>2328</v>
      </c>
      <c r="B361" s="32" t="s">
        <v>3459</v>
      </c>
      <c r="C361" s="31" t="b">
        <v>0</v>
      </c>
      <c r="D361" s="31">
        <v>6</v>
      </c>
      <c r="E361" s="38" t="s">
        <v>3461</v>
      </c>
      <c r="F361" s="31" t="s">
        <v>131</v>
      </c>
      <c r="G361" s="31" t="s">
        <v>3665</v>
      </c>
      <c r="H361" s="31" t="s">
        <v>3666</v>
      </c>
      <c r="I361" s="31" t="s">
        <v>3842</v>
      </c>
      <c r="J361" s="37" t="s">
        <v>4047</v>
      </c>
      <c r="K361" s="31" t="s">
        <v>2328</v>
      </c>
      <c r="L361" s="31" t="s">
        <v>2328</v>
      </c>
      <c r="M361" s="31" t="s">
        <v>2232</v>
      </c>
      <c r="N361" s="31" t="s">
        <v>2328</v>
      </c>
    </row>
    <row r="362" spans="1:14" ht="75" x14ac:dyDescent="0.25">
      <c r="A362" s="31" t="s">
        <v>2328</v>
      </c>
      <c r="B362" s="32" t="s">
        <v>3462</v>
      </c>
      <c r="C362" s="31" t="b">
        <v>0</v>
      </c>
      <c r="D362" s="31">
        <v>6</v>
      </c>
      <c r="E362" s="38" t="s">
        <v>3464</v>
      </c>
      <c r="F362" s="31" t="s">
        <v>131</v>
      </c>
      <c r="G362" s="31" t="s">
        <v>3665</v>
      </c>
      <c r="H362" s="31" t="s">
        <v>3666</v>
      </c>
      <c r="I362" s="31" t="s">
        <v>3842</v>
      </c>
      <c r="J362" s="37" t="s">
        <v>4047</v>
      </c>
      <c r="K362" s="31" t="s">
        <v>2328</v>
      </c>
      <c r="L362" s="31" t="s">
        <v>2328</v>
      </c>
      <c r="M362" s="31" t="s">
        <v>2232</v>
      </c>
      <c r="N362" s="31" t="s">
        <v>2328</v>
      </c>
    </row>
    <row r="363" spans="1:14" ht="45" x14ac:dyDescent="0.25">
      <c r="A363" s="31" t="s">
        <v>2328</v>
      </c>
      <c r="B363" s="32" t="s">
        <v>3694</v>
      </c>
      <c r="C363" s="31" t="b">
        <v>1</v>
      </c>
      <c r="D363" s="31">
        <v>4</v>
      </c>
      <c r="E363" s="35" t="s">
        <v>3844</v>
      </c>
      <c r="F363" s="31" t="s">
        <v>3443</v>
      </c>
      <c r="G363" s="31" t="s">
        <v>2328</v>
      </c>
      <c r="H363" s="31" t="s">
        <v>2328</v>
      </c>
      <c r="I363" s="31" t="s">
        <v>3842</v>
      </c>
      <c r="J363" s="37" t="s">
        <v>4048</v>
      </c>
      <c r="K363" s="31" t="s">
        <v>2328</v>
      </c>
      <c r="L363" s="31" t="s">
        <v>3697</v>
      </c>
      <c r="M363" s="31" t="s">
        <v>2232</v>
      </c>
      <c r="N363" s="31" t="s">
        <v>2328</v>
      </c>
    </row>
    <row r="364" spans="1:14" ht="45" x14ac:dyDescent="0.25">
      <c r="A364" s="31" t="s">
        <v>2328</v>
      </c>
      <c r="B364" s="32" t="s">
        <v>3698</v>
      </c>
      <c r="C364" s="31" t="b">
        <v>0</v>
      </c>
      <c r="D364" s="31">
        <v>6</v>
      </c>
      <c r="E364" s="38" t="s">
        <v>3700</v>
      </c>
      <c r="F364" s="31" t="s">
        <v>131</v>
      </c>
      <c r="G364" s="31" t="s">
        <v>2328</v>
      </c>
      <c r="H364" s="31" t="s">
        <v>2328</v>
      </c>
      <c r="I364" s="31" t="s">
        <v>3842</v>
      </c>
      <c r="J364" s="37" t="s">
        <v>4048</v>
      </c>
      <c r="K364" s="31" t="s">
        <v>2328</v>
      </c>
      <c r="L364" s="31" t="s">
        <v>3701</v>
      </c>
      <c r="M364" s="31" t="s">
        <v>2232</v>
      </c>
      <c r="N364" s="31" t="s">
        <v>2328</v>
      </c>
    </row>
    <row r="365" spans="1:14" ht="45" x14ac:dyDescent="0.25">
      <c r="A365" s="31" t="s">
        <v>2328</v>
      </c>
      <c r="B365" s="32" t="s">
        <v>3702</v>
      </c>
      <c r="C365" s="31" t="b">
        <v>0</v>
      </c>
      <c r="D365" s="31">
        <v>6</v>
      </c>
      <c r="E365" s="38" t="s">
        <v>3704</v>
      </c>
      <c r="F365" s="31" t="s">
        <v>131</v>
      </c>
      <c r="G365" s="31" t="s">
        <v>2328</v>
      </c>
      <c r="H365" s="31" t="s">
        <v>2328</v>
      </c>
      <c r="I365" s="31" t="s">
        <v>3842</v>
      </c>
      <c r="J365" s="37" t="s">
        <v>4048</v>
      </c>
      <c r="K365" s="31" t="s">
        <v>2328</v>
      </c>
      <c r="L365" s="31" t="s">
        <v>3705</v>
      </c>
      <c r="M365" s="31" t="s">
        <v>2232</v>
      </c>
      <c r="N365" s="31" t="s">
        <v>2328</v>
      </c>
    </row>
    <row r="366" spans="1:14" ht="30" x14ac:dyDescent="0.25">
      <c r="A366" s="31" t="s">
        <v>2328</v>
      </c>
      <c r="B366" s="32" t="s">
        <v>4063</v>
      </c>
      <c r="C366" s="31" t="b">
        <v>1</v>
      </c>
      <c r="D366" s="31">
        <v>4</v>
      </c>
      <c r="E366" s="57" t="s">
        <v>4064</v>
      </c>
      <c r="F366" s="31" t="s">
        <v>3443</v>
      </c>
      <c r="G366" s="31" t="s">
        <v>2328</v>
      </c>
      <c r="H366" s="31" t="s">
        <v>2328</v>
      </c>
      <c r="I366" s="31" t="s">
        <v>3842</v>
      </c>
      <c r="J366" s="37" t="s">
        <v>4038</v>
      </c>
      <c r="K366" s="31" t="s">
        <v>2328</v>
      </c>
      <c r="L366" s="31" t="s">
        <v>3697</v>
      </c>
      <c r="M366" s="31" t="s">
        <v>2232</v>
      </c>
    </row>
    <row r="367" spans="1:14" ht="30" x14ac:dyDescent="0.25">
      <c r="B367" s="32" t="s">
        <v>4109</v>
      </c>
      <c r="E367" s="60" t="s">
        <v>4083</v>
      </c>
      <c r="F367" s="31" t="s">
        <v>3443</v>
      </c>
      <c r="J367" s="37" t="s">
        <v>4038</v>
      </c>
    </row>
    <row r="368" spans="1:14" ht="30" x14ac:dyDescent="0.25">
      <c r="B368" s="32" t="s">
        <v>4110</v>
      </c>
      <c r="E368" s="61" t="s">
        <v>4089</v>
      </c>
      <c r="F368" s="31" t="s">
        <v>131</v>
      </c>
      <c r="J368" s="37" t="s">
        <v>4038</v>
      </c>
    </row>
    <row r="369" spans="2:10" ht="30" x14ac:dyDescent="0.25">
      <c r="B369" s="32" t="s">
        <v>4111</v>
      </c>
      <c r="E369" s="60" t="s">
        <v>4084</v>
      </c>
      <c r="F369" s="31" t="s">
        <v>3443</v>
      </c>
      <c r="J369" s="37" t="s">
        <v>4038</v>
      </c>
    </row>
    <row r="370" spans="2:10" ht="30" x14ac:dyDescent="0.25">
      <c r="B370" s="32" t="s">
        <v>4112</v>
      </c>
      <c r="E370" s="60" t="s">
        <v>4085</v>
      </c>
      <c r="F370" s="31" t="s">
        <v>3443</v>
      </c>
      <c r="J370" s="37" t="s">
        <v>4038</v>
      </c>
    </row>
    <row r="371" spans="2:10" ht="15" customHeight="1" x14ac:dyDescent="0.25">
      <c r="B371" s="32" t="s">
        <v>4113</v>
      </c>
      <c r="E371" s="61" t="s">
        <v>4090</v>
      </c>
      <c r="F371" s="31" t="s">
        <v>131</v>
      </c>
      <c r="J371" s="37" t="s">
        <v>4038</v>
      </c>
    </row>
    <row r="372" spans="2:10" ht="15" customHeight="1" x14ac:dyDescent="0.25">
      <c r="B372" s="32" t="s">
        <v>4114</v>
      </c>
      <c r="E372" s="61" t="s">
        <v>4091</v>
      </c>
      <c r="F372" s="31" t="s">
        <v>131</v>
      </c>
      <c r="J372" s="37" t="s">
        <v>4038</v>
      </c>
    </row>
    <row r="373" spans="2:10" ht="30" x14ac:dyDescent="0.25">
      <c r="B373" s="32" t="s">
        <v>4115</v>
      </c>
      <c r="E373" s="61" t="s">
        <v>4092</v>
      </c>
      <c r="F373" s="31" t="s">
        <v>131</v>
      </c>
      <c r="J373" s="37" t="s">
        <v>4038</v>
      </c>
    </row>
    <row r="374" spans="2:10" ht="30" x14ac:dyDescent="0.25">
      <c r="B374" s="32" t="s">
        <v>4116</v>
      </c>
      <c r="E374" s="61" t="s">
        <v>4093</v>
      </c>
      <c r="F374" s="31" t="s">
        <v>131</v>
      </c>
      <c r="J374" s="37" t="s">
        <v>4038</v>
      </c>
    </row>
    <row r="375" spans="2:10" ht="30" x14ac:dyDescent="0.25">
      <c r="B375" s="32" t="s">
        <v>4117</v>
      </c>
      <c r="E375" s="61" t="s">
        <v>4098</v>
      </c>
      <c r="F375" s="31" t="s">
        <v>131</v>
      </c>
      <c r="J375" s="37" t="s">
        <v>4038</v>
      </c>
    </row>
    <row r="376" spans="2:10" ht="30" x14ac:dyDescent="0.25">
      <c r="B376" s="32" t="s">
        <v>4118</v>
      </c>
      <c r="E376" s="61" t="s">
        <v>4103</v>
      </c>
      <c r="F376" s="31" t="s">
        <v>131</v>
      </c>
      <c r="J376" s="37" t="s">
        <v>4038</v>
      </c>
    </row>
    <row r="377" spans="2:10" ht="30" x14ac:dyDescent="0.25">
      <c r="B377" s="32" t="s">
        <v>4119</v>
      </c>
      <c r="E377" s="61" t="s">
        <v>4099</v>
      </c>
      <c r="F377" s="31" t="s">
        <v>131</v>
      </c>
      <c r="J377" s="37" t="s">
        <v>4038</v>
      </c>
    </row>
    <row r="378" spans="2:10" ht="30" x14ac:dyDescent="0.25">
      <c r="B378" s="32" t="s">
        <v>4120</v>
      </c>
      <c r="E378" s="61" t="s">
        <v>4100</v>
      </c>
      <c r="F378" s="31" t="s">
        <v>131</v>
      </c>
      <c r="J378" s="37" t="s">
        <v>4038</v>
      </c>
    </row>
    <row r="379" spans="2:10" ht="30" x14ac:dyDescent="0.25">
      <c r="B379" s="32" t="s">
        <v>4121</v>
      </c>
      <c r="E379" s="61" t="s">
        <v>2503</v>
      </c>
    </row>
    <row r="380" spans="2:10" ht="16.149999999999999" customHeight="1" x14ac:dyDescent="0.25">
      <c r="B380" s="32" t="s">
        <v>4122</v>
      </c>
      <c r="E380" s="61" t="s">
        <v>4102</v>
      </c>
      <c r="F380" s="31" t="s">
        <v>131</v>
      </c>
      <c r="J380" s="37" t="s">
        <v>4038</v>
      </c>
    </row>
    <row r="381" spans="2:10" ht="30" x14ac:dyDescent="0.25">
      <c r="B381" s="32" t="s">
        <v>4123</v>
      </c>
      <c r="E381" s="60" t="s">
        <v>4086</v>
      </c>
      <c r="F381" s="31" t="s">
        <v>3443</v>
      </c>
      <c r="J381" s="37" t="s">
        <v>4038</v>
      </c>
    </row>
    <row r="382" spans="2:10" ht="30" x14ac:dyDescent="0.25">
      <c r="B382" s="32" t="s">
        <v>4124</v>
      </c>
      <c r="E382" s="61" t="s">
        <v>4094</v>
      </c>
      <c r="F382" s="31" t="s">
        <v>131</v>
      </c>
      <c r="J382" s="37" t="s">
        <v>4038</v>
      </c>
    </row>
    <row r="383" spans="2:10" ht="30" x14ac:dyDescent="0.25">
      <c r="B383" s="32" t="s">
        <v>4125</v>
      </c>
      <c r="E383" s="61" t="s">
        <v>4095</v>
      </c>
      <c r="F383" s="31" t="s">
        <v>131</v>
      </c>
      <c r="J383" s="37" t="s">
        <v>4038</v>
      </c>
    </row>
    <row r="384" spans="2:10" ht="30" x14ac:dyDescent="0.25">
      <c r="B384" s="32" t="s">
        <v>4126</v>
      </c>
      <c r="E384" s="60" t="s">
        <v>4087</v>
      </c>
      <c r="F384" s="31" t="s">
        <v>3443</v>
      </c>
      <c r="J384" s="37" t="s">
        <v>4038</v>
      </c>
    </row>
    <row r="385" spans="2:10" ht="30" x14ac:dyDescent="0.25">
      <c r="B385" s="32" t="s">
        <v>4127</v>
      </c>
      <c r="E385" s="61" t="s">
        <v>4078</v>
      </c>
      <c r="F385" s="31" t="s">
        <v>131</v>
      </c>
      <c r="J385" s="37" t="s">
        <v>4038</v>
      </c>
    </row>
    <row r="386" spans="2:10" ht="30" x14ac:dyDescent="0.25">
      <c r="B386" s="32" t="s">
        <v>4128</v>
      </c>
      <c r="E386" s="60" t="s">
        <v>4088</v>
      </c>
      <c r="F386" s="31" t="s">
        <v>3443</v>
      </c>
      <c r="J386" s="37" t="s">
        <v>4038</v>
      </c>
    </row>
    <row r="387" spans="2:10" ht="30" x14ac:dyDescent="0.25">
      <c r="B387" s="32" t="s">
        <v>4129</v>
      </c>
      <c r="E387" s="60" t="s">
        <v>4080</v>
      </c>
      <c r="F387" s="31" t="s">
        <v>3443</v>
      </c>
      <c r="J387" s="37" t="s">
        <v>4038</v>
      </c>
    </row>
    <row r="388" spans="2:10" ht="30" x14ac:dyDescent="0.25">
      <c r="B388" s="32" t="s">
        <v>4130</v>
      </c>
      <c r="E388" s="61" t="s">
        <v>4170</v>
      </c>
      <c r="F388" s="31" t="s">
        <v>131</v>
      </c>
      <c r="J388" s="37" t="s">
        <v>4038</v>
      </c>
    </row>
    <row r="389" spans="2:10" ht="30" x14ac:dyDescent="0.25">
      <c r="B389" s="32" t="s">
        <v>4131</v>
      </c>
      <c r="E389" s="60" t="s">
        <v>4079</v>
      </c>
      <c r="F389" s="31" t="s">
        <v>3443</v>
      </c>
      <c r="J389" s="37" t="s">
        <v>4038</v>
      </c>
    </row>
    <row r="390" spans="2:10" ht="30" x14ac:dyDescent="0.25">
      <c r="B390" s="32" t="s">
        <v>4132</v>
      </c>
      <c r="E390" s="61" t="s">
        <v>4171</v>
      </c>
      <c r="F390" s="31" t="s">
        <v>131</v>
      </c>
      <c r="J390" s="37" t="s">
        <v>4038</v>
      </c>
    </row>
    <row r="391" spans="2:10" ht="30" x14ac:dyDescent="0.25">
      <c r="B391" s="32" t="s">
        <v>4133</v>
      </c>
      <c r="E391" s="60" t="s">
        <v>4174</v>
      </c>
      <c r="F391" s="31" t="s">
        <v>3443</v>
      </c>
      <c r="J391" s="37" t="s">
        <v>4038</v>
      </c>
    </row>
    <row r="392" spans="2:10" ht="30" x14ac:dyDescent="0.25">
      <c r="B392" s="32" t="s">
        <v>4134</v>
      </c>
      <c r="E392" s="61" t="s">
        <v>4082</v>
      </c>
      <c r="F392" s="31" t="s">
        <v>131</v>
      </c>
      <c r="J392" s="37" t="s">
        <v>4038</v>
      </c>
    </row>
    <row r="393" spans="2:10" ht="30" x14ac:dyDescent="0.25">
      <c r="B393" s="32" t="s">
        <v>4135</v>
      </c>
      <c r="E393" s="60" t="s">
        <v>4175</v>
      </c>
      <c r="F393" s="31" t="s">
        <v>3443</v>
      </c>
      <c r="J393" s="37" t="s">
        <v>4038</v>
      </c>
    </row>
    <row r="394" spans="2:10" ht="30" x14ac:dyDescent="0.25">
      <c r="B394" s="32" t="s">
        <v>4136</v>
      </c>
      <c r="E394" s="61" t="s">
        <v>4107</v>
      </c>
      <c r="F394" s="31" t="s">
        <v>131</v>
      </c>
      <c r="J394" s="37" t="s">
        <v>4038</v>
      </c>
    </row>
    <row r="395" spans="2:10" ht="30" x14ac:dyDescent="0.25">
      <c r="B395" s="32" t="s">
        <v>4137</v>
      </c>
      <c r="E395" s="61" t="s">
        <v>4096</v>
      </c>
      <c r="F395" s="31" t="s">
        <v>131</v>
      </c>
      <c r="J395" s="37" t="s">
        <v>4038</v>
      </c>
    </row>
    <row r="396" spans="2:10" ht="45" x14ac:dyDescent="0.25">
      <c r="B396" s="32" t="s">
        <v>4138</v>
      </c>
      <c r="E396" s="61" t="s">
        <v>4108</v>
      </c>
      <c r="F396" s="31" t="s">
        <v>131</v>
      </c>
      <c r="J396" s="37" t="s">
        <v>4038</v>
      </c>
    </row>
    <row r="397" spans="2:10" ht="30" x14ac:dyDescent="0.25">
      <c r="B397" s="32" t="s">
        <v>4139</v>
      </c>
      <c r="E397" s="60" t="s">
        <v>4176</v>
      </c>
      <c r="F397" s="31" t="s">
        <v>3443</v>
      </c>
      <c r="J397" s="37" t="s">
        <v>4038</v>
      </c>
    </row>
    <row r="398" spans="2:10" ht="30" x14ac:dyDescent="0.25">
      <c r="B398" s="32" t="s">
        <v>4140</v>
      </c>
      <c r="E398" s="61" t="s">
        <v>4081</v>
      </c>
      <c r="F398" s="31" t="s">
        <v>131</v>
      </c>
      <c r="J398" s="37" t="s">
        <v>4038</v>
      </c>
    </row>
    <row r="399" spans="2:10" ht="30" x14ac:dyDescent="0.25">
      <c r="B399" s="32" t="s">
        <v>4141</v>
      </c>
      <c r="E399" s="61" t="s">
        <v>4097</v>
      </c>
      <c r="F399" s="31" t="s">
        <v>131</v>
      </c>
      <c r="J399" s="37" t="s">
        <v>4038</v>
      </c>
    </row>
    <row r="400" spans="2:10" ht="30" x14ac:dyDescent="0.25">
      <c r="B400" s="32" t="s">
        <v>4142</v>
      </c>
      <c r="E400" s="61" t="s">
        <v>4190</v>
      </c>
      <c r="F400" s="31" t="s">
        <v>131</v>
      </c>
      <c r="J400" s="37" t="s">
        <v>4038</v>
      </c>
    </row>
    <row r="401" spans="2:10" ht="30" x14ac:dyDescent="0.25">
      <c r="B401" s="32" t="s">
        <v>4143</v>
      </c>
      <c r="E401" s="60" t="s">
        <v>4177</v>
      </c>
      <c r="F401" s="31" t="s">
        <v>3443</v>
      </c>
      <c r="J401" s="37" t="s">
        <v>4038</v>
      </c>
    </row>
    <row r="402" spans="2:10" ht="31.15" customHeight="1" x14ac:dyDescent="0.25">
      <c r="B402" s="32" t="s">
        <v>4144</v>
      </c>
      <c r="E402" s="61" t="s">
        <v>4077</v>
      </c>
      <c r="F402" s="31" t="s">
        <v>131</v>
      </c>
      <c r="J402" s="37" t="s">
        <v>4038</v>
      </c>
    </row>
    <row r="403" spans="2:10" ht="16.149999999999999" customHeight="1" x14ac:dyDescent="0.25">
      <c r="B403" s="32" t="s">
        <v>4145</v>
      </c>
      <c r="E403" s="60" t="s">
        <v>4178</v>
      </c>
      <c r="F403" s="31" t="s">
        <v>3443</v>
      </c>
      <c r="J403" s="37" t="s">
        <v>4038</v>
      </c>
    </row>
    <row r="404" spans="2:10" ht="30" x14ac:dyDescent="0.25">
      <c r="B404" s="32" t="s">
        <v>4146</v>
      </c>
      <c r="E404" s="60" t="s">
        <v>4185</v>
      </c>
      <c r="F404" s="31" t="s">
        <v>3443</v>
      </c>
      <c r="J404" s="37" t="s">
        <v>4038</v>
      </c>
    </row>
    <row r="405" spans="2:10" ht="30" x14ac:dyDescent="0.25">
      <c r="B405" s="32" t="s">
        <v>4147</v>
      </c>
      <c r="E405" s="61" t="s">
        <v>4101</v>
      </c>
      <c r="F405" s="31" t="s">
        <v>131</v>
      </c>
      <c r="J405" s="37" t="s">
        <v>4038</v>
      </c>
    </row>
    <row r="406" spans="2:10" ht="30" x14ac:dyDescent="0.25">
      <c r="B406" s="32" t="s">
        <v>4148</v>
      </c>
      <c r="E406" s="61" t="s">
        <v>4076</v>
      </c>
      <c r="F406" s="31" t="s">
        <v>131</v>
      </c>
      <c r="J406" s="37" t="s">
        <v>4038</v>
      </c>
    </row>
    <row r="407" spans="2:10" ht="30" x14ac:dyDescent="0.25">
      <c r="B407" s="32" t="s">
        <v>4149</v>
      </c>
      <c r="E407" s="61" t="s">
        <v>4184</v>
      </c>
      <c r="F407" s="31" t="s">
        <v>131</v>
      </c>
      <c r="J407" s="37" t="s">
        <v>4038</v>
      </c>
    </row>
    <row r="408" spans="2:10" ht="30" x14ac:dyDescent="0.25">
      <c r="B408" s="32" t="s">
        <v>4150</v>
      </c>
      <c r="E408" s="61" t="s">
        <v>4075</v>
      </c>
      <c r="F408" s="31" t="s">
        <v>131</v>
      </c>
      <c r="J408" s="37" t="s">
        <v>4038</v>
      </c>
    </row>
    <row r="409" spans="2:10" ht="30" x14ac:dyDescent="0.25">
      <c r="B409" s="32" t="s">
        <v>4151</v>
      </c>
      <c r="E409" s="60" t="s">
        <v>4179</v>
      </c>
      <c r="F409" s="31" t="s">
        <v>3443</v>
      </c>
      <c r="J409" s="37" t="s">
        <v>4038</v>
      </c>
    </row>
    <row r="410" spans="2:10" ht="30" x14ac:dyDescent="0.25">
      <c r="B410" s="32" t="s">
        <v>4152</v>
      </c>
      <c r="E410" s="60" t="s">
        <v>4180</v>
      </c>
      <c r="F410" s="31" t="s">
        <v>3443</v>
      </c>
      <c r="J410" s="37" t="s">
        <v>4038</v>
      </c>
    </row>
    <row r="411" spans="2:10" ht="21" customHeight="1" x14ac:dyDescent="0.25">
      <c r="B411" s="32" t="s">
        <v>4153</v>
      </c>
      <c r="E411" s="61" t="s">
        <v>4188</v>
      </c>
      <c r="F411" s="31" t="s">
        <v>131</v>
      </c>
      <c r="J411" s="37" t="s">
        <v>4038</v>
      </c>
    </row>
    <row r="412" spans="2:10" ht="16.899999999999999" customHeight="1" x14ac:dyDescent="0.25">
      <c r="B412" s="32" t="s">
        <v>4154</v>
      </c>
      <c r="E412" s="60" t="s">
        <v>4181</v>
      </c>
      <c r="F412" s="31" t="s">
        <v>3443</v>
      </c>
      <c r="J412" s="37" t="s">
        <v>4038</v>
      </c>
    </row>
    <row r="413" spans="2:10" ht="19.899999999999999" customHeight="1" x14ac:dyDescent="0.25">
      <c r="B413" s="32" t="s">
        <v>4155</v>
      </c>
      <c r="E413" s="61" t="s">
        <v>4189</v>
      </c>
      <c r="F413" s="31" t="s">
        <v>131</v>
      </c>
      <c r="J413" s="37" t="s">
        <v>4038</v>
      </c>
    </row>
    <row r="414" spans="2:10" ht="30" x14ac:dyDescent="0.25">
      <c r="B414" s="32" t="s">
        <v>4156</v>
      </c>
      <c r="E414" s="60" t="s">
        <v>4182</v>
      </c>
      <c r="F414" s="31" t="s">
        <v>3443</v>
      </c>
      <c r="J414" s="37" t="s">
        <v>4038</v>
      </c>
    </row>
    <row r="415" spans="2:10" ht="30" customHeight="1" x14ac:dyDescent="0.25">
      <c r="B415" s="32" t="s">
        <v>4157</v>
      </c>
      <c r="E415" s="61" t="s">
        <v>4172</v>
      </c>
      <c r="F415" s="31" t="s">
        <v>131</v>
      </c>
      <c r="J415" s="37" t="s">
        <v>4038</v>
      </c>
    </row>
    <row r="416" spans="2:10" ht="29.45" customHeight="1" x14ac:dyDescent="0.25">
      <c r="B416" s="32" t="s">
        <v>4158</v>
      </c>
      <c r="E416" s="61" t="s">
        <v>4173</v>
      </c>
      <c r="F416" s="31" t="s">
        <v>131</v>
      </c>
      <c r="J416" s="37" t="s">
        <v>4038</v>
      </c>
    </row>
    <row r="417" spans="1:14" ht="28.9" customHeight="1" x14ac:dyDescent="0.25">
      <c r="B417" s="32" t="s">
        <v>4159</v>
      </c>
      <c r="E417" s="61" t="s">
        <v>2503</v>
      </c>
      <c r="F417" s="31" t="s">
        <v>131</v>
      </c>
      <c r="J417" s="37" t="s">
        <v>4038</v>
      </c>
    </row>
    <row r="418" spans="1:14" ht="30" x14ac:dyDescent="0.25">
      <c r="B418" s="32" t="s">
        <v>4160</v>
      </c>
      <c r="E418" s="61" t="s">
        <v>2503</v>
      </c>
      <c r="F418" s="31" t="s">
        <v>131</v>
      </c>
      <c r="J418" s="37" t="s">
        <v>4038</v>
      </c>
    </row>
    <row r="419" spans="1:14" ht="30" x14ac:dyDescent="0.25">
      <c r="B419" s="32" t="s">
        <v>4161</v>
      </c>
      <c r="E419" s="61" t="s">
        <v>4104</v>
      </c>
      <c r="F419" s="31" t="s">
        <v>131</v>
      </c>
      <c r="J419" s="37" t="s">
        <v>4038</v>
      </c>
    </row>
    <row r="420" spans="1:14" ht="30" x14ac:dyDescent="0.25">
      <c r="B420" s="32" t="s">
        <v>4162</v>
      </c>
      <c r="E420" s="60" t="s">
        <v>4183</v>
      </c>
      <c r="F420" s="31" t="s">
        <v>3443</v>
      </c>
      <c r="J420" s="37" t="s">
        <v>4038</v>
      </c>
    </row>
    <row r="421" spans="1:14" ht="31.15" customHeight="1" x14ac:dyDescent="0.25">
      <c r="B421" s="32" t="s">
        <v>4163</v>
      </c>
      <c r="E421" s="61" t="s">
        <v>4105</v>
      </c>
      <c r="F421" s="31" t="s">
        <v>131</v>
      </c>
      <c r="J421" s="37" t="s">
        <v>4038</v>
      </c>
    </row>
    <row r="422" spans="1:14" ht="34.15" customHeight="1" x14ac:dyDescent="0.25">
      <c r="B422" s="32" t="s">
        <v>4164</v>
      </c>
      <c r="E422" s="61" t="s">
        <v>4106</v>
      </c>
      <c r="F422" s="31" t="s">
        <v>131</v>
      </c>
      <c r="J422" s="37" t="s">
        <v>4038</v>
      </c>
    </row>
    <row r="423" spans="1:14" ht="75" x14ac:dyDescent="0.25">
      <c r="A423" s="31" t="s">
        <v>2328</v>
      </c>
      <c r="B423" s="32" t="s">
        <v>1420</v>
      </c>
      <c r="C423" s="31" t="b">
        <v>1</v>
      </c>
      <c r="D423" s="31">
        <v>0</v>
      </c>
      <c r="E423" s="33" t="s">
        <v>2361</v>
      </c>
      <c r="F423" s="31" t="s">
        <v>3443</v>
      </c>
      <c r="G423" s="31" t="s">
        <v>3665</v>
      </c>
      <c r="H423" s="31" t="s">
        <v>3666</v>
      </c>
      <c r="I423" s="31" t="s">
        <v>3842</v>
      </c>
      <c r="J423" s="37" t="s">
        <v>4047</v>
      </c>
      <c r="K423" s="31" t="s">
        <v>2328</v>
      </c>
      <c r="L423" s="31" t="s">
        <v>368</v>
      </c>
      <c r="M423" s="31" t="s">
        <v>2232</v>
      </c>
      <c r="N423" s="31" t="s">
        <v>2328</v>
      </c>
    </row>
    <row r="424" spans="1:14" ht="75" x14ac:dyDescent="0.25">
      <c r="A424" s="31" t="s">
        <v>2328</v>
      </c>
      <c r="B424" s="32" t="s">
        <v>3465</v>
      </c>
      <c r="C424" s="31" t="b">
        <v>1</v>
      </c>
      <c r="D424" s="31">
        <v>2</v>
      </c>
      <c r="E424" s="34" t="s">
        <v>3545</v>
      </c>
      <c r="F424" s="31" t="s">
        <v>3443</v>
      </c>
      <c r="G424" s="31" t="s">
        <v>3665</v>
      </c>
      <c r="H424" s="31" t="s">
        <v>3666</v>
      </c>
      <c r="I424" s="31" t="s">
        <v>3842</v>
      </c>
      <c r="J424" s="37" t="s">
        <v>4047</v>
      </c>
      <c r="K424" s="31" t="s">
        <v>2328</v>
      </c>
      <c r="L424" s="31" t="s">
        <v>2328</v>
      </c>
      <c r="M424" s="31" t="s">
        <v>2232</v>
      </c>
      <c r="N424" s="31" t="s">
        <v>2328</v>
      </c>
    </row>
    <row r="425" spans="1:14" ht="75" x14ac:dyDescent="0.25">
      <c r="A425" s="31" t="s">
        <v>2328</v>
      </c>
      <c r="B425" s="32" t="s">
        <v>3467</v>
      </c>
      <c r="C425" s="31" t="b">
        <v>0</v>
      </c>
      <c r="D425" s="31">
        <v>4</v>
      </c>
      <c r="E425" s="35" t="s">
        <v>3468</v>
      </c>
      <c r="F425" s="31" t="s">
        <v>131</v>
      </c>
      <c r="G425" s="31" t="s">
        <v>3665</v>
      </c>
      <c r="H425" s="31" t="s">
        <v>3666</v>
      </c>
      <c r="I425" s="31" t="s">
        <v>3842</v>
      </c>
      <c r="J425" s="37" t="s">
        <v>4047</v>
      </c>
      <c r="K425" s="31" t="s">
        <v>2328</v>
      </c>
      <c r="L425" s="31" t="s">
        <v>2328</v>
      </c>
      <c r="M425" s="31" t="s">
        <v>2232</v>
      </c>
      <c r="N425" s="31" t="s">
        <v>2328</v>
      </c>
    </row>
    <row r="426" spans="1:14" ht="75" x14ac:dyDescent="0.25">
      <c r="A426" s="31" t="s">
        <v>2328</v>
      </c>
      <c r="B426" s="32" t="s">
        <v>3469</v>
      </c>
      <c r="C426" s="31" t="b">
        <v>0</v>
      </c>
      <c r="D426" s="31">
        <v>4</v>
      </c>
      <c r="E426" s="35" t="s">
        <v>3470</v>
      </c>
      <c r="F426" s="31" t="s">
        <v>131</v>
      </c>
      <c r="G426" s="31" t="s">
        <v>3665</v>
      </c>
      <c r="H426" s="31" t="s">
        <v>3666</v>
      </c>
      <c r="I426" s="31" t="s">
        <v>3842</v>
      </c>
      <c r="J426" s="37" t="s">
        <v>4047</v>
      </c>
      <c r="K426" s="31" t="s">
        <v>2328</v>
      </c>
      <c r="L426" s="31" t="s">
        <v>2328</v>
      </c>
      <c r="M426" s="31" t="s">
        <v>2232</v>
      </c>
      <c r="N426" s="31" t="s">
        <v>2328</v>
      </c>
    </row>
    <row r="427" spans="1:14" ht="225" x14ac:dyDescent="0.25">
      <c r="A427" s="31" t="s">
        <v>2328</v>
      </c>
      <c r="B427" s="32" t="s">
        <v>3471</v>
      </c>
      <c r="C427" s="31" t="b">
        <v>0</v>
      </c>
      <c r="D427" s="31">
        <v>4</v>
      </c>
      <c r="E427" s="35" t="s">
        <v>3472</v>
      </c>
      <c r="F427" s="31" t="s">
        <v>131</v>
      </c>
      <c r="G427" s="31" t="s">
        <v>3665</v>
      </c>
      <c r="H427" s="31" t="s">
        <v>3666</v>
      </c>
      <c r="I427" s="31" t="s">
        <v>3842</v>
      </c>
      <c r="J427" s="37" t="s">
        <v>4047</v>
      </c>
      <c r="K427" s="31" t="s">
        <v>2328</v>
      </c>
      <c r="L427" s="31" t="s">
        <v>2328</v>
      </c>
      <c r="M427" s="31" t="s">
        <v>2232</v>
      </c>
      <c r="N427" s="31" t="s">
        <v>2328</v>
      </c>
    </row>
    <row r="428" spans="1:14" ht="75" x14ac:dyDescent="0.25">
      <c r="A428" s="31" t="s">
        <v>2959</v>
      </c>
      <c r="B428" s="32" t="s">
        <v>1421</v>
      </c>
      <c r="C428" s="31" t="b">
        <v>1</v>
      </c>
      <c r="D428" s="31">
        <v>2</v>
      </c>
      <c r="E428" s="34" t="s">
        <v>3546</v>
      </c>
      <c r="F428" s="31" t="s">
        <v>3443</v>
      </c>
      <c r="G428" s="31" t="s">
        <v>3665</v>
      </c>
      <c r="H428" s="31" t="s">
        <v>3666</v>
      </c>
      <c r="I428" s="31" t="s">
        <v>3842</v>
      </c>
      <c r="J428" s="37" t="s">
        <v>4047</v>
      </c>
      <c r="K428" s="31" t="s">
        <v>2328</v>
      </c>
      <c r="L428" s="31" t="s">
        <v>371</v>
      </c>
      <c r="M428" s="31" t="s">
        <v>2232</v>
      </c>
      <c r="N428" s="31" t="s">
        <v>2328</v>
      </c>
    </row>
    <row r="429" spans="1:14" ht="75" x14ac:dyDescent="0.25">
      <c r="A429" s="31" t="s">
        <v>2960</v>
      </c>
      <c r="B429" s="32" t="s">
        <v>1423</v>
      </c>
      <c r="C429" s="31" t="b">
        <v>0</v>
      </c>
      <c r="D429" s="31">
        <v>4</v>
      </c>
      <c r="E429" s="35" t="s">
        <v>1425</v>
      </c>
      <c r="F429" s="31" t="s">
        <v>131</v>
      </c>
      <c r="G429" s="31" t="s">
        <v>3665</v>
      </c>
      <c r="H429" s="31" t="s">
        <v>3666</v>
      </c>
      <c r="I429" s="31" t="s">
        <v>3842</v>
      </c>
      <c r="J429" s="37" t="s">
        <v>4047</v>
      </c>
      <c r="K429" s="31" t="s">
        <v>2328</v>
      </c>
      <c r="L429" s="31" t="s">
        <v>371</v>
      </c>
      <c r="M429" s="31" t="s">
        <v>2232</v>
      </c>
      <c r="N429" s="31" t="s">
        <v>2328</v>
      </c>
    </row>
    <row r="430" spans="1:14" ht="75" x14ac:dyDescent="0.25">
      <c r="A430" s="31" t="s">
        <v>2961</v>
      </c>
      <c r="B430" s="32" t="s">
        <v>1426</v>
      </c>
      <c r="C430" s="31" t="b">
        <v>0</v>
      </c>
      <c r="D430" s="31">
        <v>4</v>
      </c>
      <c r="E430" s="35" t="s">
        <v>1428</v>
      </c>
      <c r="F430" s="31" t="s">
        <v>131</v>
      </c>
      <c r="G430" s="31" t="s">
        <v>3665</v>
      </c>
      <c r="H430" s="31" t="s">
        <v>3666</v>
      </c>
      <c r="I430" s="31" t="s">
        <v>3842</v>
      </c>
      <c r="J430" s="37" t="s">
        <v>4047</v>
      </c>
      <c r="K430" s="31" t="s">
        <v>2328</v>
      </c>
      <c r="L430" s="31" t="s">
        <v>371</v>
      </c>
      <c r="M430" s="31" t="s">
        <v>2232</v>
      </c>
      <c r="N430" s="31" t="s">
        <v>2328</v>
      </c>
    </row>
    <row r="431" spans="1:14" ht="75" x14ac:dyDescent="0.25">
      <c r="A431" s="31" t="s">
        <v>2962</v>
      </c>
      <c r="B431" s="32" t="s">
        <v>1429</v>
      </c>
      <c r="C431" s="31" t="b">
        <v>0</v>
      </c>
      <c r="D431" s="31">
        <v>4</v>
      </c>
      <c r="E431" s="35" t="s">
        <v>1431</v>
      </c>
      <c r="F431" s="31" t="s">
        <v>131</v>
      </c>
      <c r="G431" s="31" t="s">
        <v>3665</v>
      </c>
      <c r="H431" s="31" t="s">
        <v>3666</v>
      </c>
      <c r="I431" s="31" t="s">
        <v>3842</v>
      </c>
      <c r="J431" s="37" t="s">
        <v>4047</v>
      </c>
      <c r="K431" s="31" t="s">
        <v>2328</v>
      </c>
      <c r="L431" s="31" t="s">
        <v>371</v>
      </c>
      <c r="M431" s="31" t="s">
        <v>2232</v>
      </c>
      <c r="N431" s="31" t="s">
        <v>2328</v>
      </c>
    </row>
    <row r="432" spans="1:14" ht="75" x14ac:dyDescent="0.25">
      <c r="A432" s="31" t="s">
        <v>2328</v>
      </c>
      <c r="B432" s="32" t="s">
        <v>1432</v>
      </c>
      <c r="C432" s="31" t="b">
        <v>1</v>
      </c>
      <c r="D432" s="31">
        <v>0</v>
      </c>
      <c r="E432" s="33" t="s">
        <v>2362</v>
      </c>
      <c r="F432" s="31" t="s">
        <v>3443</v>
      </c>
      <c r="G432" s="31" t="s">
        <v>3665</v>
      </c>
      <c r="H432" s="31" t="s">
        <v>3666</v>
      </c>
      <c r="I432" s="31" t="s">
        <v>3842</v>
      </c>
      <c r="J432" s="37" t="s">
        <v>4047</v>
      </c>
      <c r="K432" s="31" t="s">
        <v>2328</v>
      </c>
      <c r="L432" s="31" t="s">
        <v>375</v>
      </c>
      <c r="M432" s="31" t="s">
        <v>2232</v>
      </c>
      <c r="N432" s="31" t="s">
        <v>2328</v>
      </c>
    </row>
    <row r="433" spans="1:14" ht="75" x14ac:dyDescent="0.25">
      <c r="A433" s="31" t="s">
        <v>2328</v>
      </c>
      <c r="B433" s="32" t="s">
        <v>1433</v>
      </c>
      <c r="C433" s="31" t="b">
        <v>1</v>
      </c>
      <c r="D433" s="31">
        <v>2</v>
      </c>
      <c r="E433" s="34" t="s">
        <v>2420</v>
      </c>
      <c r="F433" s="31" t="s">
        <v>3443</v>
      </c>
      <c r="G433" s="31" t="s">
        <v>3665</v>
      </c>
      <c r="H433" s="31" t="s">
        <v>3666</v>
      </c>
      <c r="I433" s="31" t="s">
        <v>3842</v>
      </c>
      <c r="J433" s="37" t="s">
        <v>4047</v>
      </c>
      <c r="K433" s="31" t="s">
        <v>2328</v>
      </c>
      <c r="L433" s="31" t="s">
        <v>378</v>
      </c>
      <c r="M433" s="31" t="s">
        <v>2232</v>
      </c>
      <c r="N433" s="31" t="s">
        <v>2328</v>
      </c>
    </row>
    <row r="434" spans="1:14" ht="75" x14ac:dyDescent="0.25">
      <c r="A434" s="31" t="s">
        <v>2963</v>
      </c>
      <c r="B434" s="32" t="s">
        <v>1434</v>
      </c>
      <c r="C434" s="31" t="b">
        <v>0</v>
      </c>
      <c r="D434" s="31">
        <v>4</v>
      </c>
      <c r="E434" s="35" t="s">
        <v>1435</v>
      </c>
      <c r="F434" s="31" t="s">
        <v>131</v>
      </c>
      <c r="G434" s="31" t="s">
        <v>3665</v>
      </c>
      <c r="H434" s="31" t="s">
        <v>3666</v>
      </c>
      <c r="I434" s="31" t="s">
        <v>3842</v>
      </c>
      <c r="J434" s="37" t="s">
        <v>4047</v>
      </c>
      <c r="K434" s="31" t="s">
        <v>2328</v>
      </c>
      <c r="L434" s="31" t="s">
        <v>378</v>
      </c>
      <c r="M434" s="31" t="s">
        <v>2232</v>
      </c>
      <c r="N434" s="31" t="s">
        <v>2328</v>
      </c>
    </row>
    <row r="435" spans="1:14" ht="75" x14ac:dyDescent="0.25">
      <c r="A435" s="31" t="s">
        <v>2964</v>
      </c>
      <c r="B435" s="32" t="s">
        <v>1436</v>
      </c>
      <c r="C435" s="31" t="b">
        <v>0</v>
      </c>
      <c r="D435" s="31">
        <v>4</v>
      </c>
      <c r="E435" s="35" t="s">
        <v>1438</v>
      </c>
      <c r="F435" s="31" t="s">
        <v>131</v>
      </c>
      <c r="G435" s="31" t="s">
        <v>3665</v>
      </c>
      <c r="H435" s="31" t="s">
        <v>3666</v>
      </c>
      <c r="I435" s="31" t="s">
        <v>3842</v>
      </c>
      <c r="J435" s="37" t="s">
        <v>4047</v>
      </c>
      <c r="K435" s="31" t="s">
        <v>2328</v>
      </c>
      <c r="L435" s="31" t="s">
        <v>378</v>
      </c>
      <c r="M435" s="31" t="s">
        <v>2232</v>
      </c>
      <c r="N435" s="31" t="s">
        <v>2328</v>
      </c>
    </row>
    <row r="436" spans="1:14" ht="75" x14ac:dyDescent="0.25">
      <c r="A436" s="31" t="s">
        <v>2328</v>
      </c>
      <c r="B436" s="32" t="s">
        <v>1439</v>
      </c>
      <c r="C436" s="31" t="b">
        <v>0</v>
      </c>
      <c r="D436" s="31">
        <v>4</v>
      </c>
      <c r="E436" s="35" t="s">
        <v>1441</v>
      </c>
      <c r="F436" s="31" t="s">
        <v>139</v>
      </c>
      <c r="G436" s="31" t="s">
        <v>3665</v>
      </c>
      <c r="H436" s="31" t="s">
        <v>3666</v>
      </c>
      <c r="I436" s="31" t="s">
        <v>3842</v>
      </c>
      <c r="J436" s="37" t="s">
        <v>4047</v>
      </c>
      <c r="K436" s="31" t="s">
        <v>2328</v>
      </c>
      <c r="L436" s="31" t="s">
        <v>378</v>
      </c>
      <c r="M436" s="31" t="s">
        <v>2232</v>
      </c>
      <c r="N436" s="31" t="s">
        <v>2328</v>
      </c>
    </row>
    <row r="437" spans="1:14" ht="75" x14ac:dyDescent="0.25">
      <c r="A437" s="31" t="s">
        <v>2965</v>
      </c>
      <c r="B437" s="32" t="s">
        <v>1442</v>
      </c>
      <c r="C437" s="31" t="b">
        <v>0</v>
      </c>
      <c r="D437" s="31">
        <v>4</v>
      </c>
      <c r="E437" s="35" t="s">
        <v>1444</v>
      </c>
      <c r="F437" s="31" t="s">
        <v>131</v>
      </c>
      <c r="G437" s="31" t="s">
        <v>3665</v>
      </c>
      <c r="H437" s="31" t="s">
        <v>3666</v>
      </c>
      <c r="I437" s="31" t="s">
        <v>3842</v>
      </c>
      <c r="J437" s="37" t="s">
        <v>4047</v>
      </c>
      <c r="K437" s="31" t="s">
        <v>2328</v>
      </c>
      <c r="L437" s="31" t="s">
        <v>378</v>
      </c>
      <c r="M437" s="31" t="s">
        <v>2232</v>
      </c>
      <c r="N437" s="31" t="s">
        <v>2328</v>
      </c>
    </row>
    <row r="438" spans="1:14" ht="75" x14ac:dyDescent="0.25">
      <c r="A438" s="31" t="s">
        <v>2966</v>
      </c>
      <c r="B438" s="32" t="s">
        <v>1445</v>
      </c>
      <c r="C438" s="31" t="b">
        <v>0</v>
      </c>
      <c r="D438" s="31">
        <v>4</v>
      </c>
      <c r="E438" s="35" t="s">
        <v>1447</v>
      </c>
      <c r="F438" s="31" t="s">
        <v>131</v>
      </c>
      <c r="G438" s="31" t="s">
        <v>3665</v>
      </c>
      <c r="H438" s="31" t="s">
        <v>3666</v>
      </c>
      <c r="I438" s="31" t="s">
        <v>3842</v>
      </c>
      <c r="J438" s="37" t="s">
        <v>4047</v>
      </c>
      <c r="K438" s="31" t="s">
        <v>2328</v>
      </c>
      <c r="L438" s="31" t="s">
        <v>378</v>
      </c>
      <c r="M438" s="31" t="s">
        <v>2232</v>
      </c>
      <c r="N438" s="31" t="s">
        <v>2328</v>
      </c>
    </row>
    <row r="439" spans="1:14" ht="180" x14ac:dyDescent="0.25">
      <c r="A439" s="31" t="s">
        <v>2328</v>
      </c>
      <c r="B439" s="32" t="s">
        <v>1448</v>
      </c>
      <c r="C439" s="31" t="b">
        <v>0</v>
      </c>
      <c r="D439" s="31">
        <v>4</v>
      </c>
      <c r="E439" s="35" t="s">
        <v>2273</v>
      </c>
      <c r="F439" s="31" t="s">
        <v>139</v>
      </c>
      <c r="G439" s="31" t="s">
        <v>3665</v>
      </c>
      <c r="H439" s="31" t="s">
        <v>3666</v>
      </c>
      <c r="I439" s="31" t="s">
        <v>3842</v>
      </c>
      <c r="J439" s="37" t="s">
        <v>4047</v>
      </c>
      <c r="K439" s="31" t="s">
        <v>2328</v>
      </c>
      <c r="L439" s="31" t="s">
        <v>378</v>
      </c>
      <c r="M439" s="31" t="s">
        <v>2232</v>
      </c>
      <c r="N439" s="31" t="s">
        <v>2328</v>
      </c>
    </row>
    <row r="440" spans="1:14" ht="75" x14ac:dyDescent="0.25">
      <c r="A440" s="31" t="s">
        <v>2967</v>
      </c>
      <c r="B440" s="32" t="s">
        <v>1450</v>
      </c>
      <c r="C440" s="31" t="b">
        <v>0</v>
      </c>
      <c r="D440" s="31">
        <v>4</v>
      </c>
      <c r="E440" s="35" t="s">
        <v>1452</v>
      </c>
      <c r="F440" s="31" t="s">
        <v>131</v>
      </c>
      <c r="G440" s="31" t="s">
        <v>3665</v>
      </c>
      <c r="H440" s="31" t="s">
        <v>3666</v>
      </c>
      <c r="I440" s="31" t="s">
        <v>3842</v>
      </c>
      <c r="J440" s="37" t="s">
        <v>4047</v>
      </c>
      <c r="K440" s="31" t="s">
        <v>2328</v>
      </c>
      <c r="L440" s="31" t="s">
        <v>378</v>
      </c>
      <c r="M440" s="31" t="s">
        <v>2232</v>
      </c>
      <c r="N440" s="31" t="s">
        <v>2328</v>
      </c>
    </row>
    <row r="441" spans="1:14" ht="75" x14ac:dyDescent="0.25">
      <c r="A441" s="31" t="s">
        <v>2968</v>
      </c>
      <c r="B441" s="32" t="s">
        <v>1453</v>
      </c>
      <c r="C441" s="31" t="b">
        <v>0</v>
      </c>
      <c r="D441" s="31">
        <v>4</v>
      </c>
      <c r="E441" s="35" t="s">
        <v>1455</v>
      </c>
      <c r="F441" s="31" t="s">
        <v>131</v>
      </c>
      <c r="G441" s="31" t="s">
        <v>3665</v>
      </c>
      <c r="H441" s="31" t="s">
        <v>3666</v>
      </c>
      <c r="I441" s="31" t="s">
        <v>3842</v>
      </c>
      <c r="J441" s="37" t="s">
        <v>4047</v>
      </c>
      <c r="K441" s="31" t="s">
        <v>2328</v>
      </c>
      <c r="L441" s="31" t="s">
        <v>378</v>
      </c>
      <c r="M441" s="31" t="s">
        <v>2232</v>
      </c>
      <c r="N441" s="31" t="s">
        <v>2328</v>
      </c>
    </row>
    <row r="442" spans="1:14" ht="75" x14ac:dyDescent="0.25">
      <c r="A442" s="31" t="s">
        <v>1457</v>
      </c>
      <c r="B442" s="32" t="s">
        <v>1456</v>
      </c>
      <c r="C442" s="31" t="b">
        <v>1</v>
      </c>
      <c r="D442" s="31">
        <v>2</v>
      </c>
      <c r="E442" s="34" t="s">
        <v>2406</v>
      </c>
      <c r="F442" s="31" t="s">
        <v>3443</v>
      </c>
      <c r="G442" s="31" t="s">
        <v>3665</v>
      </c>
      <c r="H442" s="31" t="s">
        <v>3666</v>
      </c>
      <c r="I442" s="31" t="s">
        <v>3842</v>
      </c>
      <c r="J442" s="37" t="s">
        <v>4047</v>
      </c>
      <c r="K442" s="31" t="s">
        <v>2328</v>
      </c>
      <c r="L442" s="31" t="s">
        <v>378</v>
      </c>
      <c r="M442" s="31" t="s">
        <v>2232</v>
      </c>
      <c r="N442" s="31" t="s">
        <v>2328</v>
      </c>
    </row>
    <row r="443" spans="1:14" ht="75" x14ac:dyDescent="0.25">
      <c r="A443" s="31" t="s">
        <v>2969</v>
      </c>
      <c r="B443" s="32" t="s">
        <v>1458</v>
      </c>
      <c r="C443" s="31" t="b">
        <v>0</v>
      </c>
      <c r="D443" s="31">
        <v>4</v>
      </c>
      <c r="E443" s="35" t="s">
        <v>1460</v>
      </c>
      <c r="F443" s="31" t="s">
        <v>131</v>
      </c>
      <c r="G443" s="31" t="s">
        <v>3665</v>
      </c>
      <c r="H443" s="31" t="s">
        <v>3666</v>
      </c>
      <c r="I443" s="31" t="s">
        <v>3842</v>
      </c>
      <c r="J443" s="37" t="s">
        <v>4047</v>
      </c>
      <c r="K443" s="31" t="s">
        <v>2328</v>
      </c>
      <c r="L443" s="31" t="s">
        <v>378</v>
      </c>
      <c r="M443" s="31" t="s">
        <v>2232</v>
      </c>
      <c r="N443" s="31" t="s">
        <v>2328</v>
      </c>
    </row>
    <row r="444" spans="1:14" ht="75" x14ac:dyDescent="0.25">
      <c r="A444" s="31" t="s">
        <v>2970</v>
      </c>
      <c r="B444" s="32" t="s">
        <v>1461</v>
      </c>
      <c r="C444" s="31" t="b">
        <v>0</v>
      </c>
      <c r="D444" s="31">
        <v>4</v>
      </c>
      <c r="E444" s="35" t="s">
        <v>1463</v>
      </c>
      <c r="F444" s="31" t="s">
        <v>131</v>
      </c>
      <c r="G444" s="31" t="s">
        <v>3665</v>
      </c>
      <c r="H444" s="31" t="s">
        <v>3666</v>
      </c>
      <c r="I444" s="31" t="s">
        <v>3842</v>
      </c>
      <c r="J444" s="37" t="s">
        <v>4047</v>
      </c>
      <c r="K444" s="31" t="s">
        <v>2328</v>
      </c>
      <c r="L444" s="31" t="s">
        <v>378</v>
      </c>
      <c r="M444" s="31" t="s">
        <v>2232</v>
      </c>
      <c r="N444" s="31" t="s">
        <v>2328</v>
      </c>
    </row>
    <row r="445" spans="1:14" ht="75" x14ac:dyDescent="0.25">
      <c r="A445" s="31" t="s">
        <v>2328</v>
      </c>
      <c r="B445" s="32" t="s">
        <v>1464</v>
      </c>
      <c r="C445" s="31" t="b">
        <v>0</v>
      </c>
      <c r="D445" s="31">
        <v>4</v>
      </c>
      <c r="E445" s="35" t="s">
        <v>2274</v>
      </c>
      <c r="F445" s="31" t="s">
        <v>139</v>
      </c>
      <c r="G445" s="31" t="s">
        <v>3665</v>
      </c>
      <c r="H445" s="31" t="s">
        <v>3666</v>
      </c>
      <c r="I445" s="31" t="s">
        <v>3842</v>
      </c>
      <c r="J445" s="37" t="s">
        <v>4047</v>
      </c>
      <c r="K445" s="31" t="s">
        <v>2328</v>
      </c>
      <c r="L445" s="31" t="s">
        <v>378</v>
      </c>
      <c r="M445" s="31" t="s">
        <v>2232</v>
      </c>
      <c r="N445" s="31" t="s">
        <v>2328</v>
      </c>
    </row>
    <row r="446" spans="1:14" ht="75" x14ac:dyDescent="0.25">
      <c r="A446" s="31" t="s">
        <v>2328</v>
      </c>
      <c r="B446" s="32" t="s">
        <v>1466</v>
      </c>
      <c r="C446" s="31" t="b">
        <v>1</v>
      </c>
      <c r="D446" s="31">
        <v>2</v>
      </c>
      <c r="E446" s="34" t="s">
        <v>3547</v>
      </c>
      <c r="F446" s="31" t="s">
        <v>3443</v>
      </c>
      <c r="G446" s="31" t="s">
        <v>3665</v>
      </c>
      <c r="H446" s="31" t="s">
        <v>3666</v>
      </c>
      <c r="I446" s="31" t="s">
        <v>3842</v>
      </c>
      <c r="J446" s="37" t="s">
        <v>4047</v>
      </c>
      <c r="K446" s="31" t="s">
        <v>2328</v>
      </c>
      <c r="L446" s="31" t="s">
        <v>378</v>
      </c>
      <c r="M446" s="31" t="s">
        <v>2232</v>
      </c>
      <c r="N446" s="31" t="s">
        <v>2328</v>
      </c>
    </row>
    <row r="447" spans="1:14" ht="75" x14ac:dyDescent="0.25">
      <c r="A447" s="31" t="s">
        <v>2328</v>
      </c>
      <c r="B447" s="32" t="s">
        <v>3478</v>
      </c>
      <c r="C447" s="31" t="b">
        <v>0</v>
      </c>
      <c r="D447" s="31">
        <v>4</v>
      </c>
      <c r="E447" s="35" t="s">
        <v>3477</v>
      </c>
      <c r="F447" s="31" t="s">
        <v>139</v>
      </c>
      <c r="G447" s="31" t="s">
        <v>3665</v>
      </c>
      <c r="H447" s="31" t="s">
        <v>3666</v>
      </c>
      <c r="I447" s="31" t="s">
        <v>3842</v>
      </c>
      <c r="J447" s="37" t="s">
        <v>4047</v>
      </c>
      <c r="K447" s="31" t="s">
        <v>2328</v>
      </c>
      <c r="L447" s="31" t="s">
        <v>2328</v>
      </c>
      <c r="M447" s="31" t="s">
        <v>2232</v>
      </c>
      <c r="N447" s="31" t="s">
        <v>2328</v>
      </c>
    </row>
    <row r="448" spans="1:14" ht="75" x14ac:dyDescent="0.25">
      <c r="A448" s="31" t="s">
        <v>2971</v>
      </c>
      <c r="B448" s="32" t="s">
        <v>1467</v>
      </c>
      <c r="C448" s="31" t="b">
        <v>0</v>
      </c>
      <c r="D448" s="31">
        <v>4</v>
      </c>
      <c r="E448" s="35" t="s">
        <v>1469</v>
      </c>
      <c r="F448" s="31" t="s">
        <v>131</v>
      </c>
      <c r="G448" s="31" t="s">
        <v>3665</v>
      </c>
      <c r="H448" s="31" t="s">
        <v>3666</v>
      </c>
      <c r="I448" s="31" t="s">
        <v>3842</v>
      </c>
      <c r="J448" s="37" t="s">
        <v>4047</v>
      </c>
      <c r="K448" s="31" t="s">
        <v>2328</v>
      </c>
      <c r="L448" s="31" t="s">
        <v>378</v>
      </c>
      <c r="M448" s="31" t="s">
        <v>2232</v>
      </c>
      <c r="N448" s="31" t="s">
        <v>2328</v>
      </c>
    </row>
    <row r="449" spans="1:14" ht="75" x14ac:dyDescent="0.25">
      <c r="A449" s="31" t="s">
        <v>2972</v>
      </c>
      <c r="B449" s="32" t="s">
        <v>1470</v>
      </c>
      <c r="C449" s="31" t="b">
        <v>0</v>
      </c>
      <c r="D449" s="31">
        <v>4</v>
      </c>
      <c r="E449" s="35" t="s">
        <v>1472</v>
      </c>
      <c r="F449" s="31" t="s">
        <v>131</v>
      </c>
      <c r="G449" s="31" t="s">
        <v>3665</v>
      </c>
      <c r="H449" s="31" t="s">
        <v>3666</v>
      </c>
      <c r="I449" s="31" t="s">
        <v>3842</v>
      </c>
      <c r="J449" s="37" t="s">
        <v>4047</v>
      </c>
      <c r="K449" s="31" t="s">
        <v>2328</v>
      </c>
      <c r="L449" s="31" t="s">
        <v>378</v>
      </c>
      <c r="M449" s="31" t="s">
        <v>2232</v>
      </c>
      <c r="N449" s="31" t="s">
        <v>2328</v>
      </c>
    </row>
    <row r="450" spans="1:14" ht="75" x14ac:dyDescent="0.25">
      <c r="A450" s="31" t="s">
        <v>2973</v>
      </c>
      <c r="B450" s="32" t="s">
        <v>1473</v>
      </c>
      <c r="C450" s="31" t="b">
        <v>0</v>
      </c>
      <c r="D450" s="31">
        <v>4</v>
      </c>
      <c r="E450" s="35" t="s">
        <v>1475</v>
      </c>
      <c r="F450" s="31" t="s">
        <v>131</v>
      </c>
      <c r="G450" s="31" t="s">
        <v>3665</v>
      </c>
      <c r="H450" s="31" t="s">
        <v>3666</v>
      </c>
      <c r="I450" s="31" t="s">
        <v>3842</v>
      </c>
      <c r="J450" s="37" t="s">
        <v>4047</v>
      </c>
      <c r="K450" s="31" t="s">
        <v>2328</v>
      </c>
      <c r="L450" s="31" t="s">
        <v>378</v>
      </c>
      <c r="M450" s="31" t="s">
        <v>2232</v>
      </c>
      <c r="N450" s="31" t="s">
        <v>2328</v>
      </c>
    </row>
    <row r="451" spans="1:14" ht="75" x14ac:dyDescent="0.25">
      <c r="A451" s="31" t="s">
        <v>2328</v>
      </c>
      <c r="B451" s="32" t="s">
        <v>1476</v>
      </c>
      <c r="C451" s="31" t="b">
        <v>1</v>
      </c>
      <c r="D451" s="31">
        <v>2</v>
      </c>
      <c r="E451" s="34" t="s">
        <v>2407</v>
      </c>
      <c r="F451" s="31" t="s">
        <v>3443</v>
      </c>
      <c r="G451" s="31" t="s">
        <v>3665</v>
      </c>
      <c r="H451" s="31" t="s">
        <v>3666</v>
      </c>
      <c r="I451" s="31" t="s">
        <v>3842</v>
      </c>
      <c r="J451" s="37" t="s">
        <v>4047</v>
      </c>
      <c r="K451" s="31" t="s">
        <v>2328</v>
      </c>
      <c r="L451" s="31" t="s">
        <v>378</v>
      </c>
      <c r="M451" s="31" t="s">
        <v>2232</v>
      </c>
      <c r="N451" s="31" t="s">
        <v>2328</v>
      </c>
    </row>
    <row r="452" spans="1:14" ht="75" x14ac:dyDescent="0.25">
      <c r="A452" s="31" t="s">
        <v>2974</v>
      </c>
      <c r="B452" s="32" t="s">
        <v>1478</v>
      </c>
      <c r="C452" s="31" t="b">
        <v>0</v>
      </c>
      <c r="D452" s="31">
        <v>4</v>
      </c>
      <c r="E452" s="35" t="s">
        <v>1480</v>
      </c>
      <c r="F452" s="31" t="s">
        <v>131</v>
      </c>
      <c r="G452" s="31" t="s">
        <v>3665</v>
      </c>
      <c r="H452" s="31" t="s">
        <v>3666</v>
      </c>
      <c r="I452" s="31" t="s">
        <v>3842</v>
      </c>
      <c r="J452" s="37" t="s">
        <v>4047</v>
      </c>
      <c r="K452" s="31" t="s">
        <v>2328</v>
      </c>
      <c r="L452" s="31" t="s">
        <v>378</v>
      </c>
      <c r="M452" s="31" t="s">
        <v>2232</v>
      </c>
      <c r="N452" s="31" t="s">
        <v>2328</v>
      </c>
    </row>
    <row r="453" spans="1:14" ht="75" x14ac:dyDescent="0.25">
      <c r="A453" s="31" t="s">
        <v>2975</v>
      </c>
      <c r="B453" s="32" t="s">
        <v>1481</v>
      </c>
      <c r="C453" s="31" t="b">
        <v>0</v>
      </c>
      <c r="D453" s="31">
        <v>4</v>
      </c>
      <c r="E453" s="35" t="s">
        <v>2275</v>
      </c>
      <c r="F453" s="31" t="s">
        <v>131</v>
      </c>
      <c r="G453" s="31" t="s">
        <v>3665</v>
      </c>
      <c r="H453" s="31" t="s">
        <v>3666</v>
      </c>
      <c r="I453" s="31" t="s">
        <v>3842</v>
      </c>
      <c r="J453" s="37" t="s">
        <v>4047</v>
      </c>
      <c r="K453" s="31" t="s">
        <v>2328</v>
      </c>
      <c r="L453" s="31" t="s">
        <v>378</v>
      </c>
      <c r="M453" s="31" t="s">
        <v>2232</v>
      </c>
      <c r="N453" s="31" t="s">
        <v>2328</v>
      </c>
    </row>
    <row r="454" spans="1:14" ht="75" x14ac:dyDescent="0.25">
      <c r="A454" s="31" t="s">
        <v>2976</v>
      </c>
      <c r="B454" s="32" t="s">
        <v>1483</v>
      </c>
      <c r="C454" s="31" t="b">
        <v>0</v>
      </c>
      <c r="D454" s="31">
        <v>4</v>
      </c>
      <c r="E454" s="35" t="s">
        <v>1485</v>
      </c>
      <c r="F454" s="31" t="s">
        <v>131</v>
      </c>
      <c r="G454" s="31" t="s">
        <v>3665</v>
      </c>
      <c r="H454" s="31" t="s">
        <v>3666</v>
      </c>
      <c r="I454" s="31" t="s">
        <v>3842</v>
      </c>
      <c r="J454" s="37" t="s">
        <v>4047</v>
      </c>
      <c r="K454" s="31" t="s">
        <v>2328</v>
      </c>
      <c r="L454" s="31" t="s">
        <v>378</v>
      </c>
      <c r="M454" s="31" t="s">
        <v>2232</v>
      </c>
      <c r="N454" s="31" t="s">
        <v>2328</v>
      </c>
    </row>
    <row r="455" spans="1:14" ht="75" x14ac:dyDescent="0.25">
      <c r="A455" s="31" t="s">
        <v>2977</v>
      </c>
      <c r="B455" s="32" t="s">
        <v>1486</v>
      </c>
      <c r="C455" s="31" t="b">
        <v>0</v>
      </c>
      <c r="D455" s="31">
        <v>4</v>
      </c>
      <c r="E455" s="35" t="s">
        <v>34</v>
      </c>
      <c r="F455" s="31" t="s">
        <v>131</v>
      </c>
      <c r="G455" s="31" t="s">
        <v>3665</v>
      </c>
      <c r="H455" s="31" t="s">
        <v>3666</v>
      </c>
      <c r="I455" s="31" t="s">
        <v>3842</v>
      </c>
      <c r="J455" s="37" t="s">
        <v>4047</v>
      </c>
      <c r="K455" s="31" t="s">
        <v>2328</v>
      </c>
      <c r="L455" s="31" t="s">
        <v>378</v>
      </c>
      <c r="M455" s="31" t="s">
        <v>2232</v>
      </c>
      <c r="N455" s="31" t="s">
        <v>2328</v>
      </c>
    </row>
    <row r="456" spans="1:14" ht="75" x14ac:dyDescent="0.25">
      <c r="A456" s="31" t="s">
        <v>2978</v>
      </c>
      <c r="B456" s="32" t="s">
        <v>1488</v>
      </c>
      <c r="C456" s="31" t="b">
        <v>0</v>
      </c>
      <c r="D456" s="31">
        <v>4</v>
      </c>
      <c r="E456" s="35" t="s">
        <v>2276</v>
      </c>
      <c r="F456" s="31" t="s">
        <v>131</v>
      </c>
      <c r="G456" s="31" t="s">
        <v>3665</v>
      </c>
      <c r="H456" s="31" t="s">
        <v>3666</v>
      </c>
      <c r="I456" s="31" t="s">
        <v>3842</v>
      </c>
      <c r="J456" s="37" t="s">
        <v>4047</v>
      </c>
      <c r="K456" s="31" t="s">
        <v>2328</v>
      </c>
      <c r="L456" s="31" t="s">
        <v>378</v>
      </c>
      <c r="M456" s="31" t="s">
        <v>2232</v>
      </c>
      <c r="N456" s="31" t="s">
        <v>2328</v>
      </c>
    </row>
    <row r="457" spans="1:14" ht="75" x14ac:dyDescent="0.25">
      <c r="A457" s="31" t="s">
        <v>2328</v>
      </c>
      <c r="B457" s="32" t="s">
        <v>1490</v>
      </c>
      <c r="C457" s="31" t="b">
        <v>1</v>
      </c>
      <c r="D457" s="31">
        <v>2</v>
      </c>
      <c r="E457" s="34" t="s">
        <v>3548</v>
      </c>
      <c r="F457" s="31" t="s">
        <v>3443</v>
      </c>
      <c r="G457" s="31" t="s">
        <v>3665</v>
      </c>
      <c r="H457" s="31" t="s">
        <v>3666</v>
      </c>
      <c r="I457" s="31" t="s">
        <v>3842</v>
      </c>
      <c r="J457" s="37" t="s">
        <v>4047</v>
      </c>
      <c r="K457" s="31" t="s">
        <v>2328</v>
      </c>
      <c r="L457" s="31" t="s">
        <v>378</v>
      </c>
      <c r="M457" s="31" t="s">
        <v>2232</v>
      </c>
      <c r="N457" s="31" t="s">
        <v>2328</v>
      </c>
    </row>
    <row r="458" spans="1:14" ht="75" x14ac:dyDescent="0.25">
      <c r="A458" s="31" t="s">
        <v>2328</v>
      </c>
      <c r="B458" s="32" t="s">
        <v>3481</v>
      </c>
      <c r="C458" s="31" t="b">
        <v>0</v>
      </c>
      <c r="D458" s="31">
        <v>4</v>
      </c>
      <c r="E458" s="35" t="s">
        <v>3480</v>
      </c>
      <c r="F458" s="31" t="s">
        <v>139</v>
      </c>
      <c r="G458" s="31" t="s">
        <v>3665</v>
      </c>
      <c r="H458" s="31" t="s">
        <v>3666</v>
      </c>
      <c r="I458" s="31" t="s">
        <v>3842</v>
      </c>
      <c r="J458" s="37" t="s">
        <v>4047</v>
      </c>
      <c r="K458" s="31" t="s">
        <v>2328</v>
      </c>
      <c r="L458" s="31" t="s">
        <v>2328</v>
      </c>
      <c r="M458" s="31" t="s">
        <v>2232</v>
      </c>
      <c r="N458" s="31" t="s">
        <v>2328</v>
      </c>
    </row>
    <row r="459" spans="1:14" ht="75" x14ac:dyDescent="0.25">
      <c r="A459" s="31" t="s">
        <v>2979</v>
      </c>
      <c r="B459" s="32" t="s">
        <v>1491</v>
      </c>
      <c r="C459" s="31" t="b">
        <v>0</v>
      </c>
      <c r="D459" s="31">
        <v>4</v>
      </c>
      <c r="E459" s="35" t="s">
        <v>1493</v>
      </c>
      <c r="F459" s="31" t="s">
        <v>131</v>
      </c>
      <c r="G459" s="31" t="s">
        <v>3665</v>
      </c>
      <c r="H459" s="31" t="s">
        <v>3666</v>
      </c>
      <c r="I459" s="31" t="s">
        <v>3842</v>
      </c>
      <c r="J459" s="37" t="s">
        <v>4047</v>
      </c>
      <c r="K459" s="31" t="s">
        <v>2328</v>
      </c>
      <c r="L459" s="31" t="s">
        <v>378</v>
      </c>
      <c r="M459" s="31" t="s">
        <v>2232</v>
      </c>
      <c r="N459" s="31" t="s">
        <v>2328</v>
      </c>
    </row>
    <row r="460" spans="1:14" ht="75" x14ac:dyDescent="0.25">
      <c r="A460" s="31" t="s">
        <v>2328</v>
      </c>
      <c r="B460" s="32" t="s">
        <v>1494</v>
      </c>
      <c r="C460" s="31" t="b">
        <v>1</v>
      </c>
      <c r="D460" s="31">
        <v>0</v>
      </c>
      <c r="E460" s="33" t="s">
        <v>2364</v>
      </c>
      <c r="F460" s="31" t="s">
        <v>3443</v>
      </c>
      <c r="G460" s="31" t="s">
        <v>3665</v>
      </c>
      <c r="H460" s="31" t="s">
        <v>3666</v>
      </c>
      <c r="I460" s="31" t="s">
        <v>3842</v>
      </c>
      <c r="J460" s="37" t="s">
        <v>4047</v>
      </c>
      <c r="K460" s="31" t="s">
        <v>2328</v>
      </c>
      <c r="L460" s="31" t="s">
        <v>381</v>
      </c>
      <c r="M460" s="31" t="s">
        <v>2232</v>
      </c>
      <c r="N460" s="31" t="s">
        <v>2328</v>
      </c>
    </row>
    <row r="461" spans="1:14" ht="75" x14ac:dyDescent="0.25">
      <c r="A461" s="31" t="s">
        <v>2328</v>
      </c>
      <c r="B461" s="32" t="s">
        <v>1495</v>
      </c>
      <c r="C461" s="31" t="b">
        <v>1</v>
      </c>
      <c r="D461" s="31">
        <v>2</v>
      </c>
      <c r="E461" s="34" t="s">
        <v>2429</v>
      </c>
      <c r="F461" s="31" t="s">
        <v>3443</v>
      </c>
      <c r="G461" s="31" t="s">
        <v>3665</v>
      </c>
      <c r="H461" s="31" t="s">
        <v>3666</v>
      </c>
      <c r="I461" s="31" t="s">
        <v>3842</v>
      </c>
      <c r="J461" s="37" t="s">
        <v>4047</v>
      </c>
      <c r="K461" s="31" t="s">
        <v>2328</v>
      </c>
      <c r="L461" s="31" t="s">
        <v>381</v>
      </c>
      <c r="M461" s="31" t="s">
        <v>2232</v>
      </c>
      <c r="N461" s="31" t="s">
        <v>2328</v>
      </c>
    </row>
    <row r="462" spans="1:14" ht="75" x14ac:dyDescent="0.25">
      <c r="A462" s="31" t="s">
        <v>2980</v>
      </c>
      <c r="B462" s="32" t="s">
        <v>1496</v>
      </c>
      <c r="C462" s="31" t="b">
        <v>0</v>
      </c>
      <c r="D462" s="31">
        <v>4</v>
      </c>
      <c r="E462" s="35" t="s">
        <v>17</v>
      </c>
      <c r="F462" s="31" t="s">
        <v>131</v>
      </c>
      <c r="G462" s="31" t="s">
        <v>3665</v>
      </c>
      <c r="H462" s="31" t="s">
        <v>3666</v>
      </c>
      <c r="I462" s="31" t="s">
        <v>3842</v>
      </c>
      <c r="J462" s="37" t="s">
        <v>4047</v>
      </c>
      <c r="K462" s="31" t="s">
        <v>2328</v>
      </c>
      <c r="L462" s="31" t="s">
        <v>381</v>
      </c>
      <c r="M462" s="31" t="s">
        <v>2232</v>
      </c>
      <c r="N462" s="31" t="s">
        <v>2328</v>
      </c>
    </row>
    <row r="463" spans="1:14" ht="75" x14ac:dyDescent="0.25">
      <c r="A463" s="31" t="s">
        <v>2981</v>
      </c>
      <c r="B463" s="32" t="s">
        <v>1498</v>
      </c>
      <c r="C463" s="31" t="b">
        <v>0</v>
      </c>
      <c r="D463" s="31">
        <v>4</v>
      </c>
      <c r="E463" s="35" t="s">
        <v>1500</v>
      </c>
      <c r="F463" s="31" t="s">
        <v>131</v>
      </c>
      <c r="G463" s="31" t="s">
        <v>3665</v>
      </c>
      <c r="H463" s="31" t="s">
        <v>3666</v>
      </c>
      <c r="I463" s="31" t="s">
        <v>3842</v>
      </c>
      <c r="J463" s="37" t="s">
        <v>4047</v>
      </c>
      <c r="K463" s="31" t="s">
        <v>2328</v>
      </c>
      <c r="L463" s="31" t="s">
        <v>381</v>
      </c>
      <c r="M463" s="31" t="s">
        <v>2232</v>
      </c>
      <c r="N463" s="31" t="s">
        <v>2328</v>
      </c>
    </row>
    <row r="464" spans="1:14" ht="75" x14ac:dyDescent="0.25">
      <c r="A464" s="31" t="s">
        <v>2982</v>
      </c>
      <c r="B464" s="32" t="s">
        <v>1501</v>
      </c>
      <c r="C464" s="31" t="b">
        <v>0</v>
      </c>
      <c r="D464" s="31">
        <v>4</v>
      </c>
      <c r="E464" s="35" t="s">
        <v>1503</v>
      </c>
      <c r="F464" s="31" t="s">
        <v>131</v>
      </c>
      <c r="G464" s="31" t="s">
        <v>3665</v>
      </c>
      <c r="H464" s="31" t="s">
        <v>3666</v>
      </c>
      <c r="I464" s="31" t="s">
        <v>3842</v>
      </c>
      <c r="J464" s="37" t="s">
        <v>4047</v>
      </c>
      <c r="K464" s="31" t="s">
        <v>3592</v>
      </c>
      <c r="L464" s="31" t="s">
        <v>381</v>
      </c>
      <c r="M464" s="31" t="s">
        <v>2232</v>
      </c>
      <c r="N464" s="31" t="s">
        <v>2328</v>
      </c>
    </row>
    <row r="465" spans="1:14" ht="75" x14ac:dyDescent="0.25">
      <c r="A465" s="31" t="s">
        <v>2328</v>
      </c>
      <c r="B465" s="32" t="s">
        <v>1504</v>
      </c>
      <c r="C465" s="31" t="b">
        <v>1</v>
      </c>
      <c r="D465" s="31">
        <v>2</v>
      </c>
      <c r="E465" s="34" t="s">
        <v>2430</v>
      </c>
      <c r="F465" s="31" t="s">
        <v>3443</v>
      </c>
      <c r="G465" s="31" t="s">
        <v>3665</v>
      </c>
      <c r="H465" s="31" t="s">
        <v>3666</v>
      </c>
      <c r="I465" s="31" t="s">
        <v>3842</v>
      </c>
      <c r="J465" s="37" t="s">
        <v>4047</v>
      </c>
      <c r="K465" s="31" t="s">
        <v>2328</v>
      </c>
      <c r="L465" s="31" t="s">
        <v>381</v>
      </c>
      <c r="M465" s="31" t="s">
        <v>2232</v>
      </c>
      <c r="N465" s="31" t="s">
        <v>2328</v>
      </c>
    </row>
    <row r="466" spans="1:14" ht="75" x14ac:dyDescent="0.25">
      <c r="A466" s="31" t="s">
        <v>2983</v>
      </c>
      <c r="B466" s="32" t="s">
        <v>1506</v>
      </c>
      <c r="C466" s="31" t="b">
        <v>0</v>
      </c>
      <c r="D466" s="31">
        <v>4</v>
      </c>
      <c r="E466" s="35" t="s">
        <v>1508</v>
      </c>
      <c r="F466" s="31" t="s">
        <v>131</v>
      </c>
      <c r="G466" s="31" t="s">
        <v>3665</v>
      </c>
      <c r="H466" s="31" t="s">
        <v>3666</v>
      </c>
      <c r="I466" s="31" t="s">
        <v>3842</v>
      </c>
      <c r="J466" s="37" t="s">
        <v>4047</v>
      </c>
      <c r="K466" s="31" t="s">
        <v>2328</v>
      </c>
      <c r="L466" s="31" t="s">
        <v>381</v>
      </c>
      <c r="M466" s="31" t="s">
        <v>2232</v>
      </c>
      <c r="N466" s="31" t="s">
        <v>2328</v>
      </c>
    </row>
    <row r="467" spans="1:14" ht="75" x14ac:dyDescent="0.25">
      <c r="A467" s="31" t="s">
        <v>2328</v>
      </c>
      <c r="B467" s="32" t="s">
        <v>1509</v>
      </c>
      <c r="C467" s="31" t="b">
        <v>1</v>
      </c>
      <c r="D467" s="31">
        <v>2</v>
      </c>
      <c r="E467" s="34" t="s">
        <v>2431</v>
      </c>
      <c r="F467" s="31" t="s">
        <v>3443</v>
      </c>
      <c r="G467" s="31" t="s">
        <v>3665</v>
      </c>
      <c r="H467" s="31" t="s">
        <v>3666</v>
      </c>
      <c r="I467" s="31" t="s">
        <v>3842</v>
      </c>
      <c r="J467" s="37" t="s">
        <v>4047</v>
      </c>
      <c r="K467" s="31" t="s">
        <v>2328</v>
      </c>
      <c r="L467" s="31" t="s">
        <v>381</v>
      </c>
      <c r="M467" s="31" t="s">
        <v>2232</v>
      </c>
      <c r="N467" s="31" t="s">
        <v>2328</v>
      </c>
    </row>
    <row r="468" spans="1:14" ht="75" x14ac:dyDescent="0.25">
      <c r="A468" s="31" t="s">
        <v>2328</v>
      </c>
      <c r="B468" s="32" t="s">
        <v>1511</v>
      </c>
      <c r="C468" s="31" t="b">
        <v>0</v>
      </c>
      <c r="D468" s="31">
        <v>4</v>
      </c>
      <c r="E468" s="35" t="s">
        <v>1513</v>
      </c>
      <c r="F468" s="31" t="s">
        <v>131</v>
      </c>
      <c r="G468" s="31" t="s">
        <v>3665</v>
      </c>
      <c r="H468" s="31" t="s">
        <v>3666</v>
      </c>
      <c r="I468" s="31" t="s">
        <v>3842</v>
      </c>
      <c r="J468" s="37" t="s">
        <v>4047</v>
      </c>
      <c r="K468" s="31" t="s">
        <v>2328</v>
      </c>
      <c r="L468" s="31" t="s">
        <v>381</v>
      </c>
      <c r="M468" s="31" t="s">
        <v>2232</v>
      </c>
      <c r="N468" s="31" t="s">
        <v>2328</v>
      </c>
    </row>
    <row r="469" spans="1:14" ht="75" x14ac:dyDescent="0.25">
      <c r="A469" s="31" t="s">
        <v>2328</v>
      </c>
      <c r="B469" s="32" t="s">
        <v>1514</v>
      </c>
      <c r="C469" s="31" t="b">
        <v>0</v>
      </c>
      <c r="D469" s="31">
        <v>4</v>
      </c>
      <c r="E469" s="35" t="s">
        <v>1516</v>
      </c>
      <c r="F469" s="31" t="s">
        <v>131</v>
      </c>
      <c r="G469" s="31" t="s">
        <v>3665</v>
      </c>
      <c r="H469" s="31" t="s">
        <v>3666</v>
      </c>
      <c r="I469" s="31" t="s">
        <v>3842</v>
      </c>
      <c r="J469" s="37" t="s">
        <v>4047</v>
      </c>
      <c r="K469" s="31" t="s">
        <v>2328</v>
      </c>
      <c r="L469" s="31" t="s">
        <v>381</v>
      </c>
      <c r="M469" s="31" t="s">
        <v>2232</v>
      </c>
      <c r="N469" s="31" t="s">
        <v>2328</v>
      </c>
    </row>
    <row r="470" spans="1:14" ht="105" x14ac:dyDescent="0.25">
      <c r="A470" s="31" t="s">
        <v>2328</v>
      </c>
      <c r="B470" s="32" t="s">
        <v>1517</v>
      </c>
      <c r="C470" s="31" t="b">
        <v>0</v>
      </c>
      <c r="D470" s="31">
        <v>4</v>
      </c>
      <c r="E470" s="35" t="s">
        <v>2277</v>
      </c>
      <c r="F470" s="31" t="s">
        <v>139</v>
      </c>
      <c r="G470" s="31" t="s">
        <v>3665</v>
      </c>
      <c r="H470" s="31" t="s">
        <v>3666</v>
      </c>
      <c r="I470" s="31" t="s">
        <v>3842</v>
      </c>
      <c r="J470" s="37" t="s">
        <v>4047</v>
      </c>
      <c r="K470" s="31" t="s">
        <v>2328</v>
      </c>
      <c r="L470" s="31" t="s">
        <v>381</v>
      </c>
      <c r="M470" s="31" t="s">
        <v>2232</v>
      </c>
      <c r="N470" s="31" t="s">
        <v>2328</v>
      </c>
    </row>
    <row r="471" spans="1:14" ht="75" x14ac:dyDescent="0.25">
      <c r="A471" s="31" t="s">
        <v>2328</v>
      </c>
      <c r="B471" s="32" t="s">
        <v>1519</v>
      </c>
      <c r="C471" s="31" t="b">
        <v>0</v>
      </c>
      <c r="D471" s="31">
        <v>4</v>
      </c>
      <c r="E471" s="35" t="s">
        <v>1521</v>
      </c>
      <c r="F471" s="31" t="s">
        <v>131</v>
      </c>
      <c r="G471" s="31" t="s">
        <v>3665</v>
      </c>
      <c r="H471" s="31" t="s">
        <v>3666</v>
      </c>
      <c r="I471" s="31" t="s">
        <v>3842</v>
      </c>
      <c r="J471" s="37" t="s">
        <v>4047</v>
      </c>
      <c r="K471" s="31" t="s">
        <v>2328</v>
      </c>
      <c r="L471" s="31" t="s">
        <v>381</v>
      </c>
      <c r="M471" s="31" t="s">
        <v>2232</v>
      </c>
      <c r="N471" s="31" t="s">
        <v>2328</v>
      </c>
    </row>
    <row r="472" spans="1:14" ht="75" x14ac:dyDescent="0.25">
      <c r="A472" s="31" t="s">
        <v>2328</v>
      </c>
      <c r="B472" s="32" t="s">
        <v>1522</v>
      </c>
      <c r="C472" s="31" t="b">
        <v>1</v>
      </c>
      <c r="D472" s="31">
        <v>2</v>
      </c>
      <c r="E472" s="34" t="s">
        <v>2432</v>
      </c>
      <c r="F472" s="31" t="s">
        <v>3443</v>
      </c>
      <c r="G472" s="31" t="s">
        <v>3665</v>
      </c>
      <c r="H472" s="31" t="s">
        <v>3666</v>
      </c>
      <c r="I472" s="31" t="s">
        <v>3842</v>
      </c>
      <c r="J472" s="37" t="s">
        <v>4047</v>
      </c>
      <c r="K472" s="31" t="s">
        <v>2328</v>
      </c>
      <c r="L472" s="31" t="s">
        <v>381</v>
      </c>
      <c r="M472" s="31" t="s">
        <v>2232</v>
      </c>
      <c r="N472" s="31" t="s">
        <v>2328</v>
      </c>
    </row>
    <row r="473" spans="1:14" ht="75" x14ac:dyDescent="0.25">
      <c r="A473" s="31" t="s">
        <v>2984</v>
      </c>
      <c r="B473" s="32" t="s">
        <v>1524</v>
      </c>
      <c r="C473" s="31" t="b">
        <v>0</v>
      </c>
      <c r="D473" s="31">
        <v>4</v>
      </c>
      <c r="E473" s="35" t="s">
        <v>1526</v>
      </c>
      <c r="F473" s="31" t="s">
        <v>131</v>
      </c>
      <c r="G473" s="31" t="s">
        <v>3665</v>
      </c>
      <c r="H473" s="31" t="s">
        <v>3666</v>
      </c>
      <c r="I473" s="31" t="s">
        <v>3842</v>
      </c>
      <c r="J473" s="37" t="s">
        <v>4047</v>
      </c>
      <c r="K473" s="31" t="s">
        <v>2328</v>
      </c>
      <c r="L473" s="31" t="s">
        <v>381</v>
      </c>
      <c r="M473" s="31" t="s">
        <v>2232</v>
      </c>
      <c r="N473" s="31" t="s">
        <v>2328</v>
      </c>
    </row>
    <row r="474" spans="1:14" ht="75" x14ac:dyDescent="0.25">
      <c r="A474" s="31" t="s">
        <v>2985</v>
      </c>
      <c r="B474" s="32" t="s">
        <v>1527</v>
      </c>
      <c r="C474" s="31" t="b">
        <v>0</v>
      </c>
      <c r="D474" s="31">
        <v>4</v>
      </c>
      <c r="E474" s="35" t="s">
        <v>16</v>
      </c>
      <c r="F474" s="31" t="s">
        <v>131</v>
      </c>
      <c r="G474" s="31" t="s">
        <v>3665</v>
      </c>
      <c r="H474" s="31" t="s">
        <v>3666</v>
      </c>
      <c r="I474" s="31" t="s">
        <v>3842</v>
      </c>
      <c r="J474" s="37" t="s">
        <v>4047</v>
      </c>
      <c r="K474" s="31" t="s">
        <v>2328</v>
      </c>
      <c r="L474" s="31" t="s">
        <v>381</v>
      </c>
      <c r="M474" s="31" t="s">
        <v>2232</v>
      </c>
      <c r="N474" s="31" t="s">
        <v>2328</v>
      </c>
    </row>
    <row r="475" spans="1:14" ht="75" x14ac:dyDescent="0.25">
      <c r="A475" s="31" t="s">
        <v>2986</v>
      </c>
      <c r="B475" s="32" t="s">
        <v>1529</v>
      </c>
      <c r="C475" s="31" t="b">
        <v>0</v>
      </c>
      <c r="D475" s="31">
        <v>4</v>
      </c>
      <c r="E475" s="35" t="s">
        <v>1531</v>
      </c>
      <c r="F475" s="31" t="s">
        <v>131</v>
      </c>
      <c r="G475" s="31" t="s">
        <v>3665</v>
      </c>
      <c r="H475" s="31" t="s">
        <v>3666</v>
      </c>
      <c r="I475" s="31" t="s">
        <v>3842</v>
      </c>
      <c r="J475" s="37" t="s">
        <v>4047</v>
      </c>
      <c r="K475" s="31" t="s">
        <v>2328</v>
      </c>
      <c r="L475" s="31" t="s">
        <v>381</v>
      </c>
      <c r="M475" s="31" t="s">
        <v>2232</v>
      </c>
      <c r="N475" s="31" t="s">
        <v>2328</v>
      </c>
    </row>
    <row r="476" spans="1:14" ht="75" x14ac:dyDescent="0.25">
      <c r="A476" s="31" t="s">
        <v>2328</v>
      </c>
      <c r="B476" s="32" t="s">
        <v>1532</v>
      </c>
      <c r="C476" s="31" t="b">
        <v>1</v>
      </c>
      <c r="D476" s="31">
        <v>2</v>
      </c>
      <c r="E476" s="34" t="s">
        <v>2433</v>
      </c>
      <c r="F476" s="31" t="s">
        <v>3443</v>
      </c>
      <c r="G476" s="31" t="s">
        <v>3665</v>
      </c>
      <c r="H476" s="31" t="s">
        <v>3666</v>
      </c>
      <c r="I476" s="31" t="s">
        <v>3842</v>
      </c>
      <c r="J476" s="37" t="s">
        <v>4047</v>
      </c>
      <c r="K476" s="31" t="s">
        <v>2328</v>
      </c>
      <c r="L476" s="31" t="s">
        <v>381</v>
      </c>
      <c r="M476" s="31" t="s">
        <v>2232</v>
      </c>
      <c r="N476" s="31" t="s">
        <v>2328</v>
      </c>
    </row>
    <row r="477" spans="1:14" ht="75" x14ac:dyDescent="0.25">
      <c r="A477" s="31" t="s">
        <v>2987</v>
      </c>
      <c r="B477" s="32" t="s">
        <v>1534</v>
      </c>
      <c r="C477" s="31" t="b">
        <v>0</v>
      </c>
      <c r="D477" s="31">
        <v>4</v>
      </c>
      <c r="E477" s="35" t="s">
        <v>15</v>
      </c>
      <c r="F477" s="31" t="s">
        <v>131</v>
      </c>
      <c r="G477" s="31" t="s">
        <v>3665</v>
      </c>
      <c r="H477" s="31" t="s">
        <v>3666</v>
      </c>
      <c r="I477" s="31" t="s">
        <v>3842</v>
      </c>
      <c r="J477" s="37" t="s">
        <v>4047</v>
      </c>
      <c r="K477" s="31" t="s">
        <v>2328</v>
      </c>
      <c r="L477" s="31" t="s">
        <v>381</v>
      </c>
      <c r="M477" s="31" t="s">
        <v>2232</v>
      </c>
      <c r="N477" s="31" t="s">
        <v>2328</v>
      </c>
    </row>
    <row r="478" spans="1:14" ht="75" x14ac:dyDescent="0.25">
      <c r="A478" s="31" t="s">
        <v>2987</v>
      </c>
      <c r="B478" s="32" t="s">
        <v>1536</v>
      </c>
      <c r="C478" s="31" t="b">
        <v>0</v>
      </c>
      <c r="D478" s="31">
        <v>4</v>
      </c>
      <c r="E478" s="35" t="s">
        <v>1538</v>
      </c>
      <c r="F478" s="31" t="s">
        <v>131</v>
      </c>
      <c r="G478" s="31" t="s">
        <v>3665</v>
      </c>
      <c r="H478" s="31" t="s">
        <v>3666</v>
      </c>
      <c r="I478" s="31" t="s">
        <v>3842</v>
      </c>
      <c r="J478" s="37" t="s">
        <v>4047</v>
      </c>
      <c r="K478" s="31" t="s">
        <v>2328</v>
      </c>
      <c r="L478" s="31" t="s">
        <v>381</v>
      </c>
      <c r="M478" s="31" t="s">
        <v>2232</v>
      </c>
      <c r="N478" s="31" t="s">
        <v>2328</v>
      </c>
    </row>
    <row r="479" spans="1:14" ht="75" x14ac:dyDescent="0.25">
      <c r="A479" s="31" t="s">
        <v>2987</v>
      </c>
      <c r="B479" s="32" t="s">
        <v>1539</v>
      </c>
      <c r="C479" s="31" t="b">
        <v>0</v>
      </c>
      <c r="D479" s="31">
        <v>4</v>
      </c>
      <c r="E479" s="35" t="s">
        <v>1541</v>
      </c>
      <c r="F479" s="31" t="s">
        <v>131</v>
      </c>
      <c r="G479" s="31" t="s">
        <v>3665</v>
      </c>
      <c r="H479" s="31" t="s">
        <v>3666</v>
      </c>
      <c r="I479" s="31" t="s">
        <v>3842</v>
      </c>
      <c r="J479" s="37" t="s">
        <v>4047</v>
      </c>
      <c r="K479" s="31" t="s">
        <v>2328</v>
      </c>
      <c r="L479" s="31" t="s">
        <v>381</v>
      </c>
      <c r="M479" s="31" t="s">
        <v>2232</v>
      </c>
      <c r="N479" s="31" t="s">
        <v>2328</v>
      </c>
    </row>
    <row r="480" spans="1:14" ht="75" x14ac:dyDescent="0.25">
      <c r="A480" s="31" t="s">
        <v>2988</v>
      </c>
      <c r="B480" s="32" t="s">
        <v>1542</v>
      </c>
      <c r="C480" s="31" t="b">
        <v>0</v>
      </c>
      <c r="D480" s="31">
        <v>4</v>
      </c>
      <c r="E480" s="35" t="s">
        <v>2278</v>
      </c>
      <c r="F480" s="31" t="s">
        <v>131</v>
      </c>
      <c r="G480" s="31" t="s">
        <v>3665</v>
      </c>
      <c r="H480" s="31" t="s">
        <v>3666</v>
      </c>
      <c r="I480" s="31" t="s">
        <v>3842</v>
      </c>
      <c r="J480" s="37" t="s">
        <v>4047</v>
      </c>
      <c r="K480" s="31" t="s">
        <v>2328</v>
      </c>
      <c r="L480" s="31" t="s">
        <v>381</v>
      </c>
      <c r="M480" s="31" t="s">
        <v>2232</v>
      </c>
      <c r="N480" s="31" t="s">
        <v>2328</v>
      </c>
    </row>
    <row r="481" spans="1:14" ht="75" x14ac:dyDescent="0.25">
      <c r="A481" s="31" t="s">
        <v>2988</v>
      </c>
      <c r="B481" s="32" t="s">
        <v>1544</v>
      </c>
      <c r="C481" s="31" t="b">
        <v>0</v>
      </c>
      <c r="D481" s="31">
        <v>4</v>
      </c>
      <c r="E481" s="35" t="s">
        <v>1546</v>
      </c>
      <c r="F481" s="31" t="s">
        <v>131</v>
      </c>
      <c r="G481" s="31" t="s">
        <v>3665</v>
      </c>
      <c r="H481" s="31" t="s">
        <v>3666</v>
      </c>
      <c r="I481" s="31" t="s">
        <v>3842</v>
      </c>
      <c r="J481" s="37" t="s">
        <v>4047</v>
      </c>
      <c r="K481" s="31" t="s">
        <v>2328</v>
      </c>
      <c r="L481" s="31" t="s">
        <v>381</v>
      </c>
      <c r="M481" s="31" t="s">
        <v>2232</v>
      </c>
      <c r="N481" s="31" t="s">
        <v>2328</v>
      </c>
    </row>
    <row r="482" spans="1:14" ht="75" x14ac:dyDescent="0.25">
      <c r="A482" s="31" t="s">
        <v>2328</v>
      </c>
      <c r="B482" s="32" t="s">
        <v>1547</v>
      </c>
      <c r="C482" s="31" t="b">
        <v>0</v>
      </c>
      <c r="D482" s="31">
        <v>4</v>
      </c>
      <c r="E482" s="35" t="s">
        <v>1549</v>
      </c>
      <c r="F482" s="31" t="s">
        <v>131</v>
      </c>
      <c r="G482" s="31" t="s">
        <v>3665</v>
      </c>
      <c r="H482" s="31" t="s">
        <v>3666</v>
      </c>
      <c r="I482" s="31" t="s">
        <v>3842</v>
      </c>
      <c r="J482" s="37" t="s">
        <v>4047</v>
      </c>
      <c r="K482" s="31" t="s">
        <v>2328</v>
      </c>
      <c r="L482" s="31" t="s">
        <v>381</v>
      </c>
      <c r="M482" s="31" t="s">
        <v>2232</v>
      </c>
      <c r="N482" s="31" t="s">
        <v>2328</v>
      </c>
    </row>
    <row r="483" spans="1:14" ht="75" x14ac:dyDescent="0.25">
      <c r="A483" s="31" t="s">
        <v>2989</v>
      </c>
      <c r="B483" s="32" t="s">
        <v>1550</v>
      </c>
      <c r="C483" s="31" t="b">
        <v>1</v>
      </c>
      <c r="D483" s="31">
        <v>2</v>
      </c>
      <c r="E483" s="34" t="s">
        <v>3549</v>
      </c>
      <c r="F483" s="31" t="s">
        <v>3443</v>
      </c>
      <c r="G483" s="31" t="s">
        <v>3665</v>
      </c>
      <c r="H483" s="31" t="s">
        <v>3666</v>
      </c>
      <c r="I483" s="31" t="s">
        <v>3842</v>
      </c>
      <c r="J483" s="37" t="s">
        <v>4047</v>
      </c>
      <c r="K483" s="31" t="s">
        <v>2328</v>
      </c>
      <c r="L483" s="31" t="s">
        <v>381</v>
      </c>
      <c r="M483" s="31" t="s">
        <v>2232</v>
      </c>
      <c r="N483" s="31" t="s">
        <v>2328</v>
      </c>
    </row>
    <row r="484" spans="1:14" ht="75" x14ac:dyDescent="0.25">
      <c r="A484" s="31" t="s">
        <v>2989</v>
      </c>
      <c r="B484" s="32" t="s">
        <v>3484</v>
      </c>
      <c r="C484" s="31" t="b">
        <v>0</v>
      </c>
      <c r="D484" s="31">
        <v>4</v>
      </c>
      <c r="E484" s="35" t="s">
        <v>3483</v>
      </c>
      <c r="F484" s="31" t="s">
        <v>139</v>
      </c>
      <c r="G484" s="31" t="s">
        <v>3665</v>
      </c>
      <c r="H484" s="31" t="s">
        <v>3666</v>
      </c>
      <c r="I484" s="31" t="s">
        <v>3842</v>
      </c>
      <c r="J484" s="37" t="s">
        <v>4047</v>
      </c>
      <c r="K484" s="31" t="s">
        <v>2328</v>
      </c>
      <c r="L484" s="31" t="s">
        <v>2328</v>
      </c>
      <c r="M484" s="31" t="s">
        <v>2232</v>
      </c>
      <c r="N484" s="31" t="s">
        <v>2328</v>
      </c>
    </row>
    <row r="485" spans="1:14" ht="75" x14ac:dyDescent="0.25">
      <c r="A485" s="31" t="s">
        <v>2990</v>
      </c>
      <c r="B485" s="32" t="s">
        <v>1551</v>
      </c>
      <c r="C485" s="31" t="b">
        <v>0</v>
      </c>
      <c r="D485" s="31">
        <v>4</v>
      </c>
      <c r="E485" s="35" t="s">
        <v>13</v>
      </c>
      <c r="F485" s="31" t="s">
        <v>131</v>
      </c>
      <c r="G485" s="31" t="s">
        <v>3665</v>
      </c>
      <c r="H485" s="31" t="s">
        <v>3666</v>
      </c>
      <c r="I485" s="31" t="s">
        <v>3842</v>
      </c>
      <c r="J485" s="37" t="s">
        <v>4047</v>
      </c>
      <c r="K485" s="31" t="s">
        <v>2328</v>
      </c>
      <c r="L485" s="31" t="s">
        <v>381</v>
      </c>
      <c r="M485" s="31" t="s">
        <v>2232</v>
      </c>
      <c r="N485" s="31" t="s">
        <v>2328</v>
      </c>
    </row>
    <row r="486" spans="1:14" ht="75" x14ac:dyDescent="0.25">
      <c r="A486" s="31" t="s">
        <v>2991</v>
      </c>
      <c r="B486" s="32" t="s">
        <v>1553</v>
      </c>
      <c r="C486" s="31" t="b">
        <v>0</v>
      </c>
      <c r="D486" s="31">
        <v>4</v>
      </c>
      <c r="E486" s="35" t="s">
        <v>12</v>
      </c>
      <c r="F486" s="31" t="s">
        <v>131</v>
      </c>
      <c r="G486" s="31" t="s">
        <v>3665</v>
      </c>
      <c r="H486" s="31" t="s">
        <v>3666</v>
      </c>
      <c r="I486" s="31" t="s">
        <v>3842</v>
      </c>
      <c r="J486" s="37" t="s">
        <v>4047</v>
      </c>
      <c r="K486" s="31" t="s">
        <v>2328</v>
      </c>
      <c r="L486" s="31" t="s">
        <v>381</v>
      </c>
      <c r="M486" s="31" t="s">
        <v>2232</v>
      </c>
      <c r="N486" s="31" t="s">
        <v>2328</v>
      </c>
    </row>
    <row r="487" spans="1:14" ht="75" x14ac:dyDescent="0.25">
      <c r="A487" s="31" t="s">
        <v>2992</v>
      </c>
      <c r="B487" s="32" t="s">
        <v>1555</v>
      </c>
      <c r="C487" s="31" t="b">
        <v>0</v>
      </c>
      <c r="D487" s="31">
        <v>4</v>
      </c>
      <c r="E487" s="35" t="s">
        <v>1557</v>
      </c>
      <c r="F487" s="31" t="s">
        <v>131</v>
      </c>
      <c r="G487" s="31" t="s">
        <v>3665</v>
      </c>
      <c r="H487" s="31" t="s">
        <v>3666</v>
      </c>
      <c r="I487" s="31" t="s">
        <v>3842</v>
      </c>
      <c r="J487" s="37" t="s">
        <v>4047</v>
      </c>
      <c r="K487" s="31" t="s">
        <v>2328</v>
      </c>
      <c r="L487" s="31" t="s">
        <v>381</v>
      </c>
      <c r="M487" s="31" t="s">
        <v>2232</v>
      </c>
      <c r="N487" s="31" t="s">
        <v>2328</v>
      </c>
    </row>
    <row r="488" spans="1:14" ht="75" x14ac:dyDescent="0.25">
      <c r="A488" s="31" t="s">
        <v>2993</v>
      </c>
      <c r="B488" s="32" t="s">
        <v>1558</v>
      </c>
      <c r="C488" s="31" t="b">
        <v>0</v>
      </c>
      <c r="D488" s="31">
        <v>4</v>
      </c>
      <c r="E488" s="35" t="s">
        <v>2279</v>
      </c>
      <c r="F488" s="31" t="s">
        <v>131</v>
      </c>
      <c r="G488" s="31" t="s">
        <v>3665</v>
      </c>
      <c r="H488" s="31" t="s">
        <v>3666</v>
      </c>
      <c r="I488" s="31" t="s">
        <v>3842</v>
      </c>
      <c r="J488" s="37" t="s">
        <v>4047</v>
      </c>
      <c r="K488" s="31" t="s">
        <v>2328</v>
      </c>
      <c r="L488" s="31" t="s">
        <v>381</v>
      </c>
      <c r="M488" s="31" t="s">
        <v>2232</v>
      </c>
      <c r="N488" s="31" t="s">
        <v>2328</v>
      </c>
    </row>
    <row r="489" spans="1:14" ht="75" x14ac:dyDescent="0.25">
      <c r="A489" s="31" t="s">
        <v>2989</v>
      </c>
      <c r="B489" s="32" t="s">
        <v>1560</v>
      </c>
      <c r="C489" s="31" t="b">
        <v>1</v>
      </c>
      <c r="D489" s="31">
        <v>2</v>
      </c>
      <c r="E489" s="34" t="s">
        <v>2434</v>
      </c>
      <c r="F489" s="31" t="s">
        <v>3443</v>
      </c>
      <c r="G489" s="31" t="s">
        <v>3665</v>
      </c>
      <c r="H489" s="31" t="s">
        <v>3666</v>
      </c>
      <c r="I489" s="31" t="s">
        <v>3842</v>
      </c>
      <c r="J489" s="37" t="s">
        <v>4047</v>
      </c>
      <c r="K489" s="31" t="s">
        <v>2328</v>
      </c>
      <c r="L489" s="31" t="s">
        <v>381</v>
      </c>
      <c r="M489" s="31" t="s">
        <v>2232</v>
      </c>
      <c r="N489" s="31" t="s">
        <v>2328</v>
      </c>
    </row>
    <row r="490" spans="1:14" ht="75" x14ac:dyDescent="0.25">
      <c r="A490" s="31" t="s">
        <v>2994</v>
      </c>
      <c r="B490" s="32" t="s">
        <v>1562</v>
      </c>
      <c r="C490" s="31" t="b">
        <v>0</v>
      </c>
      <c r="D490" s="31">
        <v>4</v>
      </c>
      <c r="E490" s="35" t="s">
        <v>14</v>
      </c>
      <c r="F490" s="31" t="s">
        <v>131</v>
      </c>
      <c r="G490" s="31" t="s">
        <v>3665</v>
      </c>
      <c r="H490" s="31" t="s">
        <v>3666</v>
      </c>
      <c r="I490" s="31" t="s">
        <v>3842</v>
      </c>
      <c r="J490" s="37" t="s">
        <v>4047</v>
      </c>
      <c r="K490" s="31" t="s">
        <v>2328</v>
      </c>
      <c r="L490" s="31" t="s">
        <v>381</v>
      </c>
      <c r="M490" s="31" t="s">
        <v>2232</v>
      </c>
      <c r="N490" s="31" t="s">
        <v>2328</v>
      </c>
    </row>
    <row r="491" spans="1:14" ht="75" x14ac:dyDescent="0.25">
      <c r="A491" s="31" t="s">
        <v>2995</v>
      </c>
      <c r="B491" s="32" t="s">
        <v>1564</v>
      </c>
      <c r="C491" s="31" t="b">
        <v>0</v>
      </c>
      <c r="D491" s="31">
        <v>4</v>
      </c>
      <c r="E491" s="35" t="s">
        <v>1566</v>
      </c>
      <c r="F491" s="31" t="s">
        <v>131</v>
      </c>
      <c r="G491" s="31" t="s">
        <v>3665</v>
      </c>
      <c r="H491" s="31" t="s">
        <v>3666</v>
      </c>
      <c r="I491" s="31" t="s">
        <v>3842</v>
      </c>
      <c r="J491" s="37" t="s">
        <v>4047</v>
      </c>
      <c r="K491" s="31" t="s">
        <v>2328</v>
      </c>
      <c r="L491" s="31" t="s">
        <v>381</v>
      </c>
      <c r="M491" s="31" t="s">
        <v>2232</v>
      </c>
      <c r="N491" s="31" t="s">
        <v>2328</v>
      </c>
    </row>
    <row r="492" spans="1:14" ht="75" x14ac:dyDescent="0.25">
      <c r="A492" s="31" t="s">
        <v>2996</v>
      </c>
      <c r="B492" s="32" t="s">
        <v>1567</v>
      </c>
      <c r="C492" s="31" t="b">
        <v>0</v>
      </c>
      <c r="D492" s="31">
        <v>4</v>
      </c>
      <c r="E492" s="35" t="s">
        <v>9</v>
      </c>
      <c r="F492" s="31" t="s">
        <v>131</v>
      </c>
      <c r="G492" s="31" t="s">
        <v>3665</v>
      </c>
      <c r="H492" s="31" t="s">
        <v>3666</v>
      </c>
      <c r="I492" s="31" t="s">
        <v>3842</v>
      </c>
      <c r="J492" s="37" t="s">
        <v>4047</v>
      </c>
      <c r="K492" s="31" t="s">
        <v>2328</v>
      </c>
      <c r="L492" s="31" t="s">
        <v>381</v>
      </c>
      <c r="M492" s="31" t="s">
        <v>2232</v>
      </c>
      <c r="N492" s="31" t="s">
        <v>2328</v>
      </c>
    </row>
    <row r="493" spans="1:14" ht="75" x14ac:dyDescent="0.25">
      <c r="A493" s="31" t="s">
        <v>2997</v>
      </c>
      <c r="B493" s="32" t="s">
        <v>1569</v>
      </c>
      <c r="C493" s="31" t="b">
        <v>0</v>
      </c>
      <c r="D493" s="31">
        <v>4</v>
      </c>
      <c r="E493" s="35" t="s">
        <v>1571</v>
      </c>
      <c r="F493" s="31" t="s">
        <v>131</v>
      </c>
      <c r="G493" s="31" t="s">
        <v>3665</v>
      </c>
      <c r="H493" s="31" t="s">
        <v>3666</v>
      </c>
      <c r="I493" s="31" t="s">
        <v>3842</v>
      </c>
      <c r="J493" s="37" t="s">
        <v>4047</v>
      </c>
      <c r="K493" s="31" t="s">
        <v>2328</v>
      </c>
      <c r="L493" s="31" t="s">
        <v>381</v>
      </c>
      <c r="M493" s="31" t="s">
        <v>2232</v>
      </c>
      <c r="N493" s="31" t="s">
        <v>2328</v>
      </c>
    </row>
    <row r="494" spans="1:14" ht="75" x14ac:dyDescent="0.25">
      <c r="A494" s="31" t="s">
        <v>2328</v>
      </c>
      <c r="B494" s="32" t="s">
        <v>1572</v>
      </c>
      <c r="C494" s="31" t="b">
        <v>1</v>
      </c>
      <c r="D494" s="31">
        <v>2</v>
      </c>
      <c r="E494" s="34" t="s">
        <v>2435</v>
      </c>
      <c r="F494" s="31" t="s">
        <v>3443</v>
      </c>
      <c r="G494" s="31" t="s">
        <v>3665</v>
      </c>
      <c r="H494" s="31" t="s">
        <v>3666</v>
      </c>
      <c r="I494" s="31" t="s">
        <v>3842</v>
      </c>
      <c r="J494" s="37" t="s">
        <v>4047</v>
      </c>
      <c r="K494" s="31" t="s">
        <v>2328</v>
      </c>
      <c r="L494" s="31" t="s">
        <v>381</v>
      </c>
      <c r="M494" s="31" t="s">
        <v>2232</v>
      </c>
      <c r="N494" s="31" t="s">
        <v>2328</v>
      </c>
    </row>
    <row r="495" spans="1:14" ht="75" x14ac:dyDescent="0.25">
      <c r="A495" s="31" t="s">
        <v>2998</v>
      </c>
      <c r="B495" s="32" t="s">
        <v>1574</v>
      </c>
      <c r="C495" s="31" t="b">
        <v>0</v>
      </c>
      <c r="D495" s="31">
        <v>4</v>
      </c>
      <c r="E495" s="35" t="s">
        <v>1576</v>
      </c>
      <c r="F495" s="31" t="s">
        <v>131</v>
      </c>
      <c r="G495" s="31" t="s">
        <v>3665</v>
      </c>
      <c r="H495" s="31" t="s">
        <v>3666</v>
      </c>
      <c r="I495" s="31" t="s">
        <v>3842</v>
      </c>
      <c r="J495" s="37" t="s">
        <v>4047</v>
      </c>
      <c r="K495" s="31" t="s">
        <v>2328</v>
      </c>
      <c r="L495" s="31" t="s">
        <v>381</v>
      </c>
      <c r="M495" s="31" t="s">
        <v>2232</v>
      </c>
      <c r="N495" s="31" t="s">
        <v>2328</v>
      </c>
    </row>
    <row r="496" spans="1:14" ht="75" x14ac:dyDescent="0.25">
      <c r="A496" s="31" t="s">
        <v>2999</v>
      </c>
      <c r="B496" s="32" t="s">
        <v>1577</v>
      </c>
      <c r="C496" s="31" t="b">
        <v>0</v>
      </c>
      <c r="D496" s="31">
        <v>4</v>
      </c>
      <c r="E496" s="35" t="s">
        <v>1579</v>
      </c>
      <c r="F496" s="31" t="s">
        <v>131</v>
      </c>
      <c r="G496" s="31" t="s">
        <v>3665</v>
      </c>
      <c r="H496" s="31" t="s">
        <v>3666</v>
      </c>
      <c r="I496" s="31" t="s">
        <v>3842</v>
      </c>
      <c r="J496" s="37" t="s">
        <v>4047</v>
      </c>
      <c r="K496" s="31" t="s">
        <v>2328</v>
      </c>
      <c r="L496" s="31" t="s">
        <v>381</v>
      </c>
      <c r="M496" s="31" t="s">
        <v>2232</v>
      </c>
      <c r="N496" s="31" t="s">
        <v>2328</v>
      </c>
    </row>
    <row r="497" spans="1:14" ht="75" x14ac:dyDescent="0.25">
      <c r="A497" s="31" t="s">
        <v>3000</v>
      </c>
      <c r="B497" s="32" t="s">
        <v>1580</v>
      </c>
      <c r="C497" s="31" t="b">
        <v>0</v>
      </c>
      <c r="D497" s="31">
        <v>4</v>
      </c>
      <c r="E497" s="35" t="s">
        <v>1582</v>
      </c>
      <c r="F497" s="31" t="s">
        <v>131</v>
      </c>
      <c r="G497" s="31" t="s">
        <v>3665</v>
      </c>
      <c r="H497" s="31" t="s">
        <v>3666</v>
      </c>
      <c r="I497" s="31" t="s">
        <v>3842</v>
      </c>
      <c r="J497" s="37" t="s">
        <v>4047</v>
      </c>
      <c r="K497" s="31" t="s">
        <v>2328</v>
      </c>
      <c r="L497" s="31" t="s">
        <v>381</v>
      </c>
      <c r="M497" s="31" t="s">
        <v>2232</v>
      </c>
      <c r="N497" s="31" t="s">
        <v>2328</v>
      </c>
    </row>
    <row r="498" spans="1:14" ht="75" x14ac:dyDescent="0.25">
      <c r="A498" s="31" t="s">
        <v>3001</v>
      </c>
      <c r="B498" s="32" t="s">
        <v>1583</v>
      </c>
      <c r="C498" s="31" t="b">
        <v>0</v>
      </c>
      <c r="D498" s="31">
        <v>4</v>
      </c>
      <c r="E498" s="35" t="s">
        <v>1585</v>
      </c>
      <c r="F498" s="31" t="s">
        <v>131</v>
      </c>
      <c r="G498" s="31" t="s">
        <v>3665</v>
      </c>
      <c r="H498" s="31" t="s">
        <v>3666</v>
      </c>
      <c r="I498" s="31" t="s">
        <v>3842</v>
      </c>
      <c r="J498" s="37" t="s">
        <v>4047</v>
      </c>
      <c r="K498" s="31" t="s">
        <v>2328</v>
      </c>
      <c r="L498" s="31" t="s">
        <v>381</v>
      </c>
      <c r="M498" s="31" t="s">
        <v>2232</v>
      </c>
      <c r="N498" s="31" t="s">
        <v>2328</v>
      </c>
    </row>
    <row r="499" spans="1:14" ht="75" x14ac:dyDescent="0.25">
      <c r="A499" s="31" t="s">
        <v>2328</v>
      </c>
      <c r="B499" s="32" t="s">
        <v>1586</v>
      </c>
      <c r="C499" s="31" t="b">
        <v>1</v>
      </c>
      <c r="D499" s="31">
        <v>0</v>
      </c>
      <c r="E499" s="33" t="s">
        <v>2365</v>
      </c>
      <c r="F499" s="31" t="s">
        <v>3443</v>
      </c>
      <c r="G499" s="31" t="s">
        <v>3665</v>
      </c>
      <c r="H499" s="31" t="s">
        <v>3666</v>
      </c>
      <c r="I499" s="31" t="s">
        <v>3842</v>
      </c>
      <c r="J499" s="37" t="s">
        <v>4047</v>
      </c>
      <c r="K499" s="31" t="s">
        <v>2328</v>
      </c>
      <c r="L499" s="31" t="s">
        <v>383</v>
      </c>
      <c r="M499" s="31" t="s">
        <v>2232</v>
      </c>
      <c r="N499" s="31" t="s">
        <v>2328</v>
      </c>
    </row>
    <row r="500" spans="1:14" ht="75" x14ac:dyDescent="0.25">
      <c r="A500" s="31" t="s">
        <v>2328</v>
      </c>
      <c r="B500" s="32" t="s">
        <v>1587</v>
      </c>
      <c r="C500" s="31" t="b">
        <v>1</v>
      </c>
      <c r="D500" s="31">
        <v>2</v>
      </c>
      <c r="E500" s="34" t="s">
        <v>2421</v>
      </c>
      <c r="F500" s="31" t="s">
        <v>3443</v>
      </c>
      <c r="G500" s="31" t="s">
        <v>3665</v>
      </c>
      <c r="H500" s="31" t="s">
        <v>3666</v>
      </c>
      <c r="I500" s="31" t="s">
        <v>3842</v>
      </c>
      <c r="J500" s="37" t="s">
        <v>4047</v>
      </c>
      <c r="K500" s="31" t="s">
        <v>2328</v>
      </c>
      <c r="L500" s="31" t="s">
        <v>386</v>
      </c>
      <c r="M500" s="31" t="s">
        <v>2232</v>
      </c>
      <c r="N500" s="31" t="s">
        <v>2328</v>
      </c>
    </row>
    <row r="501" spans="1:14" ht="75" x14ac:dyDescent="0.25">
      <c r="A501" s="31" t="s">
        <v>3002</v>
      </c>
      <c r="B501" s="32" t="s">
        <v>1589</v>
      </c>
      <c r="C501" s="31" t="b">
        <v>0</v>
      </c>
      <c r="D501" s="31">
        <v>4</v>
      </c>
      <c r="E501" s="35" t="s">
        <v>387</v>
      </c>
      <c r="F501" s="31" t="s">
        <v>131</v>
      </c>
      <c r="G501" s="31" t="s">
        <v>3665</v>
      </c>
      <c r="H501" s="31" t="s">
        <v>3666</v>
      </c>
      <c r="I501" s="31" t="s">
        <v>3842</v>
      </c>
      <c r="J501" s="37" t="s">
        <v>4047</v>
      </c>
      <c r="K501" s="31" t="s">
        <v>2328</v>
      </c>
      <c r="L501" s="31" t="s">
        <v>386</v>
      </c>
      <c r="M501" s="31" t="s">
        <v>2232</v>
      </c>
      <c r="N501" s="31" t="s">
        <v>2328</v>
      </c>
    </row>
    <row r="502" spans="1:14" ht="75" x14ac:dyDescent="0.25">
      <c r="A502" s="31" t="s">
        <v>3003</v>
      </c>
      <c r="B502" s="32" t="s">
        <v>1591</v>
      </c>
      <c r="C502" s="31" t="b">
        <v>0</v>
      </c>
      <c r="D502" s="31">
        <v>4</v>
      </c>
      <c r="E502" s="35" t="s">
        <v>1593</v>
      </c>
      <c r="F502" s="31" t="s">
        <v>131</v>
      </c>
      <c r="G502" s="31" t="s">
        <v>3665</v>
      </c>
      <c r="H502" s="31" t="s">
        <v>3666</v>
      </c>
      <c r="I502" s="31" t="s">
        <v>3842</v>
      </c>
      <c r="J502" s="37" t="s">
        <v>4047</v>
      </c>
      <c r="K502" s="31" t="s">
        <v>2328</v>
      </c>
      <c r="L502" s="31" t="s">
        <v>386</v>
      </c>
      <c r="M502" s="31" t="s">
        <v>2232</v>
      </c>
      <c r="N502" s="31" t="s">
        <v>2328</v>
      </c>
    </row>
    <row r="503" spans="1:14" ht="75" x14ac:dyDescent="0.25">
      <c r="A503" s="31" t="s">
        <v>2328</v>
      </c>
      <c r="B503" s="32" t="s">
        <v>1594</v>
      </c>
      <c r="C503" s="31" t="b">
        <v>0</v>
      </c>
      <c r="D503" s="31">
        <v>4</v>
      </c>
      <c r="E503" s="35" t="s">
        <v>1596</v>
      </c>
      <c r="F503" s="31" t="s">
        <v>139</v>
      </c>
      <c r="G503" s="31" t="s">
        <v>3665</v>
      </c>
      <c r="H503" s="31" t="s">
        <v>3666</v>
      </c>
      <c r="I503" s="31" t="s">
        <v>3842</v>
      </c>
      <c r="J503" s="37" t="s">
        <v>4047</v>
      </c>
      <c r="K503" s="31" t="s">
        <v>2328</v>
      </c>
      <c r="L503" s="31" t="s">
        <v>386</v>
      </c>
      <c r="M503" s="31" t="s">
        <v>2232</v>
      </c>
      <c r="N503" s="31" t="s">
        <v>2328</v>
      </c>
    </row>
    <row r="504" spans="1:14" ht="75" x14ac:dyDescent="0.25">
      <c r="A504" s="31" t="s">
        <v>2328</v>
      </c>
      <c r="B504" s="32" t="s">
        <v>1597</v>
      </c>
      <c r="C504" s="31" t="b">
        <v>1</v>
      </c>
      <c r="D504" s="31">
        <v>2</v>
      </c>
      <c r="E504" s="34" t="s">
        <v>2422</v>
      </c>
      <c r="F504" s="31" t="s">
        <v>3443</v>
      </c>
      <c r="G504" s="31" t="s">
        <v>3665</v>
      </c>
      <c r="H504" s="31" t="s">
        <v>3666</v>
      </c>
      <c r="I504" s="31" t="s">
        <v>3842</v>
      </c>
      <c r="J504" s="37" t="s">
        <v>4047</v>
      </c>
      <c r="K504" s="31" t="s">
        <v>2328</v>
      </c>
      <c r="L504" s="31" t="s">
        <v>388</v>
      </c>
      <c r="M504" s="31" t="s">
        <v>2232</v>
      </c>
      <c r="N504" s="31" t="s">
        <v>2328</v>
      </c>
    </row>
    <row r="505" spans="1:14" ht="75" x14ac:dyDescent="0.25">
      <c r="A505" s="31" t="s">
        <v>3004</v>
      </c>
      <c r="B505" s="32" t="s">
        <v>1598</v>
      </c>
      <c r="C505" s="31" t="b">
        <v>0</v>
      </c>
      <c r="D505" s="31">
        <v>4</v>
      </c>
      <c r="E505" s="35" t="s">
        <v>1600</v>
      </c>
      <c r="F505" s="31" t="s">
        <v>131</v>
      </c>
      <c r="G505" s="31" t="s">
        <v>3665</v>
      </c>
      <c r="H505" s="31" t="s">
        <v>3666</v>
      </c>
      <c r="I505" s="31" t="s">
        <v>3842</v>
      </c>
      <c r="J505" s="37" t="s">
        <v>4047</v>
      </c>
      <c r="K505" s="31" t="s">
        <v>2328</v>
      </c>
      <c r="L505" s="31" t="s">
        <v>388</v>
      </c>
      <c r="M505" s="31" t="s">
        <v>2232</v>
      </c>
      <c r="N505" s="31" t="s">
        <v>2328</v>
      </c>
    </row>
    <row r="506" spans="1:14" ht="75" x14ac:dyDescent="0.25">
      <c r="A506" s="31" t="s">
        <v>2328</v>
      </c>
      <c r="B506" s="32" t="s">
        <v>1601</v>
      </c>
      <c r="C506" s="31" t="b">
        <v>1</v>
      </c>
      <c r="D506" s="31">
        <v>2</v>
      </c>
      <c r="E506" s="34" t="s">
        <v>2423</v>
      </c>
      <c r="F506" s="31" t="s">
        <v>3443</v>
      </c>
      <c r="G506" s="31" t="s">
        <v>3665</v>
      </c>
      <c r="H506" s="31" t="s">
        <v>3666</v>
      </c>
      <c r="I506" s="31" t="s">
        <v>3842</v>
      </c>
      <c r="J506" s="37" t="s">
        <v>4047</v>
      </c>
      <c r="K506" s="31" t="s">
        <v>2328</v>
      </c>
      <c r="L506" s="31" t="s">
        <v>391</v>
      </c>
      <c r="M506" s="31" t="s">
        <v>2232</v>
      </c>
      <c r="N506" s="31" t="s">
        <v>2328</v>
      </c>
    </row>
    <row r="507" spans="1:14" ht="75" x14ac:dyDescent="0.25">
      <c r="A507" s="31" t="s">
        <v>3005</v>
      </c>
      <c r="B507" s="32" t="s">
        <v>1603</v>
      </c>
      <c r="C507" s="31" t="b">
        <v>0</v>
      </c>
      <c r="D507" s="31">
        <v>2</v>
      </c>
      <c r="E507" s="34" t="s">
        <v>1605</v>
      </c>
      <c r="F507" s="31" t="s">
        <v>131</v>
      </c>
      <c r="G507" s="31" t="s">
        <v>3665</v>
      </c>
      <c r="H507" s="31" t="s">
        <v>3666</v>
      </c>
      <c r="I507" s="31" t="s">
        <v>3842</v>
      </c>
      <c r="J507" s="37" t="s">
        <v>4047</v>
      </c>
      <c r="K507" s="31" t="s">
        <v>2328</v>
      </c>
      <c r="L507" s="31" t="s">
        <v>391</v>
      </c>
      <c r="M507" s="31" t="s">
        <v>2232</v>
      </c>
      <c r="N507" s="31" t="s">
        <v>2328</v>
      </c>
    </row>
    <row r="508" spans="1:14" ht="75" x14ac:dyDescent="0.25">
      <c r="A508" s="31" t="s">
        <v>2328</v>
      </c>
      <c r="B508" s="32" t="s">
        <v>798</v>
      </c>
      <c r="C508" s="31" t="b">
        <v>1</v>
      </c>
      <c r="D508" s="31">
        <v>0</v>
      </c>
      <c r="E508" s="33" t="s">
        <v>2366</v>
      </c>
      <c r="F508" s="31" t="s">
        <v>3443</v>
      </c>
      <c r="G508" s="31" t="s">
        <v>3665</v>
      </c>
      <c r="H508" s="31" t="s">
        <v>3666</v>
      </c>
      <c r="I508" s="31" t="s">
        <v>3842</v>
      </c>
      <c r="J508" s="37" t="s">
        <v>4047</v>
      </c>
      <c r="K508" s="31" t="s">
        <v>2328</v>
      </c>
      <c r="L508" s="31" t="s">
        <v>398</v>
      </c>
      <c r="M508" s="31" t="s">
        <v>2232</v>
      </c>
      <c r="N508" s="31" t="s">
        <v>2328</v>
      </c>
    </row>
    <row r="509" spans="1:14" ht="75" x14ac:dyDescent="0.25">
      <c r="A509" s="31" t="s">
        <v>3006</v>
      </c>
      <c r="B509" s="32" t="s">
        <v>799</v>
      </c>
      <c r="C509" s="31" t="b">
        <v>0</v>
      </c>
      <c r="D509" s="31">
        <v>2</v>
      </c>
      <c r="E509" s="34" t="s">
        <v>800</v>
      </c>
      <c r="F509" s="31" t="s">
        <v>131</v>
      </c>
      <c r="G509" s="31" t="s">
        <v>3665</v>
      </c>
      <c r="H509" s="31" t="s">
        <v>3666</v>
      </c>
      <c r="I509" s="31" t="s">
        <v>3842</v>
      </c>
      <c r="J509" s="37" t="s">
        <v>4047</v>
      </c>
      <c r="K509" s="31" t="s">
        <v>2328</v>
      </c>
      <c r="L509" s="31" t="s">
        <v>398</v>
      </c>
      <c r="M509" s="31" t="s">
        <v>2232</v>
      </c>
      <c r="N509" s="31" t="s">
        <v>2328</v>
      </c>
    </row>
    <row r="510" spans="1:14" ht="75" x14ac:dyDescent="0.25">
      <c r="A510" s="31" t="s">
        <v>2328</v>
      </c>
      <c r="B510" s="32" t="s">
        <v>1606</v>
      </c>
      <c r="C510" s="31" t="b">
        <v>1</v>
      </c>
      <c r="D510" s="31">
        <v>0</v>
      </c>
      <c r="E510" s="33" t="s">
        <v>2368</v>
      </c>
      <c r="F510" s="31" t="s">
        <v>3443</v>
      </c>
      <c r="G510" s="31" t="s">
        <v>3665</v>
      </c>
      <c r="H510" s="31" t="s">
        <v>3666</v>
      </c>
      <c r="I510" s="31" t="s">
        <v>3842</v>
      </c>
      <c r="J510" s="37" t="s">
        <v>4047</v>
      </c>
      <c r="K510" s="31" t="s">
        <v>2328</v>
      </c>
      <c r="L510" s="31" t="s">
        <v>399</v>
      </c>
      <c r="M510" s="31" t="s">
        <v>2232</v>
      </c>
      <c r="N510" s="31" t="s">
        <v>2328</v>
      </c>
    </row>
    <row r="511" spans="1:14" ht="75" x14ac:dyDescent="0.25">
      <c r="A511" s="31" t="s">
        <v>3007</v>
      </c>
      <c r="B511" s="32" t="s">
        <v>1607</v>
      </c>
      <c r="C511" s="31" t="b">
        <v>1</v>
      </c>
      <c r="D511" s="31">
        <v>2</v>
      </c>
      <c r="E511" s="34" t="s">
        <v>3550</v>
      </c>
      <c r="F511" s="31" t="s">
        <v>3443</v>
      </c>
      <c r="G511" s="31" t="s">
        <v>3665</v>
      </c>
      <c r="H511" s="31" t="s">
        <v>3666</v>
      </c>
      <c r="I511" s="31" t="s">
        <v>3842</v>
      </c>
      <c r="J511" s="37" t="s">
        <v>4047</v>
      </c>
      <c r="K511" s="31" t="s">
        <v>2328</v>
      </c>
      <c r="L511" s="31" t="s">
        <v>402</v>
      </c>
      <c r="M511" s="31" t="s">
        <v>2232</v>
      </c>
      <c r="N511" s="31" t="s">
        <v>2328</v>
      </c>
    </row>
    <row r="512" spans="1:14" ht="75" x14ac:dyDescent="0.25">
      <c r="A512" s="31" t="s">
        <v>3007</v>
      </c>
      <c r="B512" s="32" t="s">
        <v>3487</v>
      </c>
      <c r="C512" s="31" t="b">
        <v>0</v>
      </c>
      <c r="D512" s="31">
        <v>4</v>
      </c>
      <c r="E512" s="35" t="s">
        <v>3489</v>
      </c>
      <c r="F512" s="31" t="s">
        <v>139</v>
      </c>
      <c r="G512" s="31" t="s">
        <v>3665</v>
      </c>
      <c r="H512" s="31" t="s">
        <v>3666</v>
      </c>
      <c r="I512" s="31" t="s">
        <v>3842</v>
      </c>
      <c r="J512" s="37" t="s">
        <v>4047</v>
      </c>
      <c r="K512" s="31" t="s">
        <v>2328</v>
      </c>
      <c r="L512" s="31" t="s">
        <v>2328</v>
      </c>
      <c r="M512" s="31" t="s">
        <v>2232</v>
      </c>
      <c r="N512" s="31" t="s">
        <v>2328</v>
      </c>
    </row>
    <row r="513" spans="1:14" ht="75" x14ac:dyDescent="0.25">
      <c r="A513" s="31" t="s">
        <v>2328</v>
      </c>
      <c r="B513" s="32" t="s">
        <v>1608</v>
      </c>
      <c r="C513" s="31" t="b">
        <v>1</v>
      </c>
      <c r="D513" s="31">
        <v>4</v>
      </c>
      <c r="E513" s="35" t="s">
        <v>3347</v>
      </c>
      <c r="F513" s="31" t="s">
        <v>3443</v>
      </c>
      <c r="G513" s="31" t="s">
        <v>3665</v>
      </c>
      <c r="H513" s="31" t="s">
        <v>3666</v>
      </c>
      <c r="I513" s="31" t="s">
        <v>3842</v>
      </c>
      <c r="J513" s="37" t="s">
        <v>4047</v>
      </c>
      <c r="K513" s="31" t="s">
        <v>2328</v>
      </c>
      <c r="L513" s="31" t="s">
        <v>402</v>
      </c>
      <c r="M513" s="31" t="s">
        <v>2232</v>
      </c>
      <c r="N513" s="31" t="s">
        <v>2328</v>
      </c>
    </row>
    <row r="514" spans="1:14" ht="75" x14ac:dyDescent="0.25">
      <c r="A514" s="31" t="s">
        <v>3008</v>
      </c>
      <c r="B514" s="32" t="s">
        <v>1610</v>
      </c>
      <c r="C514" s="31" t="b">
        <v>0</v>
      </c>
      <c r="D514" s="31">
        <v>6</v>
      </c>
      <c r="E514" s="38" t="s">
        <v>35</v>
      </c>
      <c r="F514" s="31" t="s">
        <v>131</v>
      </c>
      <c r="G514" s="31" t="s">
        <v>3665</v>
      </c>
      <c r="H514" s="31" t="s">
        <v>3666</v>
      </c>
      <c r="I514" s="31" t="s">
        <v>3842</v>
      </c>
      <c r="J514" s="37" t="s">
        <v>4047</v>
      </c>
      <c r="K514" s="31" t="s">
        <v>2328</v>
      </c>
      <c r="L514" s="31" t="s">
        <v>402</v>
      </c>
      <c r="M514" s="31" t="s">
        <v>2232</v>
      </c>
      <c r="N514" s="31" t="s">
        <v>2328</v>
      </c>
    </row>
    <row r="515" spans="1:14" ht="75" x14ac:dyDescent="0.25">
      <c r="A515" s="31" t="s">
        <v>3009</v>
      </c>
      <c r="B515" s="32" t="s">
        <v>1611</v>
      </c>
      <c r="C515" s="31" t="b">
        <v>0</v>
      </c>
      <c r="D515" s="31">
        <v>6</v>
      </c>
      <c r="E515" s="38" t="s">
        <v>1612</v>
      </c>
      <c r="F515" s="31" t="s">
        <v>131</v>
      </c>
      <c r="G515" s="31" t="s">
        <v>3665</v>
      </c>
      <c r="H515" s="31" t="s">
        <v>3666</v>
      </c>
      <c r="I515" s="31" t="s">
        <v>3842</v>
      </c>
      <c r="J515" s="37" t="s">
        <v>4047</v>
      </c>
      <c r="K515" s="31" t="s">
        <v>2328</v>
      </c>
      <c r="L515" s="31" t="s">
        <v>402</v>
      </c>
      <c r="M515" s="31" t="s">
        <v>2232</v>
      </c>
      <c r="N515" s="31" t="s">
        <v>2328</v>
      </c>
    </row>
    <row r="516" spans="1:14" ht="75" x14ac:dyDescent="0.25">
      <c r="A516" s="31" t="s">
        <v>3010</v>
      </c>
      <c r="B516" s="32" t="s">
        <v>1613</v>
      </c>
      <c r="C516" s="31" t="b">
        <v>0</v>
      </c>
      <c r="D516" s="31">
        <v>6</v>
      </c>
      <c r="E516" s="38" t="s">
        <v>1614</v>
      </c>
      <c r="F516" s="31" t="s">
        <v>131</v>
      </c>
      <c r="G516" s="31" t="s">
        <v>3665</v>
      </c>
      <c r="H516" s="31" t="s">
        <v>3666</v>
      </c>
      <c r="I516" s="31" t="s">
        <v>3842</v>
      </c>
      <c r="J516" s="37" t="s">
        <v>4047</v>
      </c>
      <c r="K516" s="31" t="s">
        <v>2328</v>
      </c>
      <c r="L516" s="31" t="s">
        <v>402</v>
      </c>
      <c r="M516" s="31" t="s">
        <v>2232</v>
      </c>
      <c r="N516" s="31" t="s">
        <v>2328</v>
      </c>
    </row>
    <row r="517" spans="1:14" ht="75" x14ac:dyDescent="0.25">
      <c r="A517" s="31" t="s">
        <v>3011</v>
      </c>
      <c r="B517" s="32" t="s">
        <v>1615</v>
      </c>
      <c r="C517" s="31" t="b">
        <v>0</v>
      </c>
      <c r="D517" s="31">
        <v>6</v>
      </c>
      <c r="E517" s="38" t="s">
        <v>1616</v>
      </c>
      <c r="F517" s="31" t="s">
        <v>131</v>
      </c>
      <c r="G517" s="31" t="s">
        <v>3665</v>
      </c>
      <c r="H517" s="31" t="s">
        <v>3666</v>
      </c>
      <c r="I517" s="31" t="s">
        <v>3842</v>
      </c>
      <c r="J517" s="37" t="s">
        <v>4047</v>
      </c>
      <c r="K517" s="31" t="s">
        <v>2328</v>
      </c>
      <c r="L517" s="31" t="s">
        <v>402</v>
      </c>
      <c r="M517" s="31" t="s">
        <v>2232</v>
      </c>
      <c r="N517" s="31" t="s">
        <v>2328</v>
      </c>
    </row>
    <row r="518" spans="1:14" ht="45" x14ac:dyDescent="0.25">
      <c r="A518" s="31" t="s">
        <v>2328</v>
      </c>
      <c r="B518" s="32" t="s">
        <v>3706</v>
      </c>
      <c r="C518" s="31" t="b">
        <v>0</v>
      </c>
      <c r="D518" s="31">
        <v>6</v>
      </c>
      <c r="E518" s="38" t="s">
        <v>3708</v>
      </c>
      <c r="F518" s="31" t="s">
        <v>131</v>
      </c>
      <c r="G518" s="31" t="s">
        <v>2328</v>
      </c>
      <c r="H518" s="31" t="s">
        <v>2328</v>
      </c>
      <c r="I518" s="31" t="s">
        <v>3842</v>
      </c>
      <c r="J518" s="37" t="s">
        <v>4048</v>
      </c>
      <c r="K518" s="31" t="s">
        <v>2328</v>
      </c>
      <c r="L518" s="31" t="s">
        <v>3709</v>
      </c>
      <c r="M518" s="31" t="s">
        <v>2232</v>
      </c>
      <c r="N518" s="31" t="s">
        <v>2328</v>
      </c>
    </row>
    <row r="519" spans="1:14" ht="135" x14ac:dyDescent="0.25">
      <c r="A519" s="31" t="s">
        <v>2328</v>
      </c>
      <c r="B519" s="32" t="s">
        <v>3710</v>
      </c>
      <c r="C519" s="31" t="b">
        <v>0</v>
      </c>
      <c r="D519" s="31">
        <v>6</v>
      </c>
      <c r="E519" s="38" t="s">
        <v>3712</v>
      </c>
      <c r="F519" s="31" t="s">
        <v>131</v>
      </c>
      <c r="G519" s="31" t="s">
        <v>2328</v>
      </c>
      <c r="H519" s="31" t="s">
        <v>2328</v>
      </c>
      <c r="I519" s="31" t="s">
        <v>3842</v>
      </c>
      <c r="J519" s="37" t="s">
        <v>4048</v>
      </c>
      <c r="K519" s="31" t="s">
        <v>2328</v>
      </c>
      <c r="L519" s="31" t="s">
        <v>3709</v>
      </c>
      <c r="M519" s="31" t="s">
        <v>2232</v>
      </c>
      <c r="N519" s="31" t="s">
        <v>2328</v>
      </c>
    </row>
    <row r="520" spans="1:14" ht="75" x14ac:dyDescent="0.25">
      <c r="A520" s="31" t="s">
        <v>2328</v>
      </c>
      <c r="B520" s="32" t="s">
        <v>1617</v>
      </c>
      <c r="C520" s="31" t="b">
        <v>1</v>
      </c>
      <c r="D520" s="31">
        <v>4</v>
      </c>
      <c r="E520" s="35" t="s">
        <v>3348</v>
      </c>
      <c r="F520" s="31" t="s">
        <v>3443</v>
      </c>
      <c r="G520" s="31" t="s">
        <v>3665</v>
      </c>
      <c r="H520" s="31" t="s">
        <v>3666</v>
      </c>
      <c r="I520" s="31" t="s">
        <v>3842</v>
      </c>
      <c r="J520" s="37" t="s">
        <v>4047</v>
      </c>
      <c r="K520" s="31" t="s">
        <v>2328</v>
      </c>
      <c r="L520" s="31" t="s">
        <v>402</v>
      </c>
      <c r="M520" s="31" t="s">
        <v>2232</v>
      </c>
      <c r="N520" s="31" t="s">
        <v>2328</v>
      </c>
    </row>
    <row r="521" spans="1:14" ht="75" x14ac:dyDescent="0.25">
      <c r="A521" s="31" t="s">
        <v>3012</v>
      </c>
      <c r="B521" s="32" t="s">
        <v>1619</v>
      </c>
      <c r="C521" s="31" t="b">
        <v>0</v>
      </c>
      <c r="D521" s="31">
        <v>6</v>
      </c>
      <c r="E521" s="38" t="s">
        <v>1620</v>
      </c>
      <c r="F521" s="31" t="s">
        <v>131</v>
      </c>
      <c r="G521" s="31" t="s">
        <v>3665</v>
      </c>
      <c r="H521" s="31" t="s">
        <v>3666</v>
      </c>
      <c r="I521" s="31" t="s">
        <v>3842</v>
      </c>
      <c r="J521" s="37" t="s">
        <v>4047</v>
      </c>
      <c r="K521" s="31" t="s">
        <v>2328</v>
      </c>
      <c r="L521" s="31" t="s">
        <v>402</v>
      </c>
      <c r="M521" s="31" t="s">
        <v>2232</v>
      </c>
      <c r="N521" s="31" t="s">
        <v>2328</v>
      </c>
    </row>
    <row r="522" spans="1:14" ht="75" x14ac:dyDescent="0.25">
      <c r="A522" s="31" t="s">
        <v>2328</v>
      </c>
      <c r="B522" s="32" t="s">
        <v>1621</v>
      </c>
      <c r="C522" s="31" t="b">
        <v>1</v>
      </c>
      <c r="D522" s="31">
        <v>4</v>
      </c>
      <c r="E522" s="35" t="s">
        <v>3349</v>
      </c>
      <c r="F522" s="31" t="s">
        <v>3443</v>
      </c>
      <c r="G522" s="31" t="s">
        <v>3665</v>
      </c>
      <c r="H522" s="31" t="s">
        <v>3666</v>
      </c>
      <c r="I522" s="31" t="s">
        <v>3842</v>
      </c>
      <c r="J522" s="37" t="s">
        <v>4047</v>
      </c>
      <c r="K522" s="31" t="s">
        <v>2328</v>
      </c>
      <c r="L522" s="31" t="s">
        <v>402</v>
      </c>
      <c r="M522" s="31" t="s">
        <v>2232</v>
      </c>
      <c r="N522" s="31" t="s">
        <v>2328</v>
      </c>
    </row>
    <row r="523" spans="1:14" ht="75" x14ac:dyDescent="0.25">
      <c r="A523" s="31" t="s">
        <v>3013</v>
      </c>
      <c r="B523" s="32" t="s">
        <v>1623</v>
      </c>
      <c r="C523" s="31" t="b">
        <v>0</v>
      </c>
      <c r="D523" s="31">
        <v>6</v>
      </c>
      <c r="E523" s="38" t="s">
        <v>1624</v>
      </c>
      <c r="F523" s="31" t="s">
        <v>131</v>
      </c>
      <c r="G523" s="31" t="s">
        <v>3665</v>
      </c>
      <c r="H523" s="31" t="s">
        <v>3666</v>
      </c>
      <c r="I523" s="31" t="s">
        <v>3842</v>
      </c>
      <c r="J523" s="37" t="s">
        <v>4047</v>
      </c>
      <c r="K523" s="31" t="s">
        <v>2328</v>
      </c>
      <c r="L523" s="31" t="s">
        <v>402</v>
      </c>
      <c r="M523" s="31" t="s">
        <v>2232</v>
      </c>
      <c r="N523" s="31" t="s">
        <v>2328</v>
      </c>
    </row>
    <row r="524" spans="1:14" ht="75" x14ac:dyDescent="0.25">
      <c r="A524" s="31" t="s">
        <v>3014</v>
      </c>
      <c r="B524" s="32" t="s">
        <v>1625</v>
      </c>
      <c r="C524" s="31" t="b">
        <v>0</v>
      </c>
      <c r="D524" s="31">
        <v>6</v>
      </c>
      <c r="E524" s="38" t="s">
        <v>1626</v>
      </c>
      <c r="F524" s="31" t="s">
        <v>131</v>
      </c>
      <c r="G524" s="31" t="s">
        <v>3665</v>
      </c>
      <c r="H524" s="31" t="s">
        <v>3666</v>
      </c>
      <c r="I524" s="31" t="s">
        <v>3842</v>
      </c>
      <c r="J524" s="37" t="s">
        <v>4047</v>
      </c>
      <c r="K524" s="31" t="s">
        <v>2328</v>
      </c>
      <c r="L524" s="31" t="s">
        <v>402</v>
      </c>
      <c r="M524" s="31" t="s">
        <v>2232</v>
      </c>
      <c r="N524" s="31" t="s">
        <v>2328</v>
      </c>
    </row>
    <row r="525" spans="1:14" ht="75" x14ac:dyDescent="0.25">
      <c r="A525" s="31" t="s">
        <v>3015</v>
      </c>
      <c r="B525" s="32" t="s">
        <v>1627</v>
      </c>
      <c r="C525" s="31" t="b">
        <v>0</v>
      </c>
      <c r="D525" s="31">
        <v>6</v>
      </c>
      <c r="E525" s="38" t="s">
        <v>1628</v>
      </c>
      <c r="F525" s="31" t="s">
        <v>131</v>
      </c>
      <c r="G525" s="31" t="s">
        <v>3665</v>
      </c>
      <c r="H525" s="31" t="s">
        <v>3666</v>
      </c>
      <c r="I525" s="31" t="s">
        <v>3842</v>
      </c>
      <c r="J525" s="37" t="s">
        <v>4047</v>
      </c>
      <c r="K525" s="31" t="s">
        <v>2328</v>
      </c>
      <c r="L525" s="31" t="s">
        <v>402</v>
      </c>
      <c r="M525" s="31" t="s">
        <v>2232</v>
      </c>
      <c r="N525" s="31" t="s">
        <v>2328</v>
      </c>
    </row>
    <row r="526" spans="1:14" ht="75" x14ac:dyDescent="0.25">
      <c r="A526" s="31" t="s">
        <v>3016</v>
      </c>
      <c r="B526" s="32" t="s">
        <v>1629</v>
      </c>
      <c r="C526" s="31" t="b">
        <v>0</v>
      </c>
      <c r="D526" s="31">
        <v>6</v>
      </c>
      <c r="E526" s="38" t="s">
        <v>1630</v>
      </c>
      <c r="F526" s="31" t="s">
        <v>131</v>
      </c>
      <c r="G526" s="31" t="s">
        <v>3665</v>
      </c>
      <c r="H526" s="31" t="s">
        <v>3666</v>
      </c>
      <c r="I526" s="31" t="s">
        <v>3842</v>
      </c>
      <c r="J526" s="37" t="s">
        <v>4047</v>
      </c>
      <c r="K526" s="31" t="s">
        <v>2328</v>
      </c>
      <c r="L526" s="31" t="s">
        <v>402</v>
      </c>
      <c r="M526" s="31" t="s">
        <v>2232</v>
      </c>
      <c r="N526" s="31" t="s">
        <v>2328</v>
      </c>
    </row>
    <row r="527" spans="1:14" ht="75" x14ac:dyDescent="0.25">
      <c r="A527" s="31" t="s">
        <v>3017</v>
      </c>
      <c r="B527" s="32" t="s">
        <v>1631</v>
      </c>
      <c r="C527" s="31" t="b">
        <v>0</v>
      </c>
      <c r="D527" s="31">
        <v>6</v>
      </c>
      <c r="E527" s="38" t="s">
        <v>1632</v>
      </c>
      <c r="F527" s="31" t="s">
        <v>131</v>
      </c>
      <c r="G527" s="31" t="s">
        <v>3665</v>
      </c>
      <c r="H527" s="31" t="s">
        <v>3666</v>
      </c>
      <c r="I527" s="31" t="s">
        <v>3842</v>
      </c>
      <c r="J527" s="37" t="s">
        <v>4047</v>
      </c>
      <c r="K527" s="31" t="s">
        <v>2328</v>
      </c>
      <c r="L527" s="31" t="s">
        <v>402</v>
      </c>
      <c r="M527" s="31" t="s">
        <v>2232</v>
      </c>
      <c r="N527" s="31" t="s">
        <v>2328</v>
      </c>
    </row>
    <row r="528" spans="1:14" ht="75" x14ac:dyDescent="0.25">
      <c r="A528" s="31" t="s">
        <v>2328</v>
      </c>
      <c r="B528" s="32" t="s">
        <v>1633</v>
      </c>
      <c r="C528" s="31" t="b">
        <v>1</v>
      </c>
      <c r="D528" s="31">
        <v>4</v>
      </c>
      <c r="E528" s="35" t="s">
        <v>3350</v>
      </c>
      <c r="F528" s="31" t="s">
        <v>3443</v>
      </c>
      <c r="G528" s="31" t="s">
        <v>3665</v>
      </c>
      <c r="H528" s="31" t="s">
        <v>3666</v>
      </c>
      <c r="I528" s="31" t="s">
        <v>3842</v>
      </c>
      <c r="J528" s="37" t="s">
        <v>4047</v>
      </c>
      <c r="K528" s="31" t="s">
        <v>2328</v>
      </c>
      <c r="L528" s="31" t="s">
        <v>402</v>
      </c>
      <c r="M528" s="31" t="s">
        <v>2232</v>
      </c>
      <c r="N528" s="31" t="s">
        <v>2328</v>
      </c>
    </row>
    <row r="529" spans="1:14" ht="75" x14ac:dyDescent="0.25">
      <c r="A529" s="31" t="s">
        <v>2328</v>
      </c>
      <c r="B529" s="32" t="s">
        <v>1635</v>
      </c>
      <c r="C529" s="31" t="b">
        <v>0</v>
      </c>
      <c r="D529" s="31">
        <v>6</v>
      </c>
      <c r="E529" s="38" t="s">
        <v>1636</v>
      </c>
      <c r="F529" s="31" t="s">
        <v>131</v>
      </c>
      <c r="G529" s="31" t="s">
        <v>3665</v>
      </c>
      <c r="H529" s="31" t="s">
        <v>3666</v>
      </c>
      <c r="I529" s="31" t="s">
        <v>3842</v>
      </c>
      <c r="J529" s="37" t="s">
        <v>4047</v>
      </c>
      <c r="K529" s="31" t="s">
        <v>2328</v>
      </c>
      <c r="L529" s="31" t="s">
        <v>402</v>
      </c>
      <c r="M529" s="31" t="s">
        <v>2232</v>
      </c>
      <c r="N529" s="31" t="s">
        <v>2328</v>
      </c>
    </row>
    <row r="530" spans="1:14" ht="75" x14ac:dyDescent="0.25">
      <c r="A530" s="31" t="s">
        <v>3018</v>
      </c>
      <c r="B530" s="32" t="s">
        <v>1637</v>
      </c>
      <c r="C530" s="31" t="b">
        <v>0</v>
      </c>
      <c r="D530" s="31">
        <v>6</v>
      </c>
      <c r="E530" s="38" t="s">
        <v>1638</v>
      </c>
      <c r="F530" s="31" t="s">
        <v>131</v>
      </c>
      <c r="G530" s="31" t="s">
        <v>3665</v>
      </c>
      <c r="H530" s="31" t="s">
        <v>3666</v>
      </c>
      <c r="I530" s="31" t="s">
        <v>3842</v>
      </c>
      <c r="J530" s="37" t="s">
        <v>4047</v>
      </c>
      <c r="K530" s="31" t="s">
        <v>2328</v>
      </c>
      <c r="L530" s="31" t="s">
        <v>402</v>
      </c>
      <c r="M530" s="31" t="s">
        <v>2232</v>
      </c>
      <c r="N530" s="31" t="s">
        <v>2328</v>
      </c>
    </row>
    <row r="531" spans="1:14" ht="75" x14ac:dyDescent="0.25">
      <c r="A531" s="31" t="s">
        <v>3019</v>
      </c>
      <c r="B531" s="32" t="s">
        <v>1639</v>
      </c>
      <c r="C531" s="31" t="b">
        <v>0</v>
      </c>
      <c r="D531" s="31">
        <v>6</v>
      </c>
      <c r="E531" s="38" t="s">
        <v>1640</v>
      </c>
      <c r="F531" s="31" t="s">
        <v>131</v>
      </c>
      <c r="G531" s="31" t="s">
        <v>3665</v>
      </c>
      <c r="H531" s="31" t="s">
        <v>3666</v>
      </c>
      <c r="I531" s="31" t="s">
        <v>3842</v>
      </c>
      <c r="J531" s="37" t="s">
        <v>4047</v>
      </c>
      <c r="K531" s="31" t="s">
        <v>2328</v>
      </c>
      <c r="L531" s="31" t="s">
        <v>402</v>
      </c>
      <c r="M531" s="31" t="s">
        <v>2232</v>
      </c>
      <c r="N531" s="31" t="s">
        <v>2328</v>
      </c>
    </row>
    <row r="532" spans="1:14" ht="75" x14ac:dyDescent="0.25">
      <c r="A532" s="31" t="s">
        <v>3020</v>
      </c>
      <c r="B532" s="32" t="s">
        <v>1641</v>
      </c>
      <c r="C532" s="31" t="b">
        <v>0</v>
      </c>
      <c r="D532" s="31">
        <v>6</v>
      </c>
      <c r="E532" s="38" t="s">
        <v>1642</v>
      </c>
      <c r="F532" s="31" t="s">
        <v>131</v>
      </c>
      <c r="G532" s="31" t="s">
        <v>3665</v>
      </c>
      <c r="H532" s="31" t="s">
        <v>3666</v>
      </c>
      <c r="I532" s="31" t="s">
        <v>3842</v>
      </c>
      <c r="J532" s="37" t="s">
        <v>4047</v>
      </c>
      <c r="K532" s="31" t="s">
        <v>2328</v>
      </c>
      <c r="L532" s="31" t="s">
        <v>402</v>
      </c>
      <c r="M532" s="31" t="s">
        <v>2232</v>
      </c>
      <c r="N532" s="31" t="s">
        <v>2328</v>
      </c>
    </row>
    <row r="533" spans="1:14" ht="75" x14ac:dyDescent="0.25">
      <c r="A533" s="31" t="s">
        <v>2328</v>
      </c>
      <c r="B533" s="32" t="s">
        <v>1643</v>
      </c>
      <c r="C533" s="31" t="b">
        <v>1</v>
      </c>
      <c r="D533" s="31">
        <v>4</v>
      </c>
      <c r="E533" s="35" t="s">
        <v>3351</v>
      </c>
      <c r="F533" s="31" t="s">
        <v>3443</v>
      </c>
      <c r="G533" s="31" t="s">
        <v>3665</v>
      </c>
      <c r="H533" s="31" t="s">
        <v>3666</v>
      </c>
      <c r="I533" s="31" t="s">
        <v>3842</v>
      </c>
      <c r="J533" s="37" t="s">
        <v>4047</v>
      </c>
      <c r="K533" s="31" t="s">
        <v>2328</v>
      </c>
      <c r="L533" s="31" t="s">
        <v>402</v>
      </c>
      <c r="M533" s="31" t="s">
        <v>2232</v>
      </c>
      <c r="N533" s="31" t="s">
        <v>2328</v>
      </c>
    </row>
    <row r="534" spans="1:14" ht="75" x14ac:dyDescent="0.25">
      <c r="A534" s="31" t="s">
        <v>3021</v>
      </c>
      <c r="B534" s="32" t="s">
        <v>1645</v>
      </c>
      <c r="C534" s="31" t="b">
        <v>0</v>
      </c>
      <c r="D534" s="31">
        <v>6</v>
      </c>
      <c r="E534" s="38" t="s">
        <v>3562</v>
      </c>
      <c r="F534" s="31" t="s">
        <v>131</v>
      </c>
      <c r="G534" s="31" t="s">
        <v>3665</v>
      </c>
      <c r="H534" s="31" t="s">
        <v>3666</v>
      </c>
      <c r="I534" s="31" t="s">
        <v>3842</v>
      </c>
      <c r="J534" s="37" t="s">
        <v>4047</v>
      </c>
      <c r="K534" s="31" t="s">
        <v>2328</v>
      </c>
      <c r="L534" s="31" t="s">
        <v>402</v>
      </c>
      <c r="M534" s="31" t="s">
        <v>2232</v>
      </c>
      <c r="N534" s="31" t="s">
        <v>2328</v>
      </c>
    </row>
    <row r="535" spans="1:14" ht="75" x14ac:dyDescent="0.25">
      <c r="A535" s="31" t="s">
        <v>2328</v>
      </c>
      <c r="B535" s="32" t="s">
        <v>1646</v>
      </c>
      <c r="C535" s="31" t="b">
        <v>1</v>
      </c>
      <c r="D535" s="31">
        <v>4</v>
      </c>
      <c r="E535" s="35" t="s">
        <v>3352</v>
      </c>
      <c r="F535" s="31" t="s">
        <v>3443</v>
      </c>
      <c r="G535" s="31" t="s">
        <v>3665</v>
      </c>
      <c r="H535" s="31" t="s">
        <v>3666</v>
      </c>
      <c r="I535" s="31" t="s">
        <v>3842</v>
      </c>
      <c r="J535" s="37" t="s">
        <v>4047</v>
      </c>
      <c r="K535" s="31" t="s">
        <v>2328</v>
      </c>
      <c r="L535" s="31" t="s">
        <v>402</v>
      </c>
      <c r="M535" s="31" t="s">
        <v>2232</v>
      </c>
      <c r="N535" s="31" t="s">
        <v>2328</v>
      </c>
    </row>
    <row r="536" spans="1:14" ht="75" x14ac:dyDescent="0.25">
      <c r="A536" s="31" t="s">
        <v>3022</v>
      </c>
      <c r="B536" s="32" t="s">
        <v>1648</v>
      </c>
      <c r="C536" s="31" t="b">
        <v>0</v>
      </c>
      <c r="D536" s="31">
        <v>6</v>
      </c>
      <c r="E536" s="38" t="s">
        <v>1649</v>
      </c>
      <c r="F536" s="31" t="s">
        <v>131</v>
      </c>
      <c r="G536" s="31" t="s">
        <v>3665</v>
      </c>
      <c r="H536" s="31" t="s">
        <v>3666</v>
      </c>
      <c r="I536" s="31" t="s">
        <v>3842</v>
      </c>
      <c r="J536" s="37" t="s">
        <v>4047</v>
      </c>
      <c r="K536" s="31" t="s">
        <v>2328</v>
      </c>
      <c r="L536" s="31" t="s">
        <v>402</v>
      </c>
      <c r="M536" s="31" t="s">
        <v>2232</v>
      </c>
      <c r="N536" s="31" t="s">
        <v>2328</v>
      </c>
    </row>
    <row r="537" spans="1:14" ht="75" x14ac:dyDescent="0.25">
      <c r="A537" s="31" t="s">
        <v>3023</v>
      </c>
      <c r="B537" s="32" t="s">
        <v>1650</v>
      </c>
      <c r="C537" s="31" t="b">
        <v>0</v>
      </c>
      <c r="D537" s="31">
        <v>6</v>
      </c>
      <c r="E537" s="38" t="s">
        <v>1651</v>
      </c>
      <c r="F537" s="31" t="s">
        <v>131</v>
      </c>
      <c r="G537" s="31" t="s">
        <v>3665</v>
      </c>
      <c r="H537" s="31" t="s">
        <v>3666</v>
      </c>
      <c r="I537" s="31" t="s">
        <v>3842</v>
      </c>
      <c r="J537" s="37" t="s">
        <v>4047</v>
      </c>
      <c r="K537" s="31" t="s">
        <v>2328</v>
      </c>
      <c r="L537" s="31" t="s">
        <v>402</v>
      </c>
      <c r="M537" s="31" t="s">
        <v>2232</v>
      </c>
      <c r="N537" s="31" t="s">
        <v>2328</v>
      </c>
    </row>
    <row r="538" spans="1:14" ht="75" x14ac:dyDescent="0.25">
      <c r="A538" s="31" t="s">
        <v>3024</v>
      </c>
      <c r="B538" s="32" t="s">
        <v>1652</v>
      </c>
      <c r="C538" s="31" t="b">
        <v>0</v>
      </c>
      <c r="D538" s="31">
        <v>6</v>
      </c>
      <c r="E538" s="38" t="s">
        <v>1653</v>
      </c>
      <c r="F538" s="31" t="s">
        <v>131</v>
      </c>
      <c r="G538" s="31" t="s">
        <v>3665</v>
      </c>
      <c r="H538" s="31" t="s">
        <v>3666</v>
      </c>
      <c r="I538" s="31" t="s">
        <v>3842</v>
      </c>
      <c r="J538" s="37" t="s">
        <v>4047</v>
      </c>
      <c r="K538" s="31" t="s">
        <v>2328</v>
      </c>
      <c r="L538" s="31" t="s">
        <v>402</v>
      </c>
      <c r="M538" s="31" t="s">
        <v>2232</v>
      </c>
      <c r="N538" s="31" t="s">
        <v>2328</v>
      </c>
    </row>
    <row r="539" spans="1:14" ht="90" x14ac:dyDescent="0.25">
      <c r="A539" s="31" t="s">
        <v>3025</v>
      </c>
      <c r="B539" s="32" t="s">
        <v>1654</v>
      </c>
      <c r="C539" s="31" t="b">
        <v>0</v>
      </c>
      <c r="D539" s="31">
        <v>6</v>
      </c>
      <c r="E539" s="38" t="s">
        <v>2280</v>
      </c>
      <c r="F539" s="31" t="s">
        <v>131</v>
      </c>
      <c r="G539" s="31" t="s">
        <v>3665</v>
      </c>
      <c r="H539" s="31" t="s">
        <v>3666</v>
      </c>
      <c r="I539" s="31" t="s">
        <v>3842</v>
      </c>
      <c r="J539" s="37" t="s">
        <v>4047</v>
      </c>
      <c r="K539" s="31" t="s">
        <v>2328</v>
      </c>
      <c r="L539" s="31" t="s">
        <v>402</v>
      </c>
      <c r="M539" s="31" t="s">
        <v>2232</v>
      </c>
      <c r="N539" s="31" t="s">
        <v>2328</v>
      </c>
    </row>
    <row r="540" spans="1:14" ht="75" x14ac:dyDescent="0.25">
      <c r="A540" s="31" t="s">
        <v>3026</v>
      </c>
      <c r="B540" s="32" t="s">
        <v>1655</v>
      </c>
      <c r="C540" s="31" t="b">
        <v>0</v>
      </c>
      <c r="D540" s="31">
        <v>6</v>
      </c>
      <c r="E540" s="38" t="s">
        <v>1656</v>
      </c>
      <c r="F540" s="31" t="s">
        <v>131</v>
      </c>
      <c r="G540" s="31" t="s">
        <v>3665</v>
      </c>
      <c r="H540" s="31" t="s">
        <v>3666</v>
      </c>
      <c r="I540" s="31" t="s">
        <v>3842</v>
      </c>
      <c r="J540" s="37" t="s">
        <v>4047</v>
      </c>
      <c r="K540" s="31" t="s">
        <v>2328</v>
      </c>
      <c r="L540" s="31" t="s">
        <v>402</v>
      </c>
      <c r="M540" s="31" t="s">
        <v>2232</v>
      </c>
      <c r="N540" s="31" t="s">
        <v>2328</v>
      </c>
    </row>
    <row r="541" spans="1:14" ht="75" x14ac:dyDescent="0.25">
      <c r="A541" s="31" t="s">
        <v>3027</v>
      </c>
      <c r="B541" s="32" t="s">
        <v>1657</v>
      </c>
      <c r="C541" s="31" t="b">
        <v>0</v>
      </c>
      <c r="D541" s="31">
        <v>6</v>
      </c>
      <c r="E541" s="38" t="s">
        <v>1658</v>
      </c>
      <c r="F541" s="31" t="s">
        <v>131</v>
      </c>
      <c r="G541" s="31" t="s">
        <v>3665</v>
      </c>
      <c r="H541" s="31" t="s">
        <v>3666</v>
      </c>
      <c r="I541" s="31" t="s">
        <v>3842</v>
      </c>
      <c r="J541" s="37" t="s">
        <v>4047</v>
      </c>
      <c r="K541" s="31" t="s">
        <v>2328</v>
      </c>
      <c r="L541" s="31" t="s">
        <v>402</v>
      </c>
      <c r="M541" s="31" t="s">
        <v>2232</v>
      </c>
      <c r="N541" s="31" t="s">
        <v>2328</v>
      </c>
    </row>
    <row r="542" spans="1:14" ht="75" x14ac:dyDescent="0.25">
      <c r="A542" s="31" t="s">
        <v>3028</v>
      </c>
      <c r="B542" s="32" t="s">
        <v>1659</v>
      </c>
      <c r="C542" s="31" t="b">
        <v>0</v>
      </c>
      <c r="D542" s="31">
        <v>6</v>
      </c>
      <c r="E542" s="38" t="s">
        <v>1660</v>
      </c>
      <c r="F542" s="31" t="s">
        <v>131</v>
      </c>
      <c r="G542" s="31" t="s">
        <v>3665</v>
      </c>
      <c r="H542" s="31" t="s">
        <v>3666</v>
      </c>
      <c r="I542" s="31" t="s">
        <v>3842</v>
      </c>
      <c r="J542" s="37" t="s">
        <v>4047</v>
      </c>
      <c r="K542" s="31" t="s">
        <v>2328</v>
      </c>
      <c r="L542" s="31" t="s">
        <v>402</v>
      </c>
      <c r="M542" s="31" t="s">
        <v>2232</v>
      </c>
      <c r="N542" s="31" t="s">
        <v>2328</v>
      </c>
    </row>
    <row r="543" spans="1:14" ht="75" x14ac:dyDescent="0.25">
      <c r="A543" s="31" t="s">
        <v>3029</v>
      </c>
      <c r="B543" s="32" t="s">
        <v>1661</v>
      </c>
      <c r="C543" s="31" t="b">
        <v>0</v>
      </c>
      <c r="D543" s="31">
        <v>6</v>
      </c>
      <c r="E543" s="38" t="s">
        <v>1662</v>
      </c>
      <c r="F543" s="31" t="s">
        <v>131</v>
      </c>
      <c r="G543" s="31" t="s">
        <v>3665</v>
      </c>
      <c r="H543" s="31" t="s">
        <v>3666</v>
      </c>
      <c r="I543" s="31" t="s">
        <v>3842</v>
      </c>
      <c r="J543" s="37" t="s">
        <v>4047</v>
      </c>
      <c r="K543" s="31" t="s">
        <v>2328</v>
      </c>
      <c r="L543" s="31" t="s">
        <v>402</v>
      </c>
      <c r="M543" s="31" t="s">
        <v>2232</v>
      </c>
      <c r="N543" s="31" t="s">
        <v>2328</v>
      </c>
    </row>
    <row r="544" spans="1:14" ht="75" x14ac:dyDescent="0.25">
      <c r="A544" s="31" t="s">
        <v>2328</v>
      </c>
      <c r="B544" s="32" t="s">
        <v>1663</v>
      </c>
      <c r="C544" s="31" t="b">
        <v>1</v>
      </c>
      <c r="D544" s="31">
        <v>4</v>
      </c>
      <c r="E544" s="35" t="s">
        <v>3353</v>
      </c>
      <c r="F544" s="31" t="s">
        <v>3443</v>
      </c>
      <c r="G544" s="31" t="s">
        <v>3665</v>
      </c>
      <c r="H544" s="31" t="s">
        <v>3666</v>
      </c>
      <c r="I544" s="31" t="s">
        <v>3842</v>
      </c>
      <c r="J544" s="37" t="s">
        <v>4047</v>
      </c>
      <c r="K544" s="31" t="s">
        <v>2328</v>
      </c>
      <c r="L544" s="31" t="s">
        <v>402</v>
      </c>
      <c r="M544" s="31" t="s">
        <v>2232</v>
      </c>
      <c r="N544" s="31" t="s">
        <v>2328</v>
      </c>
    </row>
    <row r="545" spans="1:14" ht="75" x14ac:dyDescent="0.25">
      <c r="A545" s="31" t="s">
        <v>3030</v>
      </c>
      <c r="B545" s="32" t="s">
        <v>1665</v>
      </c>
      <c r="C545" s="31" t="b">
        <v>0</v>
      </c>
      <c r="D545" s="31">
        <v>6</v>
      </c>
      <c r="E545" s="38" t="s">
        <v>1666</v>
      </c>
      <c r="F545" s="31" t="s">
        <v>131</v>
      </c>
      <c r="G545" s="31" t="s">
        <v>3665</v>
      </c>
      <c r="H545" s="31" t="s">
        <v>3666</v>
      </c>
      <c r="I545" s="31" t="s">
        <v>3842</v>
      </c>
      <c r="J545" s="37" t="s">
        <v>4047</v>
      </c>
      <c r="K545" s="31" t="s">
        <v>2328</v>
      </c>
      <c r="L545" s="31" t="s">
        <v>402</v>
      </c>
      <c r="M545" s="31" t="s">
        <v>2232</v>
      </c>
      <c r="N545" s="31" t="s">
        <v>2328</v>
      </c>
    </row>
    <row r="546" spans="1:14" ht="75" x14ac:dyDescent="0.25">
      <c r="A546" s="31" t="s">
        <v>3031</v>
      </c>
      <c r="B546" s="32" t="s">
        <v>1667</v>
      </c>
      <c r="C546" s="31" t="b">
        <v>0</v>
      </c>
      <c r="D546" s="31">
        <v>6</v>
      </c>
      <c r="E546" s="38" t="s">
        <v>2281</v>
      </c>
      <c r="F546" s="31" t="s">
        <v>131</v>
      </c>
      <c r="G546" s="31" t="s">
        <v>3665</v>
      </c>
      <c r="H546" s="31" t="s">
        <v>3666</v>
      </c>
      <c r="I546" s="31" t="s">
        <v>3842</v>
      </c>
      <c r="J546" s="37" t="s">
        <v>4047</v>
      </c>
      <c r="K546" s="31" t="s">
        <v>2328</v>
      </c>
      <c r="L546" s="31" t="s">
        <v>402</v>
      </c>
      <c r="M546" s="31" t="s">
        <v>2232</v>
      </c>
      <c r="N546" s="31" t="s">
        <v>2328</v>
      </c>
    </row>
    <row r="547" spans="1:14" ht="75" x14ac:dyDescent="0.25">
      <c r="A547" s="31" t="s">
        <v>3032</v>
      </c>
      <c r="B547" s="32" t="s">
        <v>1668</v>
      </c>
      <c r="C547" s="31" t="b">
        <v>0</v>
      </c>
      <c r="D547" s="31">
        <v>6</v>
      </c>
      <c r="E547" s="38" t="s">
        <v>1669</v>
      </c>
      <c r="F547" s="31" t="s">
        <v>131</v>
      </c>
      <c r="G547" s="31" t="s">
        <v>3665</v>
      </c>
      <c r="H547" s="31" t="s">
        <v>3666</v>
      </c>
      <c r="I547" s="31" t="s">
        <v>3842</v>
      </c>
      <c r="J547" s="37" t="s">
        <v>4047</v>
      </c>
      <c r="K547" s="31" t="s">
        <v>2328</v>
      </c>
      <c r="L547" s="31" t="s">
        <v>402</v>
      </c>
      <c r="M547" s="31" t="s">
        <v>2232</v>
      </c>
      <c r="N547" s="31" t="s">
        <v>2328</v>
      </c>
    </row>
    <row r="548" spans="1:14" ht="75" x14ac:dyDescent="0.25">
      <c r="A548" s="31" t="s">
        <v>2328</v>
      </c>
      <c r="B548" s="32" t="s">
        <v>1670</v>
      </c>
      <c r="C548" s="31" t="b">
        <v>1</v>
      </c>
      <c r="D548" s="31">
        <v>4</v>
      </c>
      <c r="E548" s="35" t="s">
        <v>3354</v>
      </c>
      <c r="F548" s="31" t="s">
        <v>3443</v>
      </c>
      <c r="G548" s="31" t="s">
        <v>3665</v>
      </c>
      <c r="H548" s="31" t="s">
        <v>3666</v>
      </c>
      <c r="I548" s="31" t="s">
        <v>3842</v>
      </c>
      <c r="J548" s="37" t="s">
        <v>4047</v>
      </c>
      <c r="K548" s="31" t="s">
        <v>2328</v>
      </c>
      <c r="L548" s="31" t="s">
        <v>402</v>
      </c>
      <c r="M548" s="31" t="s">
        <v>2232</v>
      </c>
      <c r="N548" s="31" t="s">
        <v>2328</v>
      </c>
    </row>
    <row r="549" spans="1:14" ht="75" x14ac:dyDescent="0.25">
      <c r="A549" s="31" t="s">
        <v>3033</v>
      </c>
      <c r="B549" s="32" t="s">
        <v>1672</v>
      </c>
      <c r="C549" s="31" t="b">
        <v>0</v>
      </c>
      <c r="D549" s="31">
        <v>6</v>
      </c>
      <c r="E549" s="38" t="s">
        <v>1673</v>
      </c>
      <c r="F549" s="31" t="s">
        <v>131</v>
      </c>
      <c r="G549" s="31" t="s">
        <v>3665</v>
      </c>
      <c r="H549" s="31" t="s">
        <v>3666</v>
      </c>
      <c r="I549" s="31" t="s">
        <v>3842</v>
      </c>
      <c r="J549" s="37" t="s">
        <v>4047</v>
      </c>
      <c r="K549" s="31" t="s">
        <v>2328</v>
      </c>
      <c r="L549" s="31" t="s">
        <v>402</v>
      </c>
      <c r="M549" s="31" t="s">
        <v>2232</v>
      </c>
      <c r="N549" s="31" t="s">
        <v>2328</v>
      </c>
    </row>
    <row r="550" spans="1:14" ht="75" x14ac:dyDescent="0.25">
      <c r="A550" s="31" t="s">
        <v>3034</v>
      </c>
      <c r="B550" s="32" t="s">
        <v>1674</v>
      </c>
      <c r="C550" s="31" t="b">
        <v>1</v>
      </c>
      <c r="D550" s="31">
        <v>2</v>
      </c>
      <c r="E550" s="34" t="s">
        <v>3551</v>
      </c>
      <c r="F550" s="31" t="s">
        <v>3443</v>
      </c>
      <c r="G550" s="31" t="s">
        <v>3665</v>
      </c>
      <c r="H550" s="31" t="s">
        <v>3666</v>
      </c>
      <c r="I550" s="31" t="s">
        <v>3842</v>
      </c>
      <c r="J550" s="37" t="s">
        <v>4047</v>
      </c>
      <c r="K550" s="31" t="s">
        <v>2328</v>
      </c>
      <c r="L550" s="31" t="s">
        <v>404</v>
      </c>
      <c r="M550" s="31" t="s">
        <v>2232</v>
      </c>
      <c r="N550" s="31" t="s">
        <v>2328</v>
      </c>
    </row>
    <row r="551" spans="1:14" ht="75" x14ac:dyDescent="0.25">
      <c r="A551" s="31" t="s">
        <v>3034</v>
      </c>
      <c r="B551" s="32" t="s">
        <v>3491</v>
      </c>
      <c r="C551" s="31" t="b">
        <v>0</v>
      </c>
      <c r="D551" s="31">
        <v>4</v>
      </c>
      <c r="E551" s="35" t="s">
        <v>3492</v>
      </c>
      <c r="F551" s="31" t="s">
        <v>139</v>
      </c>
      <c r="G551" s="31" t="s">
        <v>3665</v>
      </c>
      <c r="H551" s="31" t="s">
        <v>3666</v>
      </c>
      <c r="I551" s="31" t="s">
        <v>3842</v>
      </c>
      <c r="J551" s="37" t="s">
        <v>4047</v>
      </c>
      <c r="K551" s="31" t="s">
        <v>2328</v>
      </c>
      <c r="L551" s="31" t="s">
        <v>2328</v>
      </c>
      <c r="M551" s="31" t="s">
        <v>2232</v>
      </c>
      <c r="N551" s="31" t="s">
        <v>2328</v>
      </c>
    </row>
    <row r="552" spans="1:14" ht="90" x14ac:dyDescent="0.25">
      <c r="A552" s="31" t="s">
        <v>3035</v>
      </c>
      <c r="B552" s="32" t="s">
        <v>1675</v>
      </c>
      <c r="C552" s="31" t="b">
        <v>0</v>
      </c>
      <c r="D552" s="31">
        <v>4</v>
      </c>
      <c r="E552" s="35" t="s">
        <v>1676</v>
      </c>
      <c r="F552" s="31" t="s">
        <v>131</v>
      </c>
      <c r="G552" s="31" t="s">
        <v>3665</v>
      </c>
      <c r="H552" s="31" t="s">
        <v>3666</v>
      </c>
      <c r="I552" s="31" t="s">
        <v>3842</v>
      </c>
      <c r="J552" s="37" t="s">
        <v>4047</v>
      </c>
      <c r="K552" s="31" t="s">
        <v>2328</v>
      </c>
      <c r="L552" s="31" t="s">
        <v>404</v>
      </c>
      <c r="M552" s="31" t="s">
        <v>2232</v>
      </c>
      <c r="N552" s="31" t="s">
        <v>2328</v>
      </c>
    </row>
    <row r="553" spans="1:14" ht="75" x14ac:dyDescent="0.25">
      <c r="A553" s="31" t="s">
        <v>2328</v>
      </c>
      <c r="B553" s="32" t="s">
        <v>1677</v>
      </c>
      <c r="C553" s="31" t="b">
        <v>1</v>
      </c>
      <c r="D553" s="31">
        <v>0</v>
      </c>
      <c r="E553" s="33" t="s">
        <v>2369</v>
      </c>
      <c r="F553" s="31" t="s">
        <v>3443</v>
      </c>
      <c r="G553" s="31" t="s">
        <v>3665</v>
      </c>
      <c r="H553" s="31" t="s">
        <v>3666</v>
      </c>
      <c r="I553" s="31" t="s">
        <v>3842</v>
      </c>
      <c r="J553" s="37" t="s">
        <v>4047</v>
      </c>
      <c r="K553" s="31" t="s">
        <v>2328</v>
      </c>
      <c r="L553" s="31" t="s">
        <v>406</v>
      </c>
      <c r="M553" s="31" t="s">
        <v>2232</v>
      </c>
      <c r="N553" s="31" t="s">
        <v>2328</v>
      </c>
    </row>
    <row r="554" spans="1:14" ht="75" x14ac:dyDescent="0.25">
      <c r="A554" s="31" t="s">
        <v>2328</v>
      </c>
      <c r="B554" s="32" t="s">
        <v>1678</v>
      </c>
      <c r="C554" s="31" t="b">
        <v>1</v>
      </c>
      <c r="D554" s="31">
        <v>2</v>
      </c>
      <c r="E554" s="34" t="s">
        <v>3355</v>
      </c>
      <c r="F554" s="31" t="s">
        <v>3443</v>
      </c>
      <c r="G554" s="31" t="s">
        <v>3665</v>
      </c>
      <c r="H554" s="31" t="s">
        <v>3666</v>
      </c>
      <c r="I554" s="31" t="s">
        <v>3842</v>
      </c>
      <c r="J554" s="37" t="s">
        <v>4047</v>
      </c>
      <c r="K554" s="31" t="s">
        <v>2328</v>
      </c>
      <c r="L554" s="31" t="s">
        <v>408</v>
      </c>
      <c r="M554" s="31" t="s">
        <v>2232</v>
      </c>
      <c r="N554" s="31" t="s">
        <v>2328</v>
      </c>
    </row>
    <row r="555" spans="1:14" ht="75" x14ac:dyDescent="0.25">
      <c r="A555" s="31" t="s">
        <v>3036</v>
      </c>
      <c r="B555" s="32" t="s">
        <v>1680</v>
      </c>
      <c r="C555" s="31" t="b">
        <v>0</v>
      </c>
      <c r="D555" s="31">
        <v>4</v>
      </c>
      <c r="E555" s="35" t="s">
        <v>91</v>
      </c>
      <c r="F555" s="31" t="s">
        <v>131</v>
      </c>
      <c r="G555" s="31" t="s">
        <v>3665</v>
      </c>
      <c r="H555" s="31" t="s">
        <v>3666</v>
      </c>
      <c r="I555" s="31" t="s">
        <v>3842</v>
      </c>
      <c r="J555" s="37" t="s">
        <v>4047</v>
      </c>
      <c r="K555" s="31" t="s">
        <v>2328</v>
      </c>
      <c r="L555" s="31" t="s">
        <v>408</v>
      </c>
      <c r="M555" s="31" t="s">
        <v>2232</v>
      </c>
      <c r="N555" s="31" t="s">
        <v>2328</v>
      </c>
    </row>
    <row r="556" spans="1:14" ht="75" x14ac:dyDescent="0.25">
      <c r="A556" s="31" t="s">
        <v>3037</v>
      </c>
      <c r="B556" s="32" t="s">
        <v>1681</v>
      </c>
      <c r="C556" s="31" t="b">
        <v>0</v>
      </c>
      <c r="D556" s="31">
        <v>4</v>
      </c>
      <c r="E556" s="35" t="s">
        <v>90</v>
      </c>
      <c r="F556" s="31" t="s">
        <v>131</v>
      </c>
      <c r="G556" s="31" t="s">
        <v>3665</v>
      </c>
      <c r="H556" s="31" t="s">
        <v>3666</v>
      </c>
      <c r="I556" s="31" t="s">
        <v>3842</v>
      </c>
      <c r="J556" s="37" t="s">
        <v>4047</v>
      </c>
      <c r="K556" s="31" t="s">
        <v>2328</v>
      </c>
      <c r="L556" s="31" t="s">
        <v>408</v>
      </c>
      <c r="M556" s="31" t="s">
        <v>2232</v>
      </c>
      <c r="N556" s="31" t="s">
        <v>2328</v>
      </c>
    </row>
    <row r="557" spans="1:14" ht="75" x14ac:dyDescent="0.25">
      <c r="A557" s="31" t="s">
        <v>3038</v>
      </c>
      <c r="B557" s="32" t="s">
        <v>1682</v>
      </c>
      <c r="C557" s="31" t="b">
        <v>0</v>
      </c>
      <c r="D557" s="31">
        <v>4</v>
      </c>
      <c r="E557" s="35" t="s">
        <v>89</v>
      </c>
      <c r="F557" s="31" t="s">
        <v>131</v>
      </c>
      <c r="G557" s="31" t="s">
        <v>3665</v>
      </c>
      <c r="H557" s="31" t="s">
        <v>3666</v>
      </c>
      <c r="I557" s="31" t="s">
        <v>3842</v>
      </c>
      <c r="J557" s="37" t="s">
        <v>4047</v>
      </c>
      <c r="K557" s="31" t="s">
        <v>2328</v>
      </c>
      <c r="L557" s="31" t="s">
        <v>408</v>
      </c>
      <c r="M557" s="31" t="s">
        <v>2232</v>
      </c>
      <c r="N557" s="31" t="s">
        <v>2328</v>
      </c>
    </row>
    <row r="558" spans="1:14" ht="75" x14ac:dyDescent="0.25">
      <c r="A558" s="31" t="s">
        <v>3039</v>
      </c>
      <c r="B558" s="32" t="s">
        <v>1683</v>
      </c>
      <c r="C558" s="31" t="b">
        <v>0</v>
      </c>
      <c r="D558" s="31">
        <v>4</v>
      </c>
      <c r="E558" s="35" t="s">
        <v>88</v>
      </c>
      <c r="F558" s="31" t="s">
        <v>131</v>
      </c>
      <c r="G558" s="31" t="s">
        <v>3665</v>
      </c>
      <c r="H558" s="31" t="s">
        <v>3666</v>
      </c>
      <c r="I558" s="31" t="s">
        <v>3842</v>
      </c>
      <c r="J558" s="37" t="s">
        <v>4047</v>
      </c>
      <c r="K558" s="31" t="s">
        <v>2328</v>
      </c>
      <c r="L558" s="31" t="s">
        <v>408</v>
      </c>
      <c r="M558" s="31" t="s">
        <v>2232</v>
      </c>
      <c r="N558" s="31" t="s">
        <v>2328</v>
      </c>
    </row>
    <row r="559" spans="1:14" ht="75" x14ac:dyDescent="0.25">
      <c r="A559" s="31" t="s">
        <v>3040</v>
      </c>
      <c r="B559" s="32" t="s">
        <v>1684</v>
      </c>
      <c r="C559" s="31" t="b">
        <v>0</v>
      </c>
      <c r="D559" s="31">
        <v>4</v>
      </c>
      <c r="E559" s="35" t="s">
        <v>87</v>
      </c>
      <c r="F559" s="31" t="s">
        <v>131</v>
      </c>
      <c r="G559" s="31" t="s">
        <v>3665</v>
      </c>
      <c r="H559" s="31" t="s">
        <v>3666</v>
      </c>
      <c r="I559" s="31" t="s">
        <v>3842</v>
      </c>
      <c r="J559" s="37" t="s">
        <v>4047</v>
      </c>
      <c r="K559" s="31" t="s">
        <v>2328</v>
      </c>
      <c r="L559" s="31" t="s">
        <v>408</v>
      </c>
      <c r="M559" s="31" t="s">
        <v>2232</v>
      </c>
      <c r="N559" s="31" t="s">
        <v>2328</v>
      </c>
    </row>
    <row r="560" spans="1:14" ht="75" x14ac:dyDescent="0.25">
      <c r="A560" s="31" t="s">
        <v>3040</v>
      </c>
      <c r="B560" s="32" t="s">
        <v>1685</v>
      </c>
      <c r="C560" s="31" t="b">
        <v>0</v>
      </c>
      <c r="D560" s="31">
        <v>4</v>
      </c>
      <c r="E560" s="35" t="s">
        <v>1686</v>
      </c>
      <c r="F560" s="31" t="s">
        <v>131</v>
      </c>
      <c r="G560" s="31" t="s">
        <v>3665</v>
      </c>
      <c r="H560" s="31" t="s">
        <v>3666</v>
      </c>
      <c r="I560" s="31" t="s">
        <v>3842</v>
      </c>
      <c r="J560" s="37" t="s">
        <v>4047</v>
      </c>
      <c r="K560" s="31" t="s">
        <v>2328</v>
      </c>
      <c r="L560" s="31" t="s">
        <v>408</v>
      </c>
      <c r="M560" s="31" t="s">
        <v>2232</v>
      </c>
      <c r="N560" s="31" t="s">
        <v>2328</v>
      </c>
    </row>
    <row r="561" spans="1:14" ht="75" x14ac:dyDescent="0.25">
      <c r="A561" s="31" t="s">
        <v>3040</v>
      </c>
      <c r="B561" s="32" t="s">
        <v>1687</v>
      </c>
      <c r="C561" s="31" t="b">
        <v>0</v>
      </c>
      <c r="D561" s="31">
        <v>4</v>
      </c>
      <c r="E561" s="35" t="s">
        <v>3563</v>
      </c>
      <c r="F561" s="31" t="s">
        <v>131</v>
      </c>
      <c r="G561" s="31" t="s">
        <v>3665</v>
      </c>
      <c r="H561" s="31" t="s">
        <v>3666</v>
      </c>
      <c r="I561" s="31" t="s">
        <v>3842</v>
      </c>
      <c r="J561" s="37" t="s">
        <v>4047</v>
      </c>
      <c r="K561" s="31" t="s">
        <v>2328</v>
      </c>
      <c r="L561" s="31" t="s">
        <v>408</v>
      </c>
      <c r="M561" s="31" t="s">
        <v>2232</v>
      </c>
      <c r="N561" s="31" t="s">
        <v>2328</v>
      </c>
    </row>
    <row r="562" spans="1:14" ht="75" x14ac:dyDescent="0.25">
      <c r="A562" s="31" t="s">
        <v>3041</v>
      </c>
      <c r="B562" s="32" t="s">
        <v>1688</v>
      </c>
      <c r="C562" s="31" t="b">
        <v>1</v>
      </c>
      <c r="D562" s="31">
        <v>2</v>
      </c>
      <c r="E562" s="34" t="s">
        <v>3356</v>
      </c>
      <c r="F562" s="31" t="s">
        <v>3443</v>
      </c>
      <c r="G562" s="31" t="s">
        <v>3665</v>
      </c>
      <c r="H562" s="31" t="s">
        <v>3666</v>
      </c>
      <c r="I562" s="31" t="s">
        <v>3842</v>
      </c>
      <c r="J562" s="37" t="s">
        <v>4047</v>
      </c>
      <c r="K562" s="31" t="s">
        <v>2328</v>
      </c>
      <c r="L562" s="31" t="s">
        <v>409</v>
      </c>
      <c r="M562" s="31" t="s">
        <v>2232</v>
      </c>
      <c r="N562" s="31" t="s">
        <v>2328</v>
      </c>
    </row>
    <row r="563" spans="1:14" ht="75" x14ac:dyDescent="0.25">
      <c r="A563" s="31" t="s">
        <v>3042</v>
      </c>
      <c r="B563" s="32" t="s">
        <v>1690</v>
      </c>
      <c r="C563" s="31" t="b">
        <v>0</v>
      </c>
      <c r="D563" s="31">
        <v>4</v>
      </c>
      <c r="E563" s="35" t="s">
        <v>85</v>
      </c>
      <c r="F563" s="31" t="s">
        <v>131</v>
      </c>
      <c r="G563" s="31" t="s">
        <v>3665</v>
      </c>
      <c r="H563" s="31" t="s">
        <v>3666</v>
      </c>
      <c r="I563" s="31" t="s">
        <v>3842</v>
      </c>
      <c r="J563" s="37" t="s">
        <v>4047</v>
      </c>
      <c r="K563" s="31" t="s">
        <v>2328</v>
      </c>
      <c r="L563" s="31" t="s">
        <v>409</v>
      </c>
      <c r="M563" s="31" t="s">
        <v>2232</v>
      </c>
      <c r="N563" s="31" t="s">
        <v>2328</v>
      </c>
    </row>
    <row r="564" spans="1:14" ht="75" x14ac:dyDescent="0.25">
      <c r="A564" s="31" t="s">
        <v>3043</v>
      </c>
      <c r="B564" s="32" t="s">
        <v>1692</v>
      </c>
      <c r="C564" s="31" t="b">
        <v>1</v>
      </c>
      <c r="D564" s="31">
        <v>2</v>
      </c>
      <c r="E564" s="34" t="s">
        <v>3357</v>
      </c>
      <c r="F564" s="31" t="s">
        <v>3443</v>
      </c>
      <c r="G564" s="31" t="s">
        <v>3665</v>
      </c>
      <c r="H564" s="31" t="s">
        <v>3666</v>
      </c>
      <c r="I564" s="31" t="s">
        <v>3842</v>
      </c>
      <c r="J564" s="37" t="s">
        <v>4047</v>
      </c>
      <c r="K564" s="31" t="s">
        <v>2328</v>
      </c>
      <c r="L564" s="31" t="s">
        <v>411</v>
      </c>
      <c r="M564" s="31" t="s">
        <v>2232</v>
      </c>
      <c r="N564" s="31" t="s">
        <v>2328</v>
      </c>
    </row>
    <row r="565" spans="1:14" ht="75" x14ac:dyDescent="0.25">
      <c r="A565" s="31" t="s">
        <v>2328</v>
      </c>
      <c r="B565" s="32" t="s">
        <v>1694</v>
      </c>
      <c r="C565" s="31" t="b">
        <v>1</v>
      </c>
      <c r="D565" s="31">
        <v>4</v>
      </c>
      <c r="E565" s="35" t="s">
        <v>3358</v>
      </c>
      <c r="F565" s="31" t="s">
        <v>3443</v>
      </c>
      <c r="G565" s="31" t="s">
        <v>3665</v>
      </c>
      <c r="H565" s="31" t="s">
        <v>3666</v>
      </c>
      <c r="I565" s="31" t="s">
        <v>3842</v>
      </c>
      <c r="J565" s="37" t="s">
        <v>4047</v>
      </c>
      <c r="K565" s="31" t="s">
        <v>2328</v>
      </c>
      <c r="L565" s="31" t="s">
        <v>411</v>
      </c>
      <c r="M565" s="31" t="s">
        <v>2232</v>
      </c>
      <c r="N565" s="31" t="s">
        <v>2328</v>
      </c>
    </row>
    <row r="566" spans="1:14" ht="75" x14ac:dyDescent="0.25">
      <c r="A566" s="31" t="s">
        <v>3044</v>
      </c>
      <c r="B566" s="32" t="s">
        <v>1696</v>
      </c>
      <c r="C566" s="31" t="b">
        <v>0</v>
      </c>
      <c r="D566" s="31">
        <v>6</v>
      </c>
      <c r="E566" s="38" t="s">
        <v>1697</v>
      </c>
      <c r="F566" s="31" t="s">
        <v>131</v>
      </c>
      <c r="G566" s="31" t="s">
        <v>3665</v>
      </c>
      <c r="H566" s="31" t="s">
        <v>3666</v>
      </c>
      <c r="I566" s="31" t="s">
        <v>3842</v>
      </c>
      <c r="J566" s="37" t="s">
        <v>4047</v>
      </c>
      <c r="K566" s="31" t="s">
        <v>2328</v>
      </c>
      <c r="L566" s="31" t="s">
        <v>411</v>
      </c>
      <c r="M566" s="31" t="s">
        <v>2232</v>
      </c>
      <c r="N566" s="31" t="s">
        <v>2328</v>
      </c>
    </row>
    <row r="567" spans="1:14" ht="75" x14ac:dyDescent="0.25">
      <c r="A567" s="31" t="s">
        <v>3045</v>
      </c>
      <c r="B567" s="32" t="s">
        <v>1698</v>
      </c>
      <c r="C567" s="31" t="b">
        <v>0</v>
      </c>
      <c r="D567" s="31">
        <v>6</v>
      </c>
      <c r="E567" s="38" t="s">
        <v>1699</v>
      </c>
      <c r="F567" s="31" t="s">
        <v>131</v>
      </c>
      <c r="G567" s="31" t="s">
        <v>3665</v>
      </c>
      <c r="H567" s="31" t="s">
        <v>3666</v>
      </c>
      <c r="I567" s="31" t="s">
        <v>3842</v>
      </c>
      <c r="J567" s="37" t="s">
        <v>4047</v>
      </c>
      <c r="K567" s="31" t="s">
        <v>2328</v>
      </c>
      <c r="L567" s="31" t="s">
        <v>411</v>
      </c>
      <c r="M567" s="31" t="s">
        <v>2232</v>
      </c>
      <c r="N567" s="31" t="s">
        <v>2328</v>
      </c>
    </row>
    <row r="568" spans="1:14" ht="75" x14ac:dyDescent="0.25">
      <c r="A568" s="31" t="s">
        <v>3046</v>
      </c>
      <c r="B568" s="32" t="s">
        <v>1700</v>
      </c>
      <c r="C568" s="31" t="b">
        <v>0</v>
      </c>
      <c r="D568" s="31">
        <v>6</v>
      </c>
      <c r="E568" s="38" t="s">
        <v>1701</v>
      </c>
      <c r="F568" s="31" t="s">
        <v>131</v>
      </c>
      <c r="G568" s="31" t="s">
        <v>3665</v>
      </c>
      <c r="H568" s="31" t="s">
        <v>3666</v>
      </c>
      <c r="I568" s="31" t="s">
        <v>3842</v>
      </c>
      <c r="J568" s="37" t="s">
        <v>4047</v>
      </c>
      <c r="K568" s="31" t="s">
        <v>2328</v>
      </c>
      <c r="L568" s="31" t="s">
        <v>411</v>
      </c>
      <c r="M568" s="31" t="s">
        <v>2232</v>
      </c>
      <c r="N568" s="31" t="s">
        <v>2328</v>
      </c>
    </row>
    <row r="569" spans="1:14" ht="75" x14ac:dyDescent="0.25">
      <c r="A569" s="31" t="s">
        <v>3046</v>
      </c>
      <c r="B569" s="32" t="s">
        <v>3564</v>
      </c>
      <c r="C569" s="31" t="b">
        <v>0</v>
      </c>
      <c r="D569" s="31">
        <v>6</v>
      </c>
      <c r="E569" s="38" t="s">
        <v>3565</v>
      </c>
      <c r="F569" s="31" t="s">
        <v>131</v>
      </c>
      <c r="G569" s="31" t="s">
        <v>3665</v>
      </c>
      <c r="H569" s="31" t="s">
        <v>3666</v>
      </c>
      <c r="I569" s="31" t="s">
        <v>3842</v>
      </c>
      <c r="J569" s="37" t="s">
        <v>4047</v>
      </c>
      <c r="K569" s="31" t="s">
        <v>2328</v>
      </c>
      <c r="L569" s="31" t="s">
        <v>411</v>
      </c>
      <c r="M569" s="31" t="s">
        <v>2232</v>
      </c>
      <c r="N569" s="31" t="s">
        <v>2328</v>
      </c>
    </row>
    <row r="570" spans="1:14" ht="75" x14ac:dyDescent="0.25">
      <c r="A570" s="31" t="s">
        <v>3047</v>
      </c>
      <c r="B570" s="32" t="s">
        <v>1702</v>
      </c>
      <c r="C570" s="31" t="b">
        <v>0</v>
      </c>
      <c r="D570" s="31">
        <v>6</v>
      </c>
      <c r="E570" s="38" t="s">
        <v>11</v>
      </c>
      <c r="F570" s="31" t="s">
        <v>131</v>
      </c>
      <c r="G570" s="31" t="s">
        <v>3665</v>
      </c>
      <c r="H570" s="31" t="s">
        <v>3666</v>
      </c>
      <c r="I570" s="31" t="s">
        <v>3842</v>
      </c>
      <c r="J570" s="37" t="s">
        <v>4047</v>
      </c>
      <c r="K570" s="31" t="s">
        <v>2328</v>
      </c>
      <c r="L570" s="31" t="s">
        <v>411</v>
      </c>
      <c r="M570" s="31" t="s">
        <v>2232</v>
      </c>
      <c r="N570" s="31" t="s">
        <v>2328</v>
      </c>
    </row>
    <row r="571" spans="1:14" ht="75" x14ac:dyDescent="0.25">
      <c r="A571" s="31" t="s">
        <v>2328</v>
      </c>
      <c r="B571" s="32" t="s">
        <v>1703</v>
      </c>
      <c r="C571" s="31" t="b">
        <v>1</v>
      </c>
      <c r="D571" s="31">
        <v>4</v>
      </c>
      <c r="E571" s="35" t="s">
        <v>3359</v>
      </c>
      <c r="F571" s="31" t="s">
        <v>3443</v>
      </c>
      <c r="G571" s="31" t="s">
        <v>3665</v>
      </c>
      <c r="H571" s="31" t="s">
        <v>3666</v>
      </c>
      <c r="I571" s="31" t="s">
        <v>3842</v>
      </c>
      <c r="J571" s="37" t="s">
        <v>4047</v>
      </c>
      <c r="K571" s="31" t="s">
        <v>2328</v>
      </c>
      <c r="L571" s="31" t="s">
        <v>411</v>
      </c>
      <c r="M571" s="31" t="s">
        <v>2232</v>
      </c>
      <c r="N571" s="31" t="s">
        <v>2328</v>
      </c>
    </row>
    <row r="572" spans="1:14" ht="75" x14ac:dyDescent="0.25">
      <c r="A572" s="31" t="s">
        <v>3048</v>
      </c>
      <c r="B572" s="32" t="s">
        <v>1705</v>
      </c>
      <c r="C572" s="31" t="b">
        <v>0</v>
      </c>
      <c r="D572" s="31">
        <v>6</v>
      </c>
      <c r="E572" s="38" t="s">
        <v>2282</v>
      </c>
      <c r="F572" s="31" t="s">
        <v>131</v>
      </c>
      <c r="G572" s="31" t="s">
        <v>3665</v>
      </c>
      <c r="H572" s="31" t="s">
        <v>3666</v>
      </c>
      <c r="I572" s="31" t="s">
        <v>3842</v>
      </c>
      <c r="J572" s="37" t="s">
        <v>4047</v>
      </c>
      <c r="K572" s="31" t="s">
        <v>2328</v>
      </c>
      <c r="L572" s="31" t="s">
        <v>411</v>
      </c>
      <c r="M572" s="31" t="s">
        <v>2232</v>
      </c>
      <c r="N572" s="31" t="s">
        <v>2328</v>
      </c>
    </row>
    <row r="573" spans="1:14" ht="75" x14ac:dyDescent="0.25">
      <c r="A573" s="31" t="s">
        <v>3049</v>
      </c>
      <c r="B573" s="32" t="s">
        <v>1706</v>
      </c>
      <c r="C573" s="31" t="b">
        <v>0</v>
      </c>
      <c r="D573" s="31">
        <v>6</v>
      </c>
      <c r="E573" s="38" t="s">
        <v>10</v>
      </c>
      <c r="F573" s="31" t="s">
        <v>131</v>
      </c>
      <c r="G573" s="31" t="s">
        <v>3665</v>
      </c>
      <c r="H573" s="31" t="s">
        <v>3666</v>
      </c>
      <c r="I573" s="31" t="s">
        <v>3842</v>
      </c>
      <c r="J573" s="37" t="s">
        <v>4047</v>
      </c>
      <c r="K573" s="31" t="s">
        <v>2328</v>
      </c>
      <c r="L573" s="31" t="s">
        <v>411</v>
      </c>
      <c r="M573" s="31" t="s">
        <v>2232</v>
      </c>
      <c r="N573" s="31" t="s">
        <v>2328</v>
      </c>
    </row>
    <row r="574" spans="1:14" ht="75" x14ac:dyDescent="0.25">
      <c r="A574" s="31" t="s">
        <v>3050</v>
      </c>
      <c r="B574" s="32" t="s">
        <v>1707</v>
      </c>
      <c r="C574" s="31" t="b">
        <v>0</v>
      </c>
      <c r="D574" s="31">
        <v>6</v>
      </c>
      <c r="E574" s="38" t="s">
        <v>1708</v>
      </c>
      <c r="F574" s="31" t="s">
        <v>131</v>
      </c>
      <c r="G574" s="31" t="s">
        <v>3665</v>
      </c>
      <c r="H574" s="31" t="s">
        <v>3666</v>
      </c>
      <c r="I574" s="31" t="s">
        <v>3842</v>
      </c>
      <c r="J574" s="37" t="s">
        <v>4047</v>
      </c>
      <c r="K574" s="31" t="s">
        <v>2328</v>
      </c>
      <c r="L574" s="31" t="s">
        <v>411</v>
      </c>
      <c r="M574" s="31" t="s">
        <v>2232</v>
      </c>
      <c r="N574" s="31" t="s">
        <v>2328</v>
      </c>
    </row>
    <row r="575" spans="1:14" ht="75" x14ac:dyDescent="0.25">
      <c r="A575" s="31" t="s">
        <v>2328</v>
      </c>
      <c r="B575" s="32" t="s">
        <v>1709</v>
      </c>
      <c r="C575" s="31" t="b">
        <v>1</v>
      </c>
      <c r="D575" s="31">
        <v>4</v>
      </c>
      <c r="E575" s="35" t="s">
        <v>3360</v>
      </c>
      <c r="F575" s="31" t="s">
        <v>3443</v>
      </c>
      <c r="G575" s="31" t="s">
        <v>3665</v>
      </c>
      <c r="H575" s="31" t="s">
        <v>3666</v>
      </c>
      <c r="I575" s="31" t="s">
        <v>3842</v>
      </c>
      <c r="J575" s="37" t="s">
        <v>4047</v>
      </c>
      <c r="K575" s="31" t="s">
        <v>2328</v>
      </c>
      <c r="L575" s="31" t="s">
        <v>411</v>
      </c>
      <c r="M575" s="31" t="s">
        <v>2232</v>
      </c>
      <c r="N575" s="31" t="s">
        <v>2328</v>
      </c>
    </row>
    <row r="576" spans="1:14" ht="75" x14ac:dyDescent="0.25">
      <c r="A576" s="31" t="s">
        <v>3051</v>
      </c>
      <c r="B576" s="32" t="s">
        <v>1711</v>
      </c>
      <c r="C576" s="31" t="b">
        <v>0</v>
      </c>
      <c r="D576" s="31">
        <v>6</v>
      </c>
      <c r="E576" s="38" t="s">
        <v>1712</v>
      </c>
      <c r="F576" s="31" t="s">
        <v>131</v>
      </c>
      <c r="G576" s="31" t="s">
        <v>3665</v>
      </c>
      <c r="H576" s="31" t="s">
        <v>3666</v>
      </c>
      <c r="I576" s="31" t="s">
        <v>3842</v>
      </c>
      <c r="J576" s="37" t="s">
        <v>4047</v>
      </c>
      <c r="K576" s="31" t="s">
        <v>2328</v>
      </c>
      <c r="L576" s="31" t="s">
        <v>411</v>
      </c>
      <c r="M576" s="31" t="s">
        <v>2232</v>
      </c>
      <c r="N576" s="31" t="s">
        <v>2328</v>
      </c>
    </row>
    <row r="577" spans="1:14" ht="75" x14ac:dyDescent="0.25">
      <c r="A577" s="31" t="s">
        <v>3052</v>
      </c>
      <c r="B577" s="32" t="s">
        <v>1713</v>
      </c>
      <c r="C577" s="31" t="b">
        <v>0</v>
      </c>
      <c r="D577" s="31">
        <v>6</v>
      </c>
      <c r="E577" s="38" t="s">
        <v>1714</v>
      </c>
      <c r="F577" s="31" t="s">
        <v>131</v>
      </c>
      <c r="G577" s="31" t="s">
        <v>3665</v>
      </c>
      <c r="H577" s="31" t="s">
        <v>3666</v>
      </c>
      <c r="I577" s="31" t="s">
        <v>3842</v>
      </c>
      <c r="J577" s="37" t="s">
        <v>4047</v>
      </c>
      <c r="K577" s="31" t="s">
        <v>2328</v>
      </c>
      <c r="L577" s="31" t="s">
        <v>411</v>
      </c>
      <c r="M577" s="31" t="s">
        <v>2232</v>
      </c>
      <c r="N577" s="31" t="s">
        <v>2328</v>
      </c>
    </row>
    <row r="578" spans="1:14" ht="75" x14ac:dyDescent="0.25">
      <c r="A578" s="31" t="s">
        <v>2328</v>
      </c>
      <c r="B578" s="32" t="s">
        <v>1715</v>
      </c>
      <c r="C578" s="31" t="b">
        <v>1</v>
      </c>
      <c r="D578" s="31">
        <v>4</v>
      </c>
      <c r="E578" s="35" t="s">
        <v>3361</v>
      </c>
      <c r="F578" s="31" t="s">
        <v>3443</v>
      </c>
      <c r="G578" s="31" t="s">
        <v>3665</v>
      </c>
      <c r="H578" s="31" t="s">
        <v>3666</v>
      </c>
      <c r="I578" s="31" t="s">
        <v>3842</v>
      </c>
      <c r="J578" s="37" t="s">
        <v>4047</v>
      </c>
      <c r="K578" s="31" t="s">
        <v>2328</v>
      </c>
      <c r="L578" s="31" t="s">
        <v>411</v>
      </c>
      <c r="M578" s="31" t="s">
        <v>2232</v>
      </c>
      <c r="N578" s="31" t="s">
        <v>2328</v>
      </c>
    </row>
    <row r="579" spans="1:14" ht="75" x14ac:dyDescent="0.25">
      <c r="A579" s="31" t="s">
        <v>3053</v>
      </c>
      <c r="B579" s="32" t="s">
        <v>1717</v>
      </c>
      <c r="C579" s="31" t="b">
        <v>0</v>
      </c>
      <c r="D579" s="31">
        <v>6</v>
      </c>
      <c r="E579" s="38" t="s">
        <v>27</v>
      </c>
      <c r="F579" s="31" t="s">
        <v>131</v>
      </c>
      <c r="G579" s="31" t="s">
        <v>3665</v>
      </c>
      <c r="H579" s="31" t="s">
        <v>3666</v>
      </c>
      <c r="I579" s="31" t="s">
        <v>3842</v>
      </c>
      <c r="J579" s="37" t="s">
        <v>4047</v>
      </c>
      <c r="K579" s="31" t="s">
        <v>2328</v>
      </c>
      <c r="L579" s="31" t="s">
        <v>411</v>
      </c>
      <c r="M579" s="31" t="s">
        <v>2232</v>
      </c>
      <c r="N579" s="31" t="s">
        <v>2328</v>
      </c>
    </row>
    <row r="580" spans="1:14" ht="75" x14ac:dyDescent="0.25">
      <c r="A580" s="31" t="s">
        <v>3054</v>
      </c>
      <c r="B580" s="32" t="s">
        <v>1718</v>
      </c>
      <c r="C580" s="31" t="b">
        <v>0</v>
      </c>
      <c r="D580" s="31">
        <v>6</v>
      </c>
      <c r="E580" s="38" t="s">
        <v>1719</v>
      </c>
      <c r="F580" s="31" t="s">
        <v>131</v>
      </c>
      <c r="G580" s="31" t="s">
        <v>3665</v>
      </c>
      <c r="H580" s="31" t="s">
        <v>3666</v>
      </c>
      <c r="I580" s="31" t="s">
        <v>3842</v>
      </c>
      <c r="J580" s="37" t="s">
        <v>4047</v>
      </c>
      <c r="K580" s="31" t="s">
        <v>2328</v>
      </c>
      <c r="L580" s="31" t="s">
        <v>411</v>
      </c>
      <c r="M580" s="31" t="s">
        <v>2232</v>
      </c>
      <c r="N580" s="31" t="s">
        <v>2328</v>
      </c>
    </row>
    <row r="581" spans="1:14" ht="75" x14ac:dyDescent="0.25">
      <c r="A581" s="31" t="s">
        <v>3055</v>
      </c>
      <c r="B581" s="32" t="s">
        <v>1720</v>
      </c>
      <c r="C581" s="31" t="b">
        <v>0</v>
      </c>
      <c r="D581" s="31">
        <v>6</v>
      </c>
      <c r="E581" s="38" t="s">
        <v>1721</v>
      </c>
      <c r="F581" s="31" t="s">
        <v>131</v>
      </c>
      <c r="G581" s="31" t="s">
        <v>3665</v>
      </c>
      <c r="H581" s="31" t="s">
        <v>3666</v>
      </c>
      <c r="I581" s="31" t="s">
        <v>3842</v>
      </c>
      <c r="J581" s="37" t="s">
        <v>4047</v>
      </c>
      <c r="K581" s="31" t="s">
        <v>2328</v>
      </c>
      <c r="L581" s="31" t="s">
        <v>411</v>
      </c>
      <c r="M581" s="31" t="s">
        <v>2232</v>
      </c>
      <c r="N581" s="31" t="s">
        <v>2328</v>
      </c>
    </row>
    <row r="582" spans="1:14" ht="409.5" x14ac:dyDescent="0.25">
      <c r="A582" s="31" t="s">
        <v>3056</v>
      </c>
      <c r="B582" s="32" t="s">
        <v>1722</v>
      </c>
      <c r="C582" s="31" t="b">
        <v>0</v>
      </c>
      <c r="D582" s="31">
        <v>6</v>
      </c>
      <c r="E582" s="38" t="s">
        <v>3567</v>
      </c>
      <c r="F582" s="31" t="s">
        <v>131</v>
      </c>
      <c r="G582" s="31" t="s">
        <v>3665</v>
      </c>
      <c r="H582" s="31" t="s">
        <v>3666</v>
      </c>
      <c r="I582" s="31" t="s">
        <v>3842</v>
      </c>
      <c r="J582" s="37" t="s">
        <v>4047</v>
      </c>
      <c r="K582" s="31" t="s">
        <v>2328</v>
      </c>
      <c r="L582" s="31" t="s">
        <v>411</v>
      </c>
      <c r="M582" s="31" t="s">
        <v>2232</v>
      </c>
      <c r="N582" s="31" t="s">
        <v>2328</v>
      </c>
    </row>
    <row r="583" spans="1:14" ht="75" x14ac:dyDescent="0.25">
      <c r="A583" s="31" t="s">
        <v>2328</v>
      </c>
      <c r="B583" s="32" t="s">
        <v>1723</v>
      </c>
      <c r="C583" s="31" t="b">
        <v>1</v>
      </c>
      <c r="D583" s="31">
        <v>4</v>
      </c>
      <c r="E583" s="35" t="s">
        <v>3362</v>
      </c>
      <c r="F583" s="31" t="s">
        <v>3443</v>
      </c>
      <c r="G583" s="31" t="s">
        <v>3665</v>
      </c>
      <c r="H583" s="31" t="s">
        <v>3666</v>
      </c>
      <c r="I583" s="31" t="s">
        <v>3842</v>
      </c>
      <c r="J583" s="37" t="s">
        <v>4047</v>
      </c>
      <c r="K583" s="31" t="s">
        <v>2328</v>
      </c>
      <c r="L583" s="31" t="s">
        <v>411</v>
      </c>
      <c r="M583" s="31" t="s">
        <v>2232</v>
      </c>
      <c r="N583" s="31" t="s">
        <v>2328</v>
      </c>
    </row>
    <row r="584" spans="1:14" ht="75" x14ac:dyDescent="0.25">
      <c r="A584" s="31" t="s">
        <v>3057</v>
      </c>
      <c r="B584" s="32" t="s">
        <v>1725</v>
      </c>
      <c r="C584" s="31" t="b">
        <v>0</v>
      </c>
      <c r="D584" s="31">
        <v>6</v>
      </c>
      <c r="E584" s="38" t="s">
        <v>1726</v>
      </c>
      <c r="F584" s="31" t="s">
        <v>131</v>
      </c>
      <c r="G584" s="31" t="s">
        <v>3665</v>
      </c>
      <c r="H584" s="31" t="s">
        <v>3666</v>
      </c>
      <c r="I584" s="31" t="s">
        <v>3842</v>
      </c>
      <c r="J584" s="37" t="s">
        <v>4047</v>
      </c>
      <c r="K584" s="31" t="s">
        <v>2328</v>
      </c>
      <c r="L584" s="31" t="s">
        <v>411</v>
      </c>
      <c r="M584" s="31" t="s">
        <v>2232</v>
      </c>
      <c r="N584" s="31" t="s">
        <v>2328</v>
      </c>
    </row>
    <row r="585" spans="1:14" ht="75" x14ac:dyDescent="0.25">
      <c r="A585" s="31" t="s">
        <v>3058</v>
      </c>
      <c r="B585" s="32" t="s">
        <v>1727</v>
      </c>
      <c r="C585" s="31" t="b">
        <v>0</v>
      </c>
      <c r="D585" s="31">
        <v>6</v>
      </c>
      <c r="E585" s="38" t="s">
        <v>1728</v>
      </c>
      <c r="F585" s="31" t="s">
        <v>131</v>
      </c>
      <c r="G585" s="31" t="s">
        <v>3665</v>
      </c>
      <c r="H585" s="31" t="s">
        <v>3666</v>
      </c>
      <c r="I585" s="31" t="s">
        <v>3842</v>
      </c>
      <c r="J585" s="37" t="s">
        <v>4047</v>
      </c>
      <c r="K585" s="31" t="s">
        <v>2328</v>
      </c>
      <c r="L585" s="31" t="s">
        <v>411</v>
      </c>
      <c r="M585" s="31" t="s">
        <v>2232</v>
      </c>
      <c r="N585" s="31" t="s">
        <v>2328</v>
      </c>
    </row>
    <row r="586" spans="1:14" ht="75" x14ac:dyDescent="0.25">
      <c r="A586" s="31" t="s">
        <v>3059</v>
      </c>
      <c r="B586" s="32" t="s">
        <v>1729</v>
      </c>
      <c r="C586" s="31" t="b">
        <v>0</v>
      </c>
      <c r="D586" s="31">
        <v>6</v>
      </c>
      <c r="E586" s="38" t="s">
        <v>1730</v>
      </c>
      <c r="F586" s="31" t="s">
        <v>131</v>
      </c>
      <c r="G586" s="31" t="s">
        <v>3665</v>
      </c>
      <c r="H586" s="31" t="s">
        <v>3666</v>
      </c>
      <c r="I586" s="31" t="s">
        <v>3842</v>
      </c>
      <c r="J586" s="37" t="s">
        <v>4047</v>
      </c>
      <c r="K586" s="31" t="s">
        <v>2328</v>
      </c>
      <c r="L586" s="31" t="s">
        <v>411</v>
      </c>
      <c r="M586" s="31" t="s">
        <v>2232</v>
      </c>
      <c r="N586" s="31" t="s">
        <v>2328</v>
      </c>
    </row>
    <row r="587" spans="1:14" ht="75" x14ac:dyDescent="0.25">
      <c r="A587" s="31" t="s">
        <v>3060</v>
      </c>
      <c r="B587" s="32" t="s">
        <v>1731</v>
      </c>
      <c r="C587" s="31" t="b">
        <v>0</v>
      </c>
      <c r="D587" s="31">
        <v>6</v>
      </c>
      <c r="E587" s="38" t="s">
        <v>1732</v>
      </c>
      <c r="F587" s="31" t="s">
        <v>131</v>
      </c>
      <c r="G587" s="31" t="s">
        <v>3665</v>
      </c>
      <c r="H587" s="31" t="s">
        <v>3666</v>
      </c>
      <c r="I587" s="31" t="s">
        <v>3842</v>
      </c>
      <c r="J587" s="37" t="s">
        <v>4047</v>
      </c>
      <c r="K587" s="31" t="s">
        <v>2328</v>
      </c>
      <c r="L587" s="31" t="s">
        <v>411</v>
      </c>
      <c r="M587" s="31" t="s">
        <v>2232</v>
      </c>
      <c r="N587" s="31" t="s">
        <v>2328</v>
      </c>
    </row>
    <row r="588" spans="1:14" ht="75" x14ac:dyDescent="0.25">
      <c r="A588" s="31" t="s">
        <v>3061</v>
      </c>
      <c r="B588" s="32" t="s">
        <v>1733</v>
      </c>
      <c r="C588" s="31" t="b">
        <v>0</v>
      </c>
      <c r="D588" s="31">
        <v>6</v>
      </c>
      <c r="E588" s="38" t="s">
        <v>1734</v>
      </c>
      <c r="F588" s="31" t="s">
        <v>131</v>
      </c>
      <c r="G588" s="31" t="s">
        <v>3665</v>
      </c>
      <c r="H588" s="31" t="s">
        <v>3666</v>
      </c>
      <c r="I588" s="31" t="s">
        <v>3842</v>
      </c>
      <c r="J588" s="37" t="s">
        <v>4047</v>
      </c>
      <c r="K588" s="31" t="s">
        <v>2328</v>
      </c>
      <c r="L588" s="31" t="s">
        <v>411</v>
      </c>
      <c r="M588" s="31" t="s">
        <v>2232</v>
      </c>
      <c r="N588" s="31" t="s">
        <v>2328</v>
      </c>
    </row>
    <row r="589" spans="1:14" ht="75" x14ac:dyDescent="0.25">
      <c r="A589" s="31" t="s">
        <v>3062</v>
      </c>
      <c r="B589" s="32" t="s">
        <v>1735</v>
      </c>
      <c r="C589" s="31" t="b">
        <v>0</v>
      </c>
      <c r="D589" s="31">
        <v>6</v>
      </c>
      <c r="E589" s="38" t="s">
        <v>1736</v>
      </c>
      <c r="F589" s="31" t="s">
        <v>131</v>
      </c>
      <c r="G589" s="31" t="s">
        <v>3665</v>
      </c>
      <c r="H589" s="31" t="s">
        <v>3666</v>
      </c>
      <c r="I589" s="31" t="s">
        <v>3842</v>
      </c>
      <c r="J589" s="37" t="s">
        <v>4047</v>
      </c>
      <c r="K589" s="31" t="s">
        <v>2328</v>
      </c>
      <c r="L589" s="31" t="s">
        <v>411</v>
      </c>
      <c r="M589" s="31" t="s">
        <v>2232</v>
      </c>
      <c r="N589" s="31" t="s">
        <v>2328</v>
      </c>
    </row>
    <row r="590" spans="1:14" ht="75" x14ac:dyDescent="0.25">
      <c r="A590" s="31" t="s">
        <v>2328</v>
      </c>
      <c r="B590" s="32" t="s">
        <v>1737</v>
      </c>
      <c r="C590" s="31" t="b">
        <v>1</v>
      </c>
      <c r="D590" s="31">
        <v>4</v>
      </c>
      <c r="E590" s="35" t="s">
        <v>3363</v>
      </c>
      <c r="F590" s="31" t="s">
        <v>3443</v>
      </c>
      <c r="G590" s="31" t="s">
        <v>3665</v>
      </c>
      <c r="H590" s="31" t="s">
        <v>3666</v>
      </c>
      <c r="I590" s="31" t="s">
        <v>3842</v>
      </c>
      <c r="J590" s="37" t="s">
        <v>4047</v>
      </c>
      <c r="K590" s="31" t="s">
        <v>2328</v>
      </c>
      <c r="L590" s="31" t="s">
        <v>411</v>
      </c>
      <c r="M590" s="31" t="s">
        <v>2232</v>
      </c>
      <c r="N590" s="31" t="s">
        <v>2328</v>
      </c>
    </row>
    <row r="591" spans="1:14" ht="75" x14ac:dyDescent="0.25">
      <c r="A591" s="31" t="s">
        <v>3063</v>
      </c>
      <c r="B591" s="32" t="s">
        <v>1739</v>
      </c>
      <c r="C591" s="31" t="b">
        <v>0</v>
      </c>
      <c r="D591" s="31">
        <v>6</v>
      </c>
      <c r="E591" s="38" t="s">
        <v>1740</v>
      </c>
      <c r="F591" s="31" t="s">
        <v>131</v>
      </c>
      <c r="G591" s="31" t="s">
        <v>3665</v>
      </c>
      <c r="H591" s="31" t="s">
        <v>3666</v>
      </c>
      <c r="I591" s="31" t="s">
        <v>3842</v>
      </c>
      <c r="J591" s="37" t="s">
        <v>4047</v>
      </c>
      <c r="K591" s="31" t="s">
        <v>2328</v>
      </c>
      <c r="L591" s="31" t="s">
        <v>411</v>
      </c>
      <c r="M591" s="31" t="s">
        <v>2232</v>
      </c>
      <c r="N591" s="31" t="s">
        <v>2328</v>
      </c>
    </row>
    <row r="592" spans="1:14" ht="75" x14ac:dyDescent="0.25">
      <c r="A592" s="31" t="s">
        <v>2328</v>
      </c>
      <c r="B592" s="32" t="s">
        <v>1741</v>
      </c>
      <c r="C592" s="31" t="b">
        <v>1</v>
      </c>
      <c r="D592" s="31">
        <v>4</v>
      </c>
      <c r="E592" s="35" t="s">
        <v>3364</v>
      </c>
      <c r="F592" s="31" t="s">
        <v>3443</v>
      </c>
      <c r="G592" s="31" t="s">
        <v>3665</v>
      </c>
      <c r="H592" s="31" t="s">
        <v>3666</v>
      </c>
      <c r="I592" s="31" t="s">
        <v>3842</v>
      </c>
      <c r="J592" s="37" t="s">
        <v>4047</v>
      </c>
      <c r="K592" s="31" t="s">
        <v>2328</v>
      </c>
      <c r="L592" s="31" t="s">
        <v>411</v>
      </c>
      <c r="M592" s="31" t="s">
        <v>2232</v>
      </c>
      <c r="N592" s="31" t="s">
        <v>2328</v>
      </c>
    </row>
    <row r="593" spans="1:14" ht="75" x14ac:dyDescent="0.25">
      <c r="A593" s="31" t="s">
        <v>3064</v>
      </c>
      <c r="B593" s="32" t="s">
        <v>1743</v>
      </c>
      <c r="C593" s="31" t="b">
        <v>0</v>
      </c>
      <c r="D593" s="31">
        <v>6</v>
      </c>
      <c r="E593" s="38" t="s">
        <v>1744</v>
      </c>
      <c r="F593" s="31" t="s">
        <v>131</v>
      </c>
      <c r="G593" s="31" t="s">
        <v>3665</v>
      </c>
      <c r="H593" s="31" t="s">
        <v>3666</v>
      </c>
      <c r="I593" s="31" t="s">
        <v>3842</v>
      </c>
      <c r="J593" s="37" t="s">
        <v>4047</v>
      </c>
      <c r="K593" s="31" t="s">
        <v>2328</v>
      </c>
      <c r="L593" s="31" t="s">
        <v>411</v>
      </c>
      <c r="M593" s="31" t="s">
        <v>2232</v>
      </c>
      <c r="N593" s="31" t="s">
        <v>2328</v>
      </c>
    </row>
    <row r="594" spans="1:14" ht="60" x14ac:dyDescent="0.25">
      <c r="A594" s="31" t="s">
        <v>3064</v>
      </c>
      <c r="B594" s="32" t="s">
        <v>3713</v>
      </c>
      <c r="C594" s="31" t="b">
        <v>0</v>
      </c>
      <c r="D594" s="31">
        <v>6</v>
      </c>
      <c r="E594" s="38" t="s">
        <v>3715</v>
      </c>
      <c r="F594" s="31" t="s">
        <v>131</v>
      </c>
      <c r="G594" s="31" t="s">
        <v>2328</v>
      </c>
      <c r="H594" s="31" t="s">
        <v>2328</v>
      </c>
      <c r="I594" s="31" t="s">
        <v>3842</v>
      </c>
      <c r="J594" s="37" t="s">
        <v>4048</v>
      </c>
      <c r="K594" s="31" t="s">
        <v>2328</v>
      </c>
      <c r="L594" s="31" t="s">
        <v>411</v>
      </c>
      <c r="M594" s="31" t="s">
        <v>2232</v>
      </c>
      <c r="N594" s="31" t="s">
        <v>2328</v>
      </c>
    </row>
    <row r="595" spans="1:14" ht="75" x14ac:dyDescent="0.25">
      <c r="A595" s="31" t="s">
        <v>2328</v>
      </c>
      <c r="B595" s="32" t="s">
        <v>1745</v>
      </c>
      <c r="C595" s="31" t="b">
        <v>1</v>
      </c>
      <c r="D595" s="31">
        <v>4</v>
      </c>
      <c r="E595" s="35" t="s">
        <v>3365</v>
      </c>
      <c r="F595" s="31" t="s">
        <v>3443</v>
      </c>
      <c r="G595" s="31" t="s">
        <v>3665</v>
      </c>
      <c r="H595" s="31" t="s">
        <v>3666</v>
      </c>
      <c r="I595" s="31" t="s">
        <v>3842</v>
      </c>
      <c r="J595" s="37" t="s">
        <v>4047</v>
      </c>
      <c r="K595" s="31" t="s">
        <v>2328</v>
      </c>
      <c r="L595" s="31" t="s">
        <v>125</v>
      </c>
      <c r="M595" s="31" t="s">
        <v>2232</v>
      </c>
      <c r="N595" s="31" t="s">
        <v>2328</v>
      </c>
    </row>
    <row r="596" spans="1:14" ht="75" x14ac:dyDescent="0.25">
      <c r="A596" s="31" t="s">
        <v>3065</v>
      </c>
      <c r="B596" s="32" t="s">
        <v>1747</v>
      </c>
      <c r="C596" s="31" t="b">
        <v>0</v>
      </c>
      <c r="D596" s="31">
        <v>6</v>
      </c>
      <c r="E596" s="38" t="s">
        <v>2283</v>
      </c>
      <c r="F596" s="31" t="s">
        <v>131</v>
      </c>
      <c r="G596" s="31" t="s">
        <v>3665</v>
      </c>
      <c r="H596" s="31" t="s">
        <v>3666</v>
      </c>
      <c r="I596" s="31" t="s">
        <v>3842</v>
      </c>
      <c r="J596" s="37" t="s">
        <v>4047</v>
      </c>
      <c r="K596" s="31" t="s">
        <v>2328</v>
      </c>
      <c r="L596" s="31" t="s">
        <v>125</v>
      </c>
      <c r="M596" s="31" t="s">
        <v>2232</v>
      </c>
      <c r="N596" s="31" t="s">
        <v>2328</v>
      </c>
    </row>
    <row r="597" spans="1:14" ht="75" x14ac:dyDescent="0.25">
      <c r="A597" s="31" t="s">
        <v>3066</v>
      </c>
      <c r="B597" s="32" t="s">
        <v>1748</v>
      </c>
      <c r="C597" s="31" t="b">
        <v>0</v>
      </c>
      <c r="D597" s="31">
        <v>6</v>
      </c>
      <c r="E597" s="38" t="s">
        <v>1749</v>
      </c>
      <c r="F597" s="31" t="s">
        <v>131</v>
      </c>
      <c r="G597" s="31" t="s">
        <v>3665</v>
      </c>
      <c r="H597" s="31" t="s">
        <v>3666</v>
      </c>
      <c r="I597" s="31" t="s">
        <v>3842</v>
      </c>
      <c r="J597" s="37" t="s">
        <v>4047</v>
      </c>
      <c r="K597" s="31" t="s">
        <v>2328</v>
      </c>
      <c r="L597" s="31" t="s">
        <v>125</v>
      </c>
      <c r="M597" s="31" t="s">
        <v>2232</v>
      </c>
      <c r="N597" s="31" t="s">
        <v>2328</v>
      </c>
    </row>
    <row r="598" spans="1:14" ht="75" x14ac:dyDescent="0.25">
      <c r="A598" s="31" t="s">
        <v>3067</v>
      </c>
      <c r="B598" s="32" t="s">
        <v>1750</v>
      </c>
      <c r="C598" s="31" t="b">
        <v>0</v>
      </c>
      <c r="D598" s="31">
        <v>6</v>
      </c>
      <c r="E598" s="38" t="s">
        <v>1751</v>
      </c>
      <c r="F598" s="31" t="s">
        <v>131</v>
      </c>
      <c r="G598" s="31" t="s">
        <v>3665</v>
      </c>
      <c r="H598" s="31" t="s">
        <v>3666</v>
      </c>
      <c r="I598" s="31" t="s">
        <v>3842</v>
      </c>
      <c r="J598" s="37" t="s">
        <v>4047</v>
      </c>
      <c r="K598" s="31" t="s">
        <v>2328</v>
      </c>
      <c r="L598" s="31" t="s">
        <v>125</v>
      </c>
      <c r="M598" s="31" t="s">
        <v>2232</v>
      </c>
      <c r="N598" s="31" t="s">
        <v>2328</v>
      </c>
    </row>
    <row r="599" spans="1:14" ht="75" x14ac:dyDescent="0.25">
      <c r="A599" s="31" t="s">
        <v>3068</v>
      </c>
      <c r="B599" s="32" t="s">
        <v>1752</v>
      </c>
      <c r="C599" s="31" t="b">
        <v>0</v>
      </c>
      <c r="D599" s="31">
        <v>6</v>
      </c>
      <c r="E599" s="38" t="s">
        <v>1753</v>
      </c>
      <c r="F599" s="31" t="s">
        <v>131</v>
      </c>
      <c r="G599" s="31" t="s">
        <v>3665</v>
      </c>
      <c r="H599" s="31" t="s">
        <v>3666</v>
      </c>
      <c r="I599" s="31" t="s">
        <v>3842</v>
      </c>
      <c r="J599" s="37" t="s">
        <v>4047</v>
      </c>
      <c r="K599" s="31" t="s">
        <v>2328</v>
      </c>
      <c r="L599" s="31" t="s">
        <v>125</v>
      </c>
      <c r="M599" s="31" t="s">
        <v>2232</v>
      </c>
      <c r="N599" s="31" t="s">
        <v>2328</v>
      </c>
    </row>
    <row r="600" spans="1:14" ht="75" x14ac:dyDescent="0.25">
      <c r="A600" s="31" t="s">
        <v>2328</v>
      </c>
      <c r="B600" s="32" t="s">
        <v>1754</v>
      </c>
      <c r="C600" s="31" t="b">
        <v>0</v>
      </c>
      <c r="D600" s="31">
        <v>6</v>
      </c>
      <c r="E600" s="38" t="s">
        <v>1755</v>
      </c>
      <c r="F600" s="31" t="s">
        <v>139</v>
      </c>
      <c r="G600" s="31" t="s">
        <v>3665</v>
      </c>
      <c r="H600" s="31" t="s">
        <v>3666</v>
      </c>
      <c r="I600" s="31" t="s">
        <v>3842</v>
      </c>
      <c r="J600" s="37" t="s">
        <v>4047</v>
      </c>
      <c r="K600" s="31" t="s">
        <v>2328</v>
      </c>
      <c r="L600" s="31" t="s">
        <v>125</v>
      </c>
      <c r="M600" s="31" t="s">
        <v>2232</v>
      </c>
      <c r="N600" s="31" t="s">
        <v>2328</v>
      </c>
    </row>
    <row r="601" spans="1:14" ht="75" x14ac:dyDescent="0.25">
      <c r="A601" s="31" t="s">
        <v>3069</v>
      </c>
      <c r="B601" s="32" t="s">
        <v>1756</v>
      </c>
      <c r="C601" s="31" t="b">
        <v>0</v>
      </c>
      <c r="D601" s="31">
        <v>6</v>
      </c>
      <c r="E601" s="38" t="s">
        <v>1757</v>
      </c>
      <c r="F601" s="31" t="s">
        <v>131</v>
      </c>
      <c r="G601" s="31" t="s">
        <v>3665</v>
      </c>
      <c r="H601" s="31" t="s">
        <v>3666</v>
      </c>
      <c r="I601" s="31" t="s">
        <v>3842</v>
      </c>
      <c r="J601" s="37" t="s">
        <v>4047</v>
      </c>
      <c r="K601" s="31" t="s">
        <v>2328</v>
      </c>
      <c r="L601" s="31" t="s">
        <v>125</v>
      </c>
      <c r="M601" s="31" t="s">
        <v>2232</v>
      </c>
      <c r="N601" s="31" t="s">
        <v>2328</v>
      </c>
    </row>
    <row r="602" spans="1:14" ht="75" x14ac:dyDescent="0.25">
      <c r="A602" s="31" t="s">
        <v>3070</v>
      </c>
      <c r="B602" s="32" t="s">
        <v>1758</v>
      </c>
      <c r="C602" s="31" t="b">
        <v>0</v>
      </c>
      <c r="D602" s="31">
        <v>6</v>
      </c>
      <c r="E602" s="38" t="s">
        <v>3323</v>
      </c>
      <c r="F602" s="31" t="s">
        <v>131</v>
      </c>
      <c r="G602" s="31" t="s">
        <v>3665</v>
      </c>
      <c r="H602" s="31" t="s">
        <v>3666</v>
      </c>
      <c r="I602" s="31" t="s">
        <v>3842</v>
      </c>
      <c r="J602" s="37" t="s">
        <v>4047</v>
      </c>
      <c r="K602" s="31" t="s">
        <v>2328</v>
      </c>
      <c r="L602" s="31" t="s">
        <v>125</v>
      </c>
      <c r="M602" s="31" t="s">
        <v>2232</v>
      </c>
      <c r="N602" s="31" t="s">
        <v>2328</v>
      </c>
    </row>
    <row r="603" spans="1:14" ht="75" x14ac:dyDescent="0.25">
      <c r="A603" s="31" t="s">
        <v>3071</v>
      </c>
      <c r="B603" s="32" t="s">
        <v>1759</v>
      </c>
      <c r="C603" s="31" t="b">
        <v>0</v>
      </c>
      <c r="D603" s="31">
        <v>6</v>
      </c>
      <c r="E603" s="38" t="s">
        <v>3324</v>
      </c>
      <c r="F603" s="31" t="s">
        <v>131</v>
      </c>
      <c r="G603" s="31" t="s">
        <v>3665</v>
      </c>
      <c r="H603" s="31" t="s">
        <v>3666</v>
      </c>
      <c r="I603" s="31" t="s">
        <v>3842</v>
      </c>
      <c r="J603" s="37" t="s">
        <v>4047</v>
      </c>
      <c r="K603" s="31" t="s">
        <v>2328</v>
      </c>
      <c r="L603" s="31" t="s">
        <v>125</v>
      </c>
      <c r="M603" s="31" t="s">
        <v>2232</v>
      </c>
      <c r="N603" s="31" t="s">
        <v>2328</v>
      </c>
    </row>
    <row r="604" spans="1:14" ht="75" x14ac:dyDescent="0.25">
      <c r="A604" s="31" t="s">
        <v>3072</v>
      </c>
      <c r="B604" s="32" t="s">
        <v>1760</v>
      </c>
      <c r="C604" s="31" t="b">
        <v>0</v>
      </c>
      <c r="D604" s="31">
        <v>6</v>
      </c>
      <c r="E604" s="38" t="s">
        <v>1761</v>
      </c>
      <c r="F604" s="31" t="s">
        <v>131</v>
      </c>
      <c r="G604" s="31" t="s">
        <v>3665</v>
      </c>
      <c r="H604" s="31" t="s">
        <v>3666</v>
      </c>
      <c r="I604" s="31" t="s">
        <v>3842</v>
      </c>
      <c r="J604" s="37" t="s">
        <v>4047</v>
      </c>
      <c r="K604" s="31" t="s">
        <v>2328</v>
      </c>
      <c r="L604" s="31" t="s">
        <v>125</v>
      </c>
      <c r="M604" s="31" t="s">
        <v>2232</v>
      </c>
      <c r="N604" s="31" t="s">
        <v>2328</v>
      </c>
    </row>
    <row r="605" spans="1:14" ht="75" x14ac:dyDescent="0.25">
      <c r="A605" s="31" t="s">
        <v>3073</v>
      </c>
      <c r="B605" s="32" t="s">
        <v>1762</v>
      </c>
      <c r="C605" s="31" t="b">
        <v>0</v>
      </c>
      <c r="D605" s="31">
        <v>6</v>
      </c>
      <c r="E605" s="38" t="s">
        <v>1763</v>
      </c>
      <c r="F605" s="31" t="s">
        <v>131</v>
      </c>
      <c r="G605" s="31" t="s">
        <v>3665</v>
      </c>
      <c r="H605" s="31" t="s">
        <v>3666</v>
      </c>
      <c r="I605" s="31" t="s">
        <v>3842</v>
      </c>
      <c r="J605" s="37" t="s">
        <v>4047</v>
      </c>
      <c r="K605" s="31" t="s">
        <v>2328</v>
      </c>
      <c r="L605" s="31" t="s">
        <v>125</v>
      </c>
      <c r="M605" s="31" t="s">
        <v>2232</v>
      </c>
      <c r="N605" s="31" t="s">
        <v>2328</v>
      </c>
    </row>
    <row r="606" spans="1:14" ht="75" x14ac:dyDescent="0.25">
      <c r="A606" s="31" t="s">
        <v>3074</v>
      </c>
      <c r="B606" s="32" t="s">
        <v>1764</v>
      </c>
      <c r="C606" s="31" t="b">
        <v>0</v>
      </c>
      <c r="D606" s="31">
        <v>6</v>
      </c>
      <c r="E606" s="38" t="s">
        <v>1765</v>
      </c>
      <c r="F606" s="31" t="s">
        <v>131</v>
      </c>
      <c r="G606" s="31" t="s">
        <v>3665</v>
      </c>
      <c r="H606" s="31" t="s">
        <v>3666</v>
      </c>
      <c r="I606" s="31" t="s">
        <v>3842</v>
      </c>
      <c r="J606" s="37" t="s">
        <v>4047</v>
      </c>
      <c r="K606" s="31" t="s">
        <v>2328</v>
      </c>
      <c r="L606" s="31" t="s">
        <v>125</v>
      </c>
      <c r="M606" s="31" t="s">
        <v>2232</v>
      </c>
      <c r="N606" s="31" t="s">
        <v>2328</v>
      </c>
    </row>
    <row r="607" spans="1:14" ht="75" x14ac:dyDescent="0.25">
      <c r="A607" s="31" t="s">
        <v>3074</v>
      </c>
      <c r="B607" s="32" t="s">
        <v>3075</v>
      </c>
      <c r="C607" s="31" t="b">
        <v>0</v>
      </c>
      <c r="D607" s="31">
        <v>6</v>
      </c>
      <c r="E607" s="38" t="s">
        <v>3325</v>
      </c>
      <c r="F607" s="31" t="s">
        <v>131</v>
      </c>
      <c r="G607" s="31" t="s">
        <v>3665</v>
      </c>
      <c r="H607" s="31" t="s">
        <v>3666</v>
      </c>
      <c r="I607" s="31" t="s">
        <v>3842</v>
      </c>
      <c r="J607" s="37" t="s">
        <v>4047</v>
      </c>
      <c r="K607" s="31" t="s">
        <v>2328</v>
      </c>
      <c r="L607" s="31" t="s">
        <v>125</v>
      </c>
      <c r="M607" s="31" t="s">
        <v>2232</v>
      </c>
      <c r="N607" s="31" t="s">
        <v>2328</v>
      </c>
    </row>
    <row r="608" spans="1:14" ht="75" x14ac:dyDescent="0.25">
      <c r="A608" s="31" t="s">
        <v>2328</v>
      </c>
      <c r="B608" s="32" t="s">
        <v>3077</v>
      </c>
      <c r="C608" s="31" t="b">
        <v>1</v>
      </c>
      <c r="D608" s="31">
        <v>4</v>
      </c>
      <c r="E608" s="35" t="s">
        <v>3415</v>
      </c>
      <c r="F608" s="31" t="s">
        <v>3443</v>
      </c>
      <c r="G608" s="31" t="s">
        <v>3665</v>
      </c>
      <c r="H608" s="31" t="s">
        <v>3666</v>
      </c>
      <c r="I608" s="31" t="s">
        <v>3842</v>
      </c>
      <c r="J608" s="37" t="s">
        <v>4047</v>
      </c>
      <c r="K608" s="31" t="s">
        <v>2328</v>
      </c>
      <c r="L608" s="31" t="s">
        <v>125</v>
      </c>
      <c r="M608" s="31" t="s">
        <v>2232</v>
      </c>
      <c r="N608" s="31" t="s">
        <v>2328</v>
      </c>
    </row>
    <row r="609" spans="1:14" ht="75" x14ac:dyDescent="0.25">
      <c r="A609" s="31" t="s">
        <v>3062</v>
      </c>
      <c r="B609" s="32" t="s">
        <v>3079</v>
      </c>
      <c r="C609" s="31" t="b">
        <v>0</v>
      </c>
      <c r="D609" s="31">
        <v>6</v>
      </c>
      <c r="E609" s="38" t="s">
        <v>3326</v>
      </c>
      <c r="F609" s="31" t="s">
        <v>131</v>
      </c>
      <c r="G609" s="31" t="s">
        <v>3665</v>
      </c>
      <c r="H609" s="31" t="s">
        <v>3666</v>
      </c>
      <c r="I609" s="31" t="s">
        <v>3842</v>
      </c>
      <c r="J609" s="37" t="s">
        <v>4047</v>
      </c>
      <c r="K609" s="31" t="s">
        <v>2328</v>
      </c>
      <c r="L609" s="31" t="s">
        <v>411</v>
      </c>
      <c r="M609" s="31" t="s">
        <v>2232</v>
      </c>
      <c r="N609" s="31" t="s">
        <v>2328</v>
      </c>
    </row>
    <row r="610" spans="1:14" ht="75" x14ac:dyDescent="0.25">
      <c r="A610" s="31" t="s">
        <v>3062</v>
      </c>
      <c r="B610" s="32" t="s">
        <v>3081</v>
      </c>
      <c r="C610" s="31" t="b">
        <v>0</v>
      </c>
      <c r="D610" s="31">
        <v>6</v>
      </c>
      <c r="E610" s="38" t="s">
        <v>3327</v>
      </c>
      <c r="F610" s="31" t="s">
        <v>131</v>
      </c>
      <c r="G610" s="31" t="s">
        <v>3665</v>
      </c>
      <c r="H610" s="31" t="s">
        <v>3666</v>
      </c>
      <c r="I610" s="31" t="s">
        <v>3842</v>
      </c>
      <c r="J610" s="37" t="s">
        <v>4047</v>
      </c>
      <c r="K610" s="31" t="s">
        <v>2328</v>
      </c>
      <c r="L610" s="31" t="s">
        <v>411</v>
      </c>
      <c r="M610" s="31" t="s">
        <v>2232</v>
      </c>
      <c r="N610" s="31" t="s">
        <v>2328</v>
      </c>
    </row>
    <row r="611" spans="1:14" ht="75" x14ac:dyDescent="0.25">
      <c r="A611" s="31" t="s">
        <v>3083</v>
      </c>
      <c r="B611" s="32" t="s">
        <v>1766</v>
      </c>
      <c r="C611" s="31" t="b">
        <v>1</v>
      </c>
      <c r="D611" s="31">
        <v>2</v>
      </c>
      <c r="E611" s="34" t="s">
        <v>3366</v>
      </c>
      <c r="F611" s="31" t="s">
        <v>3443</v>
      </c>
      <c r="G611" s="31" t="s">
        <v>3665</v>
      </c>
      <c r="H611" s="31" t="s">
        <v>3666</v>
      </c>
      <c r="I611" s="31" t="s">
        <v>3842</v>
      </c>
      <c r="J611" s="37" t="s">
        <v>4047</v>
      </c>
      <c r="K611" s="31" t="s">
        <v>2328</v>
      </c>
      <c r="L611" s="31" t="s">
        <v>414</v>
      </c>
      <c r="M611" s="31" t="s">
        <v>2232</v>
      </c>
      <c r="N611" s="31" t="s">
        <v>2328</v>
      </c>
    </row>
    <row r="612" spans="1:14" ht="75" x14ac:dyDescent="0.25">
      <c r="A612" s="31" t="s">
        <v>3084</v>
      </c>
      <c r="B612" s="32" t="s">
        <v>1768</v>
      </c>
      <c r="C612" s="31" t="b">
        <v>0</v>
      </c>
      <c r="D612" s="31">
        <v>4</v>
      </c>
      <c r="E612" s="35" t="s">
        <v>1769</v>
      </c>
      <c r="F612" s="31" t="s">
        <v>131</v>
      </c>
      <c r="G612" s="31" t="s">
        <v>3665</v>
      </c>
      <c r="H612" s="31" t="s">
        <v>3666</v>
      </c>
      <c r="I612" s="31" t="s">
        <v>3842</v>
      </c>
      <c r="J612" s="37" t="s">
        <v>4047</v>
      </c>
      <c r="K612" s="31" t="s">
        <v>2328</v>
      </c>
      <c r="L612" s="31" t="s">
        <v>414</v>
      </c>
      <c r="M612" s="31" t="s">
        <v>2232</v>
      </c>
      <c r="N612" s="31" t="s">
        <v>2328</v>
      </c>
    </row>
    <row r="613" spans="1:14" ht="75" x14ac:dyDescent="0.25">
      <c r="A613" s="31" t="s">
        <v>3085</v>
      </c>
      <c r="B613" s="32" t="s">
        <v>1770</v>
      </c>
      <c r="C613" s="31" t="b">
        <v>0</v>
      </c>
      <c r="D613" s="31">
        <v>4</v>
      </c>
      <c r="E613" s="35" t="s">
        <v>1771</v>
      </c>
      <c r="F613" s="31" t="s">
        <v>131</v>
      </c>
      <c r="G613" s="31" t="s">
        <v>3665</v>
      </c>
      <c r="H613" s="31" t="s">
        <v>3666</v>
      </c>
      <c r="I613" s="31" t="s">
        <v>3842</v>
      </c>
      <c r="J613" s="37" t="s">
        <v>4047</v>
      </c>
      <c r="K613" s="31" t="s">
        <v>2328</v>
      </c>
      <c r="L613" s="31" t="s">
        <v>414</v>
      </c>
      <c r="M613" s="31" t="s">
        <v>2232</v>
      </c>
      <c r="N613" s="31" t="s">
        <v>2328</v>
      </c>
    </row>
    <row r="614" spans="1:14" ht="75" x14ac:dyDescent="0.25">
      <c r="A614" s="31" t="s">
        <v>3086</v>
      </c>
      <c r="B614" s="32" t="s">
        <v>1772</v>
      </c>
      <c r="C614" s="31" t="b">
        <v>0</v>
      </c>
      <c r="D614" s="31">
        <v>4</v>
      </c>
      <c r="E614" s="35" t="s">
        <v>1773</v>
      </c>
      <c r="F614" s="31" t="s">
        <v>131</v>
      </c>
      <c r="G614" s="31" t="s">
        <v>3665</v>
      </c>
      <c r="H614" s="31" t="s">
        <v>3666</v>
      </c>
      <c r="I614" s="31" t="s">
        <v>3842</v>
      </c>
      <c r="J614" s="37" t="s">
        <v>4047</v>
      </c>
      <c r="K614" s="31" t="s">
        <v>2328</v>
      </c>
      <c r="L614" s="31" t="s">
        <v>414</v>
      </c>
      <c r="M614" s="31" t="s">
        <v>2232</v>
      </c>
      <c r="N614" s="31" t="s">
        <v>2328</v>
      </c>
    </row>
    <row r="615" spans="1:14" ht="75" x14ac:dyDescent="0.25">
      <c r="A615" s="31" t="s">
        <v>3087</v>
      </c>
      <c r="B615" s="32" t="s">
        <v>1774</v>
      </c>
      <c r="C615" s="31" t="b">
        <v>1</v>
      </c>
      <c r="D615" s="31">
        <v>2</v>
      </c>
      <c r="E615" s="34" t="s">
        <v>3367</v>
      </c>
      <c r="F615" s="31" t="s">
        <v>3443</v>
      </c>
      <c r="G615" s="31" t="s">
        <v>3665</v>
      </c>
      <c r="H615" s="31" t="s">
        <v>3666</v>
      </c>
      <c r="I615" s="31" t="s">
        <v>3842</v>
      </c>
      <c r="J615" s="37" t="s">
        <v>4047</v>
      </c>
      <c r="K615" s="31" t="s">
        <v>2328</v>
      </c>
      <c r="L615" s="31" t="s">
        <v>416</v>
      </c>
      <c r="M615" s="31" t="s">
        <v>2232</v>
      </c>
      <c r="N615" s="31" t="s">
        <v>2328</v>
      </c>
    </row>
    <row r="616" spans="1:14" ht="75" x14ac:dyDescent="0.25">
      <c r="A616" s="31" t="s">
        <v>3088</v>
      </c>
      <c r="B616" s="32" t="s">
        <v>1776</v>
      </c>
      <c r="C616" s="31" t="b">
        <v>0</v>
      </c>
      <c r="D616" s="31">
        <v>4</v>
      </c>
      <c r="E616" s="35" t="s">
        <v>1777</v>
      </c>
      <c r="F616" s="31" t="s">
        <v>131</v>
      </c>
      <c r="G616" s="31" t="s">
        <v>3665</v>
      </c>
      <c r="H616" s="31" t="s">
        <v>3666</v>
      </c>
      <c r="I616" s="31" t="s">
        <v>3842</v>
      </c>
      <c r="J616" s="37" t="s">
        <v>4047</v>
      </c>
      <c r="K616" s="31" t="s">
        <v>2328</v>
      </c>
      <c r="L616" s="31" t="s">
        <v>416</v>
      </c>
      <c r="M616" s="31" t="s">
        <v>2232</v>
      </c>
      <c r="N616" s="31" t="s">
        <v>2328</v>
      </c>
    </row>
    <row r="617" spans="1:14" ht="75" x14ac:dyDescent="0.25">
      <c r="A617" s="31" t="s">
        <v>3089</v>
      </c>
      <c r="B617" s="32" t="s">
        <v>1778</v>
      </c>
      <c r="C617" s="31" t="b">
        <v>0</v>
      </c>
      <c r="D617" s="31">
        <v>4</v>
      </c>
      <c r="E617" s="35" t="s">
        <v>1779</v>
      </c>
      <c r="F617" s="31" t="s">
        <v>131</v>
      </c>
      <c r="G617" s="31" t="s">
        <v>3665</v>
      </c>
      <c r="H617" s="31" t="s">
        <v>3666</v>
      </c>
      <c r="I617" s="31" t="s">
        <v>3842</v>
      </c>
      <c r="J617" s="37" t="s">
        <v>4047</v>
      </c>
      <c r="K617" s="31" t="s">
        <v>2328</v>
      </c>
      <c r="L617" s="31" t="s">
        <v>416</v>
      </c>
      <c r="M617" s="31" t="s">
        <v>2232</v>
      </c>
      <c r="N617" s="31" t="s">
        <v>2328</v>
      </c>
    </row>
    <row r="618" spans="1:14" ht="75" x14ac:dyDescent="0.25">
      <c r="A618" s="31" t="s">
        <v>3090</v>
      </c>
      <c r="B618" s="32" t="s">
        <v>1780</v>
      </c>
      <c r="C618" s="31" t="b">
        <v>0</v>
      </c>
      <c r="D618" s="31">
        <v>4</v>
      </c>
      <c r="E618" s="35" t="s">
        <v>1781</v>
      </c>
      <c r="F618" s="31" t="s">
        <v>131</v>
      </c>
      <c r="G618" s="31" t="s">
        <v>3665</v>
      </c>
      <c r="H618" s="31" t="s">
        <v>3666</v>
      </c>
      <c r="I618" s="31" t="s">
        <v>3842</v>
      </c>
      <c r="J618" s="37" t="s">
        <v>4047</v>
      </c>
      <c r="K618" s="31" t="s">
        <v>2328</v>
      </c>
      <c r="L618" s="31" t="s">
        <v>416</v>
      </c>
      <c r="M618" s="31" t="s">
        <v>2232</v>
      </c>
      <c r="N618" s="31" t="s">
        <v>2328</v>
      </c>
    </row>
    <row r="619" spans="1:14" ht="75" x14ac:dyDescent="0.25">
      <c r="A619" s="31" t="s">
        <v>3091</v>
      </c>
      <c r="B619" s="32" t="s">
        <v>1782</v>
      </c>
      <c r="C619" s="31" t="b">
        <v>0</v>
      </c>
      <c r="D619" s="31">
        <v>4</v>
      </c>
      <c r="E619" s="35" t="s">
        <v>1783</v>
      </c>
      <c r="F619" s="31" t="s">
        <v>131</v>
      </c>
      <c r="G619" s="31" t="s">
        <v>3665</v>
      </c>
      <c r="H619" s="31" t="s">
        <v>3666</v>
      </c>
      <c r="I619" s="31" t="s">
        <v>3842</v>
      </c>
      <c r="J619" s="37" t="s">
        <v>4047</v>
      </c>
      <c r="K619" s="31" t="s">
        <v>2328</v>
      </c>
      <c r="L619" s="31" t="s">
        <v>416</v>
      </c>
      <c r="M619" s="31" t="s">
        <v>2232</v>
      </c>
      <c r="N619" s="31" t="s">
        <v>2328</v>
      </c>
    </row>
    <row r="620" spans="1:14" ht="75" x14ac:dyDescent="0.25">
      <c r="A620" s="31" t="s">
        <v>2328</v>
      </c>
      <c r="B620" s="32" t="s">
        <v>1784</v>
      </c>
      <c r="C620" s="31" t="b">
        <v>1</v>
      </c>
      <c r="D620" s="31">
        <v>2</v>
      </c>
      <c r="E620" s="34" t="s">
        <v>3368</v>
      </c>
      <c r="F620" s="31" t="s">
        <v>3443</v>
      </c>
      <c r="G620" s="31" t="s">
        <v>3665</v>
      </c>
      <c r="H620" s="31" t="s">
        <v>3666</v>
      </c>
      <c r="I620" s="31" t="s">
        <v>3842</v>
      </c>
      <c r="J620" s="37" t="s">
        <v>4047</v>
      </c>
      <c r="K620" s="31" t="s">
        <v>2328</v>
      </c>
      <c r="L620" s="31" t="s">
        <v>411</v>
      </c>
      <c r="M620" s="31" t="s">
        <v>2232</v>
      </c>
      <c r="N620" s="31" t="s">
        <v>2328</v>
      </c>
    </row>
    <row r="621" spans="1:14" ht="75" x14ac:dyDescent="0.25">
      <c r="A621" s="31" t="s">
        <v>3092</v>
      </c>
      <c r="B621" s="32" t="s">
        <v>1785</v>
      </c>
      <c r="C621" s="31" t="b">
        <v>1</v>
      </c>
      <c r="D621" s="31">
        <v>4</v>
      </c>
      <c r="E621" s="35" t="s">
        <v>3369</v>
      </c>
      <c r="F621" s="31" t="s">
        <v>3443</v>
      </c>
      <c r="G621" s="31" t="s">
        <v>3665</v>
      </c>
      <c r="H621" s="31" t="s">
        <v>3666</v>
      </c>
      <c r="I621" s="31" t="s">
        <v>3842</v>
      </c>
      <c r="J621" s="37" t="s">
        <v>4047</v>
      </c>
      <c r="K621" s="31" t="s">
        <v>2328</v>
      </c>
      <c r="L621" s="31" t="s">
        <v>420</v>
      </c>
      <c r="M621" s="31" t="s">
        <v>2232</v>
      </c>
      <c r="N621" s="31" t="s">
        <v>2328</v>
      </c>
    </row>
    <row r="622" spans="1:14" ht="75" x14ac:dyDescent="0.25">
      <c r="A622" s="31" t="s">
        <v>3093</v>
      </c>
      <c r="B622" s="32" t="s">
        <v>1787</v>
      </c>
      <c r="C622" s="31" t="b">
        <v>0</v>
      </c>
      <c r="D622" s="31">
        <v>6</v>
      </c>
      <c r="E622" s="38" t="s">
        <v>2284</v>
      </c>
      <c r="F622" s="31" t="s">
        <v>131</v>
      </c>
      <c r="G622" s="31" t="s">
        <v>3665</v>
      </c>
      <c r="H622" s="31" t="s">
        <v>3666</v>
      </c>
      <c r="I622" s="31" t="s">
        <v>3842</v>
      </c>
      <c r="J622" s="37" t="s">
        <v>4047</v>
      </c>
      <c r="K622" s="31" t="s">
        <v>2328</v>
      </c>
      <c r="L622" s="31" t="s">
        <v>420</v>
      </c>
      <c r="M622" s="31" t="s">
        <v>2232</v>
      </c>
      <c r="N622" s="31" t="s">
        <v>2328</v>
      </c>
    </row>
    <row r="623" spans="1:14" ht="75" x14ac:dyDescent="0.25">
      <c r="A623" s="31" t="s">
        <v>2328</v>
      </c>
      <c r="B623" s="32" t="s">
        <v>1788</v>
      </c>
      <c r="C623" s="31" t="b">
        <v>0</v>
      </c>
      <c r="D623" s="31">
        <v>6</v>
      </c>
      <c r="E623" s="38" t="s">
        <v>2285</v>
      </c>
      <c r="F623" s="31" t="s">
        <v>139</v>
      </c>
      <c r="G623" s="31" t="s">
        <v>3665</v>
      </c>
      <c r="H623" s="31" t="s">
        <v>3666</v>
      </c>
      <c r="I623" s="31" t="s">
        <v>3842</v>
      </c>
      <c r="J623" s="37" t="s">
        <v>4047</v>
      </c>
      <c r="K623" s="31" t="s">
        <v>2328</v>
      </c>
      <c r="L623" s="31" t="s">
        <v>420</v>
      </c>
      <c r="M623" s="31" t="s">
        <v>2232</v>
      </c>
      <c r="N623" s="31" t="s">
        <v>2328</v>
      </c>
    </row>
    <row r="624" spans="1:14" ht="75" x14ac:dyDescent="0.25">
      <c r="A624" s="31" t="s">
        <v>3094</v>
      </c>
      <c r="B624" s="32" t="s">
        <v>1789</v>
      </c>
      <c r="C624" s="31" t="b">
        <v>1</v>
      </c>
      <c r="D624" s="31">
        <v>4</v>
      </c>
      <c r="E624" s="35" t="s">
        <v>3370</v>
      </c>
      <c r="F624" s="31" t="s">
        <v>3443</v>
      </c>
      <c r="G624" s="31" t="s">
        <v>3665</v>
      </c>
      <c r="H624" s="31" t="s">
        <v>3666</v>
      </c>
      <c r="I624" s="31" t="s">
        <v>3842</v>
      </c>
      <c r="J624" s="37" t="s">
        <v>4047</v>
      </c>
      <c r="K624" s="31" t="s">
        <v>2328</v>
      </c>
      <c r="L624" s="31" t="s">
        <v>411</v>
      </c>
      <c r="M624" s="31" t="s">
        <v>2232</v>
      </c>
      <c r="N624" s="31" t="s">
        <v>2328</v>
      </c>
    </row>
    <row r="625" spans="1:14" ht="75" x14ac:dyDescent="0.25">
      <c r="A625" s="31" t="s">
        <v>3095</v>
      </c>
      <c r="B625" s="32" t="s">
        <v>1791</v>
      </c>
      <c r="C625" s="31" t="b">
        <v>0</v>
      </c>
      <c r="D625" s="31">
        <v>6</v>
      </c>
      <c r="E625" s="38" t="s">
        <v>2286</v>
      </c>
      <c r="F625" s="31" t="s">
        <v>131</v>
      </c>
      <c r="G625" s="31" t="s">
        <v>3665</v>
      </c>
      <c r="H625" s="31" t="s">
        <v>3666</v>
      </c>
      <c r="I625" s="31" t="s">
        <v>3842</v>
      </c>
      <c r="J625" s="37" t="s">
        <v>4047</v>
      </c>
      <c r="K625" s="31" t="s">
        <v>2328</v>
      </c>
      <c r="L625" s="31" t="s">
        <v>422</v>
      </c>
      <c r="M625" s="31" t="s">
        <v>2232</v>
      </c>
      <c r="N625" s="31" t="s">
        <v>2328</v>
      </c>
    </row>
    <row r="626" spans="1:14" ht="90" x14ac:dyDescent="0.25">
      <c r="A626" s="31" t="s">
        <v>2328</v>
      </c>
      <c r="B626" s="32" t="s">
        <v>1792</v>
      </c>
      <c r="C626" s="31" t="b">
        <v>0</v>
      </c>
      <c r="D626" s="31">
        <v>6</v>
      </c>
      <c r="E626" s="38" t="s">
        <v>2287</v>
      </c>
      <c r="F626" s="31" t="s">
        <v>139</v>
      </c>
      <c r="G626" s="31" t="s">
        <v>3665</v>
      </c>
      <c r="H626" s="31" t="s">
        <v>3666</v>
      </c>
      <c r="I626" s="31" t="s">
        <v>3842</v>
      </c>
      <c r="J626" s="37" t="s">
        <v>4047</v>
      </c>
      <c r="K626" s="31" t="s">
        <v>2328</v>
      </c>
      <c r="L626" s="31" t="s">
        <v>422</v>
      </c>
      <c r="M626" s="31" t="s">
        <v>2232</v>
      </c>
      <c r="N626" s="31" t="s">
        <v>2328</v>
      </c>
    </row>
    <row r="627" spans="1:14" ht="75" x14ac:dyDescent="0.25">
      <c r="A627" s="31" t="s">
        <v>2328</v>
      </c>
      <c r="B627" s="32" t="s">
        <v>1793</v>
      </c>
      <c r="C627" s="31" t="b">
        <v>1</v>
      </c>
      <c r="D627" s="31">
        <v>0</v>
      </c>
      <c r="E627" s="33" t="s">
        <v>2371</v>
      </c>
      <c r="F627" s="31" t="s">
        <v>3443</v>
      </c>
      <c r="G627" s="31" t="s">
        <v>3665</v>
      </c>
      <c r="H627" s="31" t="s">
        <v>3666</v>
      </c>
      <c r="I627" s="31" t="s">
        <v>3842</v>
      </c>
      <c r="J627" s="37" t="s">
        <v>4047</v>
      </c>
      <c r="K627" s="31" t="s">
        <v>2328</v>
      </c>
      <c r="L627" s="31" t="s">
        <v>424</v>
      </c>
      <c r="M627" s="31" t="s">
        <v>2232</v>
      </c>
      <c r="N627" s="31" t="s">
        <v>2328</v>
      </c>
    </row>
    <row r="628" spans="1:14" ht="75" x14ac:dyDescent="0.25">
      <c r="A628" s="31" t="s">
        <v>2328</v>
      </c>
      <c r="B628" s="32" t="s">
        <v>1794</v>
      </c>
      <c r="C628" s="31" t="b">
        <v>1</v>
      </c>
      <c r="D628" s="31">
        <v>2</v>
      </c>
      <c r="E628" s="34" t="s">
        <v>3371</v>
      </c>
      <c r="F628" s="31" t="s">
        <v>3443</v>
      </c>
      <c r="G628" s="31" t="s">
        <v>3665</v>
      </c>
      <c r="H628" s="31" t="s">
        <v>3666</v>
      </c>
      <c r="I628" s="31" t="s">
        <v>3842</v>
      </c>
      <c r="J628" s="37" t="s">
        <v>4047</v>
      </c>
      <c r="K628" s="31" t="s">
        <v>2328</v>
      </c>
      <c r="L628" s="31" t="s">
        <v>427</v>
      </c>
      <c r="M628" s="31" t="s">
        <v>2232</v>
      </c>
      <c r="N628" s="31" t="s">
        <v>2328</v>
      </c>
    </row>
    <row r="629" spans="1:14" ht="75" x14ac:dyDescent="0.25">
      <c r="A629" s="31" t="s">
        <v>3096</v>
      </c>
      <c r="B629" s="32" t="s">
        <v>1796</v>
      </c>
      <c r="C629" s="31" t="b">
        <v>0</v>
      </c>
      <c r="D629" s="31">
        <v>2</v>
      </c>
      <c r="E629" s="34" t="s">
        <v>43</v>
      </c>
      <c r="F629" s="31" t="s">
        <v>131</v>
      </c>
      <c r="G629" s="31" t="s">
        <v>3665</v>
      </c>
      <c r="H629" s="31" t="s">
        <v>3666</v>
      </c>
      <c r="I629" s="31" t="s">
        <v>3842</v>
      </c>
      <c r="J629" s="37" t="s">
        <v>4047</v>
      </c>
      <c r="K629" s="31" t="s">
        <v>2328</v>
      </c>
      <c r="L629" s="31" t="s">
        <v>427</v>
      </c>
      <c r="M629" s="31" t="s">
        <v>2232</v>
      </c>
      <c r="N629" s="31" t="s">
        <v>2328</v>
      </c>
    </row>
    <row r="630" spans="1:14" ht="75" x14ac:dyDescent="0.25">
      <c r="A630" s="31" t="s">
        <v>2328</v>
      </c>
      <c r="B630" s="32" t="s">
        <v>2288</v>
      </c>
      <c r="C630" s="31" t="b">
        <v>0</v>
      </c>
      <c r="D630" s="31">
        <v>2</v>
      </c>
      <c r="E630" s="34" t="s">
        <v>3436</v>
      </c>
      <c r="F630" s="31" t="s">
        <v>131</v>
      </c>
      <c r="G630" s="31" t="s">
        <v>3665</v>
      </c>
      <c r="H630" s="31" t="s">
        <v>3666</v>
      </c>
      <c r="I630" s="31" t="s">
        <v>3842</v>
      </c>
      <c r="J630" s="37" t="s">
        <v>4047</v>
      </c>
      <c r="K630" s="31" t="s">
        <v>2328</v>
      </c>
      <c r="L630" s="31" t="s">
        <v>427</v>
      </c>
      <c r="M630" s="31" t="s">
        <v>2232</v>
      </c>
      <c r="N630" s="31" t="s">
        <v>2328</v>
      </c>
    </row>
    <row r="631" spans="1:14" ht="75" x14ac:dyDescent="0.25">
      <c r="A631" s="31" t="s">
        <v>2328</v>
      </c>
      <c r="B631" s="32" t="s">
        <v>1797</v>
      </c>
      <c r="C631" s="31" t="b">
        <v>1</v>
      </c>
      <c r="D631" s="31">
        <v>2</v>
      </c>
      <c r="E631" s="34" t="s">
        <v>3372</v>
      </c>
      <c r="F631" s="31" t="s">
        <v>3443</v>
      </c>
      <c r="G631" s="31" t="s">
        <v>3665</v>
      </c>
      <c r="H631" s="31" t="s">
        <v>3666</v>
      </c>
      <c r="I631" s="31" t="s">
        <v>3842</v>
      </c>
      <c r="J631" s="37" t="s">
        <v>4047</v>
      </c>
      <c r="K631" s="31" t="s">
        <v>2328</v>
      </c>
      <c r="L631" s="31" t="s">
        <v>429</v>
      </c>
      <c r="M631" s="31" t="s">
        <v>2232</v>
      </c>
      <c r="N631" s="31" t="s">
        <v>2328</v>
      </c>
    </row>
    <row r="632" spans="1:14" ht="75" x14ac:dyDescent="0.25">
      <c r="A632" s="31" t="s">
        <v>3097</v>
      </c>
      <c r="B632" s="32" t="s">
        <v>1798</v>
      </c>
      <c r="C632" s="31" t="b">
        <v>0</v>
      </c>
      <c r="D632" s="31">
        <v>4</v>
      </c>
      <c r="E632" s="35" t="s">
        <v>1800</v>
      </c>
      <c r="F632" s="31" t="s">
        <v>131</v>
      </c>
      <c r="G632" s="31" t="s">
        <v>3665</v>
      </c>
      <c r="H632" s="31" t="s">
        <v>3666</v>
      </c>
      <c r="I632" s="31" t="s">
        <v>3842</v>
      </c>
      <c r="J632" s="37" t="s">
        <v>4047</v>
      </c>
      <c r="K632" s="31" t="s">
        <v>2328</v>
      </c>
      <c r="L632" s="31" t="s">
        <v>429</v>
      </c>
      <c r="M632" s="31" t="s">
        <v>2232</v>
      </c>
      <c r="N632" s="31" t="s">
        <v>2328</v>
      </c>
    </row>
    <row r="633" spans="1:14" ht="75" x14ac:dyDescent="0.25">
      <c r="A633" s="31" t="s">
        <v>2328</v>
      </c>
      <c r="B633" s="32" t="s">
        <v>2289</v>
      </c>
      <c r="C633" s="31" t="b">
        <v>0</v>
      </c>
      <c r="D633" s="31">
        <v>4</v>
      </c>
      <c r="E633" s="35" t="s">
        <v>2290</v>
      </c>
      <c r="F633" s="31" t="s">
        <v>131</v>
      </c>
      <c r="G633" s="31" t="s">
        <v>3665</v>
      </c>
      <c r="H633" s="31" t="s">
        <v>3666</v>
      </c>
      <c r="I633" s="31" t="s">
        <v>3842</v>
      </c>
      <c r="J633" s="37" t="s">
        <v>4047</v>
      </c>
      <c r="K633" s="31" t="s">
        <v>2328</v>
      </c>
      <c r="L633" s="31" t="s">
        <v>429</v>
      </c>
      <c r="M633" s="31" t="s">
        <v>2232</v>
      </c>
      <c r="N633" s="31" t="s">
        <v>2328</v>
      </c>
    </row>
    <row r="634" spans="1:14" ht="75" x14ac:dyDescent="0.25">
      <c r="A634" s="31" t="s">
        <v>2328</v>
      </c>
      <c r="B634" s="32" t="s">
        <v>2291</v>
      </c>
      <c r="C634" s="31" t="b">
        <v>1</v>
      </c>
      <c r="D634" s="31">
        <v>2</v>
      </c>
      <c r="E634" s="34" t="s">
        <v>3373</v>
      </c>
      <c r="F634" s="31" t="s">
        <v>3443</v>
      </c>
      <c r="G634" s="31" t="s">
        <v>3665</v>
      </c>
      <c r="H634" s="31" t="s">
        <v>3666</v>
      </c>
      <c r="I634" s="31" t="s">
        <v>3842</v>
      </c>
      <c r="J634" s="37" t="s">
        <v>4047</v>
      </c>
      <c r="K634" s="31" t="s">
        <v>3593</v>
      </c>
      <c r="L634" s="31" t="s">
        <v>431</v>
      </c>
      <c r="M634" s="31" t="s">
        <v>2232</v>
      </c>
      <c r="N634" s="31" t="s">
        <v>2328</v>
      </c>
    </row>
    <row r="635" spans="1:14" ht="75" x14ac:dyDescent="0.25">
      <c r="A635" s="31" t="s">
        <v>2328</v>
      </c>
      <c r="B635" s="32" t="s">
        <v>1801</v>
      </c>
      <c r="C635" s="31" t="b">
        <v>0</v>
      </c>
      <c r="D635" s="31">
        <v>2</v>
      </c>
      <c r="E635" s="34" t="s">
        <v>41</v>
      </c>
      <c r="F635" s="31" t="s">
        <v>131</v>
      </c>
      <c r="G635" s="31" t="s">
        <v>3665</v>
      </c>
      <c r="H635" s="31" t="s">
        <v>3666</v>
      </c>
      <c r="I635" s="31" t="s">
        <v>3842</v>
      </c>
      <c r="J635" s="37" t="s">
        <v>4047</v>
      </c>
      <c r="K635" s="31" t="s">
        <v>2328</v>
      </c>
      <c r="L635" s="31" t="s">
        <v>431</v>
      </c>
      <c r="M635" s="31" t="s">
        <v>2232</v>
      </c>
      <c r="N635" s="31" t="s">
        <v>2328</v>
      </c>
    </row>
    <row r="636" spans="1:14" ht="75" x14ac:dyDescent="0.25">
      <c r="A636" s="31" t="s">
        <v>2328</v>
      </c>
      <c r="B636" s="32" t="s">
        <v>1802</v>
      </c>
      <c r="C636" s="31" t="b">
        <v>0</v>
      </c>
      <c r="D636" s="31">
        <v>2</v>
      </c>
      <c r="E636" s="34" t="s">
        <v>1803</v>
      </c>
      <c r="F636" s="31" t="s">
        <v>131</v>
      </c>
      <c r="G636" s="31" t="s">
        <v>3665</v>
      </c>
      <c r="H636" s="31" t="s">
        <v>3666</v>
      </c>
      <c r="I636" s="31" t="s">
        <v>3842</v>
      </c>
      <c r="J636" s="37" t="s">
        <v>4047</v>
      </c>
      <c r="K636" s="31" t="s">
        <v>2328</v>
      </c>
      <c r="L636" s="31" t="s">
        <v>431</v>
      </c>
      <c r="M636" s="31" t="s">
        <v>2232</v>
      </c>
      <c r="N636" s="31" t="s">
        <v>2328</v>
      </c>
    </row>
    <row r="637" spans="1:14" ht="75" x14ac:dyDescent="0.25">
      <c r="A637" s="31" t="s">
        <v>2328</v>
      </c>
      <c r="B637" s="32" t="s">
        <v>1806</v>
      </c>
      <c r="C637" s="31" t="b">
        <v>1</v>
      </c>
      <c r="D637" s="31">
        <v>0</v>
      </c>
      <c r="E637" s="33" t="s">
        <v>2372</v>
      </c>
      <c r="F637" s="31" t="s">
        <v>3443</v>
      </c>
      <c r="G637" s="31" t="s">
        <v>3665</v>
      </c>
      <c r="H637" s="31" t="s">
        <v>3666</v>
      </c>
      <c r="I637" s="31" t="s">
        <v>3842</v>
      </c>
      <c r="J637" s="37" t="s">
        <v>4047</v>
      </c>
      <c r="K637" s="31" t="s">
        <v>2328</v>
      </c>
      <c r="L637" s="31" t="s">
        <v>435</v>
      </c>
      <c r="M637" s="31" t="s">
        <v>2232</v>
      </c>
      <c r="N637" s="31" t="s">
        <v>2328</v>
      </c>
    </row>
    <row r="638" spans="1:14" ht="75" x14ac:dyDescent="0.25">
      <c r="A638" s="31" t="s">
        <v>3098</v>
      </c>
      <c r="B638" s="32" t="s">
        <v>1807</v>
      </c>
      <c r="C638" s="31" t="b">
        <v>0</v>
      </c>
      <c r="D638" s="31">
        <v>2</v>
      </c>
      <c r="E638" s="34" t="s">
        <v>1808</v>
      </c>
      <c r="F638" s="31" t="s">
        <v>131</v>
      </c>
      <c r="G638" s="31" t="s">
        <v>3665</v>
      </c>
      <c r="H638" s="31" t="s">
        <v>3666</v>
      </c>
      <c r="I638" s="31" t="s">
        <v>3842</v>
      </c>
      <c r="J638" s="37" t="s">
        <v>4047</v>
      </c>
      <c r="K638" s="31" t="s">
        <v>2328</v>
      </c>
      <c r="L638" s="31" t="s">
        <v>435</v>
      </c>
      <c r="M638" s="31" t="s">
        <v>2232</v>
      </c>
      <c r="N638" s="31" t="s">
        <v>2328</v>
      </c>
    </row>
    <row r="639" spans="1:14" ht="75" x14ac:dyDescent="0.25">
      <c r="A639" s="31" t="s">
        <v>3099</v>
      </c>
      <c r="B639" s="32" t="s">
        <v>1809</v>
      </c>
      <c r="C639" s="31" t="b">
        <v>0</v>
      </c>
      <c r="D639" s="31">
        <v>2</v>
      </c>
      <c r="E639" s="34" t="s">
        <v>1810</v>
      </c>
      <c r="F639" s="31" t="s">
        <v>131</v>
      </c>
      <c r="G639" s="31" t="s">
        <v>3665</v>
      </c>
      <c r="H639" s="31" t="s">
        <v>3666</v>
      </c>
      <c r="I639" s="31" t="s">
        <v>3842</v>
      </c>
      <c r="J639" s="37" t="s">
        <v>4047</v>
      </c>
      <c r="K639" s="31" t="s">
        <v>2328</v>
      </c>
      <c r="L639" s="31" t="s">
        <v>435</v>
      </c>
      <c r="M639" s="31" t="s">
        <v>2232</v>
      </c>
      <c r="N639" s="31" t="s">
        <v>2328</v>
      </c>
    </row>
    <row r="640" spans="1:14" ht="75" x14ac:dyDescent="0.25">
      <c r="A640" s="31" t="s">
        <v>3100</v>
      </c>
      <c r="B640" s="32" t="s">
        <v>1811</v>
      </c>
      <c r="C640" s="31" t="b">
        <v>0</v>
      </c>
      <c r="D640" s="31">
        <v>2</v>
      </c>
      <c r="E640" s="34" t="s">
        <v>1812</v>
      </c>
      <c r="F640" s="31" t="s">
        <v>131</v>
      </c>
      <c r="G640" s="31" t="s">
        <v>3665</v>
      </c>
      <c r="H640" s="31" t="s">
        <v>3666</v>
      </c>
      <c r="I640" s="31" t="s">
        <v>3842</v>
      </c>
      <c r="J640" s="37" t="s">
        <v>4047</v>
      </c>
      <c r="K640" s="31" t="s">
        <v>2328</v>
      </c>
      <c r="L640" s="31" t="s">
        <v>435</v>
      </c>
      <c r="M640" s="31" t="s">
        <v>2232</v>
      </c>
      <c r="N640" s="31" t="s">
        <v>2328</v>
      </c>
    </row>
    <row r="641" spans="1:14" ht="75" x14ac:dyDescent="0.25">
      <c r="A641" s="31" t="s">
        <v>3101</v>
      </c>
      <c r="B641" s="32" t="s">
        <v>1813</v>
      </c>
      <c r="C641" s="31" t="b">
        <v>0</v>
      </c>
      <c r="D641" s="31">
        <v>2</v>
      </c>
      <c r="E641" s="34" t="s">
        <v>1814</v>
      </c>
      <c r="F641" s="31" t="s">
        <v>131</v>
      </c>
      <c r="G641" s="31" t="s">
        <v>3665</v>
      </c>
      <c r="H641" s="31" t="s">
        <v>3666</v>
      </c>
      <c r="I641" s="31" t="s">
        <v>3842</v>
      </c>
      <c r="J641" s="37" t="s">
        <v>4047</v>
      </c>
      <c r="K641" s="31" t="s">
        <v>2328</v>
      </c>
      <c r="L641" s="31" t="s">
        <v>435</v>
      </c>
      <c r="M641" s="31" t="s">
        <v>2232</v>
      </c>
      <c r="N641" s="31" t="s">
        <v>2328</v>
      </c>
    </row>
    <row r="642" spans="1:14" ht="75" x14ac:dyDescent="0.25">
      <c r="A642" s="31" t="s">
        <v>2328</v>
      </c>
      <c r="B642" s="32" t="s">
        <v>1815</v>
      </c>
      <c r="C642" s="31" t="b">
        <v>1</v>
      </c>
      <c r="D642" s="31">
        <v>0</v>
      </c>
      <c r="E642" s="33" t="s">
        <v>2373</v>
      </c>
      <c r="F642" s="31" t="s">
        <v>3443</v>
      </c>
      <c r="G642" s="31" t="s">
        <v>3665</v>
      </c>
      <c r="H642" s="31" t="s">
        <v>3666</v>
      </c>
      <c r="I642" s="31" t="s">
        <v>3842</v>
      </c>
      <c r="J642" s="37" t="s">
        <v>4047</v>
      </c>
      <c r="K642" s="31" t="s">
        <v>2328</v>
      </c>
      <c r="L642" s="31" t="s">
        <v>437</v>
      </c>
      <c r="M642" s="31" t="s">
        <v>2232</v>
      </c>
      <c r="N642" s="31" t="s">
        <v>2328</v>
      </c>
    </row>
    <row r="643" spans="1:14" ht="75" x14ac:dyDescent="0.25">
      <c r="A643" s="31" t="s">
        <v>3102</v>
      </c>
      <c r="B643" s="32" t="s">
        <v>1816</v>
      </c>
      <c r="C643" s="31" t="b">
        <v>0</v>
      </c>
      <c r="D643" s="31">
        <v>2</v>
      </c>
      <c r="E643" s="34" t="s">
        <v>441</v>
      </c>
      <c r="F643" s="31" t="s">
        <v>131</v>
      </c>
      <c r="G643" s="31" t="s">
        <v>3665</v>
      </c>
      <c r="H643" s="31" t="s">
        <v>3666</v>
      </c>
      <c r="I643" s="31" t="s">
        <v>3842</v>
      </c>
      <c r="J643" s="37" t="s">
        <v>4047</v>
      </c>
      <c r="K643" s="31" t="s">
        <v>2328</v>
      </c>
      <c r="L643" s="31" t="s">
        <v>440</v>
      </c>
      <c r="M643" s="31" t="s">
        <v>2232</v>
      </c>
      <c r="N643" s="31" t="s">
        <v>2328</v>
      </c>
    </row>
    <row r="644" spans="1:14" ht="75" x14ac:dyDescent="0.25">
      <c r="A644" s="31" t="s">
        <v>2328</v>
      </c>
      <c r="B644" s="32" t="s">
        <v>1817</v>
      </c>
      <c r="C644" s="31" t="b">
        <v>1</v>
      </c>
      <c r="D644" s="31">
        <v>0</v>
      </c>
      <c r="E644" s="33" t="s">
        <v>3374</v>
      </c>
      <c r="F644" s="31" t="s">
        <v>3443</v>
      </c>
      <c r="G644" s="31" t="s">
        <v>3665</v>
      </c>
      <c r="H644" s="31" t="s">
        <v>3666</v>
      </c>
      <c r="I644" s="31" t="s">
        <v>3842</v>
      </c>
      <c r="J644" s="37" t="s">
        <v>4047</v>
      </c>
      <c r="K644" s="31" t="s">
        <v>2328</v>
      </c>
      <c r="L644" s="31" t="s">
        <v>443</v>
      </c>
      <c r="M644" s="31" t="s">
        <v>2232</v>
      </c>
      <c r="N644" s="31" t="s">
        <v>2328</v>
      </c>
    </row>
    <row r="645" spans="1:14" ht="75" x14ac:dyDescent="0.25">
      <c r="A645" s="31" t="s">
        <v>3103</v>
      </c>
      <c r="B645" s="32" t="s">
        <v>1819</v>
      </c>
      <c r="C645" s="31" t="b">
        <v>1</v>
      </c>
      <c r="D645" s="31">
        <v>2</v>
      </c>
      <c r="E645" s="34" t="s">
        <v>3375</v>
      </c>
      <c r="F645" s="31" t="s">
        <v>131</v>
      </c>
      <c r="G645" s="31" t="s">
        <v>3665</v>
      </c>
      <c r="H645" s="31" t="s">
        <v>3666</v>
      </c>
      <c r="I645" s="31" t="s">
        <v>3842</v>
      </c>
      <c r="J645" s="37" t="s">
        <v>4047</v>
      </c>
      <c r="K645" s="31" t="s">
        <v>2328</v>
      </c>
      <c r="L645" s="31" t="s">
        <v>446</v>
      </c>
      <c r="M645" s="31" t="s">
        <v>2232</v>
      </c>
      <c r="N645" s="31" t="s">
        <v>2328</v>
      </c>
    </row>
    <row r="646" spans="1:14" ht="75" x14ac:dyDescent="0.25">
      <c r="A646" s="31" t="s">
        <v>2328</v>
      </c>
      <c r="B646" s="32" t="s">
        <v>3862</v>
      </c>
      <c r="C646" s="31" t="b">
        <v>1</v>
      </c>
      <c r="D646" s="31">
        <v>4</v>
      </c>
      <c r="E646" s="35" t="s">
        <v>3969</v>
      </c>
      <c r="F646" s="31" t="s">
        <v>3443</v>
      </c>
      <c r="G646" s="31" t="s">
        <v>3665</v>
      </c>
      <c r="H646" s="31" t="s">
        <v>3666</v>
      </c>
      <c r="I646" s="31" t="s">
        <v>3842</v>
      </c>
      <c r="J646" s="37" t="s">
        <v>4047</v>
      </c>
      <c r="K646" s="31" t="s">
        <v>2328</v>
      </c>
      <c r="L646" s="31" t="s">
        <v>2328</v>
      </c>
      <c r="M646" s="31" t="s">
        <v>2232</v>
      </c>
      <c r="N646" s="31" t="s">
        <v>2328</v>
      </c>
    </row>
    <row r="647" spans="1:14" ht="75" x14ac:dyDescent="0.25">
      <c r="A647" s="31" t="s">
        <v>3173</v>
      </c>
      <c r="B647" s="32" t="s">
        <v>1943</v>
      </c>
      <c r="C647" s="31" t="b">
        <v>0</v>
      </c>
      <c r="D647" s="31">
        <v>6</v>
      </c>
      <c r="E647" s="38" t="s">
        <v>3941</v>
      </c>
      <c r="F647" s="31" t="s">
        <v>131</v>
      </c>
      <c r="G647" s="31" t="s">
        <v>3665</v>
      </c>
      <c r="H647" s="31" t="s">
        <v>3666</v>
      </c>
      <c r="I647" s="31" t="s">
        <v>3842</v>
      </c>
      <c r="J647" s="37" t="s">
        <v>4047</v>
      </c>
      <c r="K647" s="31" t="s">
        <v>3650</v>
      </c>
      <c r="L647" s="31" t="s">
        <v>446</v>
      </c>
      <c r="M647" s="31" t="s">
        <v>2232</v>
      </c>
      <c r="N647" s="31" t="s">
        <v>3649</v>
      </c>
    </row>
    <row r="648" spans="1:14" ht="75" x14ac:dyDescent="0.25">
      <c r="A648" s="31" t="s">
        <v>3172</v>
      </c>
      <c r="B648" s="32" t="s">
        <v>1942</v>
      </c>
      <c r="C648" s="31" t="b">
        <v>0</v>
      </c>
      <c r="D648" s="31">
        <v>6</v>
      </c>
      <c r="E648" s="38" t="s">
        <v>3943</v>
      </c>
      <c r="F648" s="31" t="s">
        <v>131</v>
      </c>
      <c r="G648" s="31" t="s">
        <v>3665</v>
      </c>
      <c r="H648" s="31" t="s">
        <v>3666</v>
      </c>
      <c r="I648" s="31" t="s">
        <v>3842</v>
      </c>
      <c r="J648" s="37" t="s">
        <v>4047</v>
      </c>
      <c r="K648" s="31" t="s">
        <v>3648</v>
      </c>
      <c r="L648" s="31" t="s">
        <v>446</v>
      </c>
      <c r="M648" s="31" t="s">
        <v>2232</v>
      </c>
      <c r="N648" s="31" t="s">
        <v>3647</v>
      </c>
    </row>
    <row r="649" spans="1:14" ht="75" x14ac:dyDescent="0.25">
      <c r="A649" s="31" t="s">
        <v>3106</v>
      </c>
      <c r="B649" s="32" t="s">
        <v>1822</v>
      </c>
      <c r="C649" s="31" t="b">
        <v>0</v>
      </c>
      <c r="D649" s="31">
        <v>6</v>
      </c>
      <c r="E649" s="38" t="s">
        <v>3945</v>
      </c>
      <c r="F649" s="31" t="s">
        <v>131</v>
      </c>
      <c r="G649" s="31" t="s">
        <v>3665</v>
      </c>
      <c r="H649" s="31" t="s">
        <v>3666</v>
      </c>
      <c r="I649" s="31" t="s">
        <v>3842</v>
      </c>
      <c r="J649" s="37" t="s">
        <v>4047</v>
      </c>
      <c r="K649" s="31" t="s">
        <v>3598</v>
      </c>
      <c r="L649" s="31" t="s">
        <v>446</v>
      </c>
      <c r="M649" s="31" t="s">
        <v>2232</v>
      </c>
      <c r="N649" s="31" t="s">
        <v>2295</v>
      </c>
    </row>
    <row r="650" spans="1:14" ht="75" x14ac:dyDescent="0.25">
      <c r="A650" s="31" t="s">
        <v>2328</v>
      </c>
      <c r="B650" s="32" t="s">
        <v>3866</v>
      </c>
      <c r="C650" s="31" t="b">
        <v>1</v>
      </c>
      <c r="D650" s="31">
        <v>4</v>
      </c>
      <c r="E650" s="35" t="s">
        <v>3970</v>
      </c>
      <c r="F650" s="31" t="s">
        <v>3443</v>
      </c>
      <c r="G650" s="31" t="s">
        <v>3665</v>
      </c>
      <c r="H650" s="31" t="s">
        <v>3666</v>
      </c>
      <c r="I650" s="31" t="s">
        <v>3842</v>
      </c>
      <c r="J650" s="37" t="s">
        <v>4047</v>
      </c>
      <c r="K650" s="31" t="s">
        <v>2328</v>
      </c>
      <c r="L650" s="31" t="s">
        <v>2328</v>
      </c>
      <c r="M650" s="31" t="s">
        <v>2232</v>
      </c>
      <c r="N650" s="31" t="s">
        <v>2328</v>
      </c>
    </row>
    <row r="651" spans="1:14" ht="75" x14ac:dyDescent="0.25">
      <c r="A651" s="31" t="s">
        <v>3169</v>
      </c>
      <c r="B651" s="32" t="s">
        <v>1939</v>
      </c>
      <c r="C651" s="31" t="b">
        <v>0</v>
      </c>
      <c r="D651" s="31">
        <v>6</v>
      </c>
      <c r="E651" s="38" t="s">
        <v>3947</v>
      </c>
      <c r="F651" s="31" t="s">
        <v>131</v>
      </c>
      <c r="G651" s="31" t="s">
        <v>3665</v>
      </c>
      <c r="H651" s="31" t="s">
        <v>3666</v>
      </c>
      <c r="I651" s="31" t="s">
        <v>3842</v>
      </c>
      <c r="J651" s="37" t="s">
        <v>4047</v>
      </c>
      <c r="K651" s="31" t="s">
        <v>3646</v>
      </c>
      <c r="L651" s="31" t="s">
        <v>446</v>
      </c>
      <c r="M651" s="31" t="s">
        <v>2232</v>
      </c>
      <c r="N651" s="31" t="s">
        <v>3645</v>
      </c>
    </row>
    <row r="652" spans="1:14" ht="75" x14ac:dyDescent="0.25">
      <c r="A652" s="31" t="s">
        <v>3168</v>
      </c>
      <c r="B652" s="32" t="s">
        <v>1938</v>
      </c>
      <c r="C652" s="31" t="b">
        <v>0</v>
      </c>
      <c r="D652" s="31">
        <v>6</v>
      </c>
      <c r="E652" s="38" t="s">
        <v>3949</v>
      </c>
      <c r="F652" s="31" t="s">
        <v>131</v>
      </c>
      <c r="G652" s="31" t="s">
        <v>3665</v>
      </c>
      <c r="H652" s="31" t="s">
        <v>3666</v>
      </c>
      <c r="I652" s="31" t="s">
        <v>3842</v>
      </c>
      <c r="J652" s="37" t="s">
        <v>4047</v>
      </c>
      <c r="K652" s="31" t="s">
        <v>3644</v>
      </c>
      <c r="L652" s="31" t="s">
        <v>446</v>
      </c>
      <c r="M652" s="31" t="s">
        <v>2232</v>
      </c>
      <c r="N652" s="31" t="s">
        <v>3643</v>
      </c>
    </row>
    <row r="653" spans="1:14" ht="180" x14ac:dyDescent="0.25">
      <c r="A653" s="31" t="s">
        <v>3104</v>
      </c>
      <c r="B653" s="32" t="s">
        <v>1820</v>
      </c>
      <c r="C653" s="31" t="b">
        <v>0</v>
      </c>
      <c r="D653" s="31">
        <v>6</v>
      </c>
      <c r="E653" s="38" t="s">
        <v>3951</v>
      </c>
      <c r="F653" s="31" t="s">
        <v>131</v>
      </c>
      <c r="G653" s="31" t="s">
        <v>3665</v>
      </c>
      <c r="H653" s="31" t="s">
        <v>3666</v>
      </c>
      <c r="I653" s="31" t="s">
        <v>3842</v>
      </c>
      <c r="J653" s="37" t="s">
        <v>4047</v>
      </c>
      <c r="K653" s="31" t="s">
        <v>3870</v>
      </c>
      <c r="L653" s="31" t="s">
        <v>446</v>
      </c>
      <c r="M653" s="31" t="s">
        <v>2232</v>
      </c>
      <c r="N653" s="31" t="s">
        <v>3595</v>
      </c>
    </row>
    <row r="654" spans="1:14" ht="75" x14ac:dyDescent="0.25">
      <c r="A654" s="31" t="s">
        <v>3108</v>
      </c>
      <c r="B654" s="32" t="s">
        <v>1824</v>
      </c>
      <c r="C654" s="31" t="b">
        <v>0</v>
      </c>
      <c r="D654" s="31">
        <v>6</v>
      </c>
      <c r="E654" s="38" t="s">
        <v>3953</v>
      </c>
      <c r="F654" s="31" t="s">
        <v>131</v>
      </c>
      <c r="G654" s="31" t="s">
        <v>3665</v>
      </c>
      <c r="H654" s="31" t="s">
        <v>3666</v>
      </c>
      <c r="I654" s="31" t="s">
        <v>3842</v>
      </c>
      <c r="J654" s="37" t="s">
        <v>4047</v>
      </c>
      <c r="K654" s="31" t="s">
        <v>3601</v>
      </c>
      <c r="L654" s="31" t="s">
        <v>446</v>
      </c>
      <c r="M654" s="31" t="s">
        <v>2232</v>
      </c>
      <c r="N654" s="31" t="s">
        <v>3600</v>
      </c>
    </row>
    <row r="655" spans="1:14" ht="75" x14ac:dyDescent="0.25">
      <c r="A655" s="31" t="s">
        <v>3177</v>
      </c>
      <c r="B655" s="32" t="s">
        <v>1947</v>
      </c>
      <c r="C655" s="31" t="b">
        <v>0</v>
      </c>
      <c r="D655" s="31">
        <v>6</v>
      </c>
      <c r="E655" s="38" t="s">
        <v>3955</v>
      </c>
      <c r="F655" s="31" t="s">
        <v>131</v>
      </c>
      <c r="G655" s="31" t="s">
        <v>3665</v>
      </c>
      <c r="H655" s="31" t="s">
        <v>3666</v>
      </c>
      <c r="I655" s="31" t="s">
        <v>3842</v>
      </c>
      <c r="J655" s="37" t="s">
        <v>4047</v>
      </c>
      <c r="K655" s="31" t="s">
        <v>3871</v>
      </c>
      <c r="L655" s="31" t="s">
        <v>446</v>
      </c>
      <c r="M655" s="31" t="s">
        <v>2232</v>
      </c>
      <c r="N655" s="31" t="s">
        <v>3657</v>
      </c>
    </row>
    <row r="656" spans="1:14" ht="75" x14ac:dyDescent="0.25">
      <c r="A656" s="31" t="s">
        <v>3176</v>
      </c>
      <c r="B656" s="32" t="s">
        <v>3872</v>
      </c>
      <c r="C656" s="31" t="b">
        <v>0</v>
      </c>
      <c r="D656" s="31">
        <v>6</v>
      </c>
      <c r="E656" s="38" t="s">
        <v>3957</v>
      </c>
      <c r="F656" s="31" t="s">
        <v>131</v>
      </c>
      <c r="G656" s="31" t="s">
        <v>3665</v>
      </c>
      <c r="H656" s="31" t="s">
        <v>3666</v>
      </c>
      <c r="I656" s="31" t="s">
        <v>3842</v>
      </c>
      <c r="J656" s="37" t="s">
        <v>4047</v>
      </c>
      <c r="K656" s="31" t="s">
        <v>3873</v>
      </c>
      <c r="L656" s="31" t="s">
        <v>446</v>
      </c>
      <c r="M656" s="31" t="s">
        <v>2232</v>
      </c>
      <c r="N656" s="31" t="s">
        <v>2328</v>
      </c>
    </row>
    <row r="657" spans="1:14" ht="75" x14ac:dyDescent="0.25">
      <c r="A657" s="31" t="s">
        <v>3176</v>
      </c>
      <c r="B657" s="32" t="s">
        <v>1946</v>
      </c>
      <c r="C657" s="31" t="b">
        <v>0</v>
      </c>
      <c r="D657" s="31">
        <v>6</v>
      </c>
      <c r="E657" s="38" t="s">
        <v>3958</v>
      </c>
      <c r="F657" s="31" t="s">
        <v>131</v>
      </c>
      <c r="G657" s="31" t="s">
        <v>3665</v>
      </c>
      <c r="H657" s="31" t="s">
        <v>3666</v>
      </c>
      <c r="I657" s="31" t="s">
        <v>3842</v>
      </c>
      <c r="J657" s="37" t="s">
        <v>4047</v>
      </c>
      <c r="K657" s="31" t="s">
        <v>3874</v>
      </c>
      <c r="L657" s="31" t="s">
        <v>446</v>
      </c>
      <c r="M657" s="31" t="s">
        <v>2232</v>
      </c>
      <c r="N657" s="31" t="s">
        <v>3655</v>
      </c>
    </row>
    <row r="658" spans="1:14" ht="75" x14ac:dyDescent="0.25">
      <c r="A658" s="31" t="s">
        <v>3177</v>
      </c>
      <c r="B658" s="32" t="s">
        <v>3875</v>
      </c>
      <c r="C658" s="31" t="b">
        <v>0</v>
      </c>
      <c r="D658" s="31">
        <v>6</v>
      </c>
      <c r="E658" s="38" t="s">
        <v>3960</v>
      </c>
      <c r="F658" s="31" t="s">
        <v>131</v>
      </c>
      <c r="G658" s="31" t="s">
        <v>3665</v>
      </c>
      <c r="H658" s="31" t="s">
        <v>3666</v>
      </c>
      <c r="I658" s="31" t="s">
        <v>3842</v>
      </c>
      <c r="J658" s="37" t="s">
        <v>4047</v>
      </c>
      <c r="K658" s="31" t="s">
        <v>3876</v>
      </c>
      <c r="L658" s="31" t="s">
        <v>446</v>
      </c>
      <c r="M658" s="31" t="s">
        <v>2232</v>
      </c>
      <c r="N658" s="31" t="s">
        <v>2328</v>
      </c>
    </row>
    <row r="659" spans="1:14" ht="90" x14ac:dyDescent="0.25">
      <c r="A659" s="31" t="s">
        <v>3175</v>
      </c>
      <c r="B659" s="32" t="s">
        <v>1945</v>
      </c>
      <c r="C659" s="31" t="b">
        <v>0</v>
      </c>
      <c r="D659" s="31">
        <v>6</v>
      </c>
      <c r="E659" s="38" t="s">
        <v>3653</v>
      </c>
      <c r="F659" s="31" t="s">
        <v>131</v>
      </c>
      <c r="G659" s="31" t="s">
        <v>3665</v>
      </c>
      <c r="H659" s="31" t="s">
        <v>3666</v>
      </c>
      <c r="I659" s="31" t="s">
        <v>3842</v>
      </c>
      <c r="J659" s="37" t="s">
        <v>3843</v>
      </c>
      <c r="K659" s="31" t="s">
        <v>3877</v>
      </c>
      <c r="L659" s="31" t="s">
        <v>446</v>
      </c>
      <c r="M659" s="31" t="s">
        <v>2503</v>
      </c>
      <c r="N659" s="31" t="s">
        <v>2328</v>
      </c>
    </row>
    <row r="660" spans="1:14" ht="90" x14ac:dyDescent="0.25">
      <c r="A660" s="31" t="s">
        <v>3174</v>
      </c>
      <c r="B660" s="32" t="s">
        <v>1944</v>
      </c>
      <c r="C660" s="31" t="b">
        <v>0</v>
      </c>
      <c r="D660" s="31">
        <v>6</v>
      </c>
      <c r="E660" s="38" t="s">
        <v>3651</v>
      </c>
      <c r="F660" s="31" t="s">
        <v>131</v>
      </c>
      <c r="G660" s="31" t="s">
        <v>3665</v>
      </c>
      <c r="H660" s="31" t="s">
        <v>3666</v>
      </c>
      <c r="I660" s="31" t="s">
        <v>3842</v>
      </c>
      <c r="J660" s="37" t="s">
        <v>3843</v>
      </c>
      <c r="K660" s="31" t="s">
        <v>3877</v>
      </c>
      <c r="L660" s="31" t="s">
        <v>446</v>
      </c>
      <c r="M660" s="31" t="s">
        <v>2503</v>
      </c>
      <c r="N660" s="31" t="s">
        <v>2328</v>
      </c>
    </row>
    <row r="661" spans="1:14" ht="90" x14ac:dyDescent="0.25">
      <c r="A661" s="31" t="s">
        <v>3107</v>
      </c>
      <c r="B661" s="32" t="s">
        <v>1823</v>
      </c>
      <c r="C661" s="31" t="b">
        <v>0</v>
      </c>
      <c r="D661" s="31">
        <v>6</v>
      </c>
      <c r="E661" s="38" t="s">
        <v>2296</v>
      </c>
      <c r="F661" s="31" t="s">
        <v>131</v>
      </c>
      <c r="G661" s="31" t="s">
        <v>3665</v>
      </c>
      <c r="H661" s="31" t="s">
        <v>3666</v>
      </c>
      <c r="I661" s="31" t="s">
        <v>3842</v>
      </c>
      <c r="J661" s="37" t="s">
        <v>3843</v>
      </c>
      <c r="K661" s="31" t="s">
        <v>3877</v>
      </c>
      <c r="L661" s="31" t="s">
        <v>446</v>
      </c>
      <c r="M661" s="31" t="s">
        <v>2503</v>
      </c>
      <c r="N661" s="31" t="s">
        <v>2328</v>
      </c>
    </row>
    <row r="662" spans="1:14" ht="60" x14ac:dyDescent="0.25">
      <c r="A662" s="31" t="s">
        <v>3105</v>
      </c>
      <c r="B662" s="32" t="s">
        <v>1821</v>
      </c>
      <c r="C662" s="31" t="b">
        <v>0</v>
      </c>
      <c r="D662" s="31">
        <v>6</v>
      </c>
      <c r="E662" s="38" t="s">
        <v>2294</v>
      </c>
      <c r="F662" s="31" t="s">
        <v>131</v>
      </c>
      <c r="G662" s="31" t="s">
        <v>3665</v>
      </c>
      <c r="H662" s="31" t="s">
        <v>3666</v>
      </c>
      <c r="I662" s="31" t="s">
        <v>3842</v>
      </c>
      <c r="J662" s="37" t="s">
        <v>3843</v>
      </c>
      <c r="K662" s="31" t="s">
        <v>3879</v>
      </c>
      <c r="L662" s="31" t="s">
        <v>446</v>
      </c>
      <c r="M662" s="31" t="s">
        <v>2503</v>
      </c>
      <c r="N662" s="31" t="s">
        <v>2328</v>
      </c>
    </row>
    <row r="663" spans="1:14" ht="60" x14ac:dyDescent="0.25">
      <c r="A663" s="31" t="s">
        <v>3109</v>
      </c>
      <c r="B663" s="32" t="s">
        <v>1825</v>
      </c>
      <c r="C663" s="31" t="b">
        <v>0</v>
      </c>
      <c r="D663" s="31">
        <v>6</v>
      </c>
      <c r="E663" s="38" t="s">
        <v>2298</v>
      </c>
      <c r="F663" s="31" t="s">
        <v>131</v>
      </c>
      <c r="G663" s="31" t="s">
        <v>3665</v>
      </c>
      <c r="H663" s="31" t="s">
        <v>3666</v>
      </c>
      <c r="I663" s="31" t="s">
        <v>3842</v>
      </c>
      <c r="J663" s="37" t="s">
        <v>3843</v>
      </c>
      <c r="K663" s="31" t="s">
        <v>3879</v>
      </c>
      <c r="L663" s="31" t="s">
        <v>446</v>
      </c>
      <c r="M663" s="31" t="s">
        <v>2503</v>
      </c>
      <c r="N663" s="31" t="s">
        <v>2328</v>
      </c>
    </row>
    <row r="664" spans="1:14" ht="75" x14ac:dyDescent="0.25">
      <c r="A664" s="31" t="s">
        <v>2328</v>
      </c>
      <c r="B664" s="32" t="s">
        <v>3881</v>
      </c>
      <c r="C664" s="31" t="b">
        <v>1</v>
      </c>
      <c r="D664" s="31">
        <v>4</v>
      </c>
      <c r="E664" s="35" t="s">
        <v>3971</v>
      </c>
      <c r="F664" s="31" t="s">
        <v>3443</v>
      </c>
      <c r="G664" s="31" t="s">
        <v>3665</v>
      </c>
      <c r="H664" s="31" t="s">
        <v>3666</v>
      </c>
      <c r="I664" s="31" t="s">
        <v>3842</v>
      </c>
      <c r="J664" s="37" t="s">
        <v>4047</v>
      </c>
      <c r="K664" s="31" t="s">
        <v>2328</v>
      </c>
      <c r="L664" s="31" t="s">
        <v>2328</v>
      </c>
      <c r="M664" s="31" t="s">
        <v>2232</v>
      </c>
      <c r="N664" s="31" t="s">
        <v>2328</v>
      </c>
    </row>
    <row r="665" spans="1:14" ht="75" x14ac:dyDescent="0.25">
      <c r="A665" s="31" t="s">
        <v>3116</v>
      </c>
      <c r="B665" s="32" t="s">
        <v>1834</v>
      </c>
      <c r="C665" s="31" t="b">
        <v>0</v>
      </c>
      <c r="D665" s="31">
        <v>6</v>
      </c>
      <c r="E665" s="38" t="s">
        <v>3961</v>
      </c>
      <c r="F665" s="31" t="s">
        <v>131</v>
      </c>
      <c r="G665" s="31" t="s">
        <v>3665</v>
      </c>
      <c r="H665" s="31" t="s">
        <v>3666</v>
      </c>
      <c r="I665" s="31" t="s">
        <v>3842</v>
      </c>
      <c r="J665" s="37" t="s">
        <v>4047</v>
      </c>
      <c r="K665" s="31" t="s">
        <v>3615</v>
      </c>
      <c r="L665" s="31" t="s">
        <v>446</v>
      </c>
      <c r="M665" s="31" t="s">
        <v>2232</v>
      </c>
      <c r="N665" s="31" t="s">
        <v>1835</v>
      </c>
    </row>
    <row r="666" spans="1:14" ht="75" x14ac:dyDescent="0.25">
      <c r="A666" s="31" t="s">
        <v>3116</v>
      </c>
      <c r="B666" s="32" t="s">
        <v>3884</v>
      </c>
      <c r="C666" s="31" t="b">
        <v>0</v>
      </c>
      <c r="D666" s="31">
        <v>6</v>
      </c>
      <c r="E666" s="38" t="s">
        <v>3963</v>
      </c>
      <c r="F666" s="31" t="s">
        <v>131</v>
      </c>
      <c r="G666" s="31" t="s">
        <v>3665</v>
      </c>
      <c r="H666" s="31" t="s">
        <v>3666</v>
      </c>
      <c r="I666" s="31" t="s">
        <v>3842</v>
      </c>
      <c r="J666" s="37" t="s">
        <v>4047</v>
      </c>
      <c r="K666" s="31" t="s">
        <v>3615</v>
      </c>
      <c r="L666" s="31" t="s">
        <v>446</v>
      </c>
      <c r="M666" s="31" t="s">
        <v>2232</v>
      </c>
      <c r="N666" s="31" t="s">
        <v>2328</v>
      </c>
    </row>
    <row r="667" spans="1:14" ht="75" x14ac:dyDescent="0.25">
      <c r="A667" s="31" t="s">
        <v>3115</v>
      </c>
      <c r="B667" s="32" t="s">
        <v>1832</v>
      </c>
      <c r="C667" s="31" t="b">
        <v>0</v>
      </c>
      <c r="D667" s="31">
        <v>6</v>
      </c>
      <c r="E667" s="38" t="s">
        <v>3964</v>
      </c>
      <c r="F667" s="31" t="s">
        <v>131</v>
      </c>
      <c r="G667" s="31" t="s">
        <v>3665</v>
      </c>
      <c r="H667" s="31" t="s">
        <v>3666</v>
      </c>
      <c r="I667" s="31" t="s">
        <v>3842</v>
      </c>
      <c r="J667" s="37" t="s">
        <v>4047</v>
      </c>
      <c r="K667" s="31" t="s">
        <v>3613</v>
      </c>
      <c r="L667" s="31" t="s">
        <v>446</v>
      </c>
      <c r="M667" s="31" t="s">
        <v>2232</v>
      </c>
      <c r="N667" s="31" t="s">
        <v>1833</v>
      </c>
    </row>
    <row r="668" spans="1:14" ht="75" x14ac:dyDescent="0.25">
      <c r="A668" s="31" t="s">
        <v>3115</v>
      </c>
      <c r="B668" s="32" t="s">
        <v>3885</v>
      </c>
      <c r="C668" s="31" t="b">
        <v>0</v>
      </c>
      <c r="D668" s="31">
        <v>6</v>
      </c>
      <c r="E668" s="38" t="s">
        <v>3966</v>
      </c>
      <c r="F668" s="31" t="s">
        <v>131</v>
      </c>
      <c r="G668" s="31" t="s">
        <v>3665</v>
      </c>
      <c r="H668" s="31" t="s">
        <v>3666</v>
      </c>
      <c r="I668" s="31" t="s">
        <v>3842</v>
      </c>
      <c r="J668" s="37" t="s">
        <v>4047</v>
      </c>
      <c r="K668" s="31" t="s">
        <v>3613</v>
      </c>
      <c r="L668" s="31" t="s">
        <v>446</v>
      </c>
      <c r="M668" s="31" t="s">
        <v>2232</v>
      </c>
      <c r="N668" s="31" t="s">
        <v>2328</v>
      </c>
    </row>
    <row r="669" spans="1:14" ht="75" x14ac:dyDescent="0.25">
      <c r="A669" s="31" t="s">
        <v>3117</v>
      </c>
      <c r="B669" s="32" t="s">
        <v>1836</v>
      </c>
      <c r="C669" s="31" t="b">
        <v>0</v>
      </c>
      <c r="D669" s="31">
        <v>6</v>
      </c>
      <c r="E669" s="38" t="s">
        <v>3967</v>
      </c>
      <c r="F669" s="31" t="s">
        <v>131</v>
      </c>
      <c r="G669" s="31" t="s">
        <v>3665</v>
      </c>
      <c r="H669" s="31" t="s">
        <v>3666</v>
      </c>
      <c r="I669" s="31" t="s">
        <v>3842</v>
      </c>
      <c r="J669" s="37" t="s">
        <v>4047</v>
      </c>
      <c r="K669" s="31" t="s">
        <v>3617</v>
      </c>
      <c r="L669" s="31" t="s">
        <v>446</v>
      </c>
      <c r="M669" s="31" t="s">
        <v>2232</v>
      </c>
      <c r="N669" s="31" t="s">
        <v>1837</v>
      </c>
    </row>
    <row r="670" spans="1:14" ht="45" x14ac:dyDescent="0.25">
      <c r="A670" s="31" t="s">
        <v>2328</v>
      </c>
      <c r="B670" s="32" t="s">
        <v>3886</v>
      </c>
      <c r="C670" s="31" t="b">
        <v>1</v>
      </c>
      <c r="D670" s="31">
        <v>4</v>
      </c>
      <c r="E670" s="35" t="s">
        <v>3972</v>
      </c>
      <c r="F670" s="31" t="s">
        <v>3443</v>
      </c>
      <c r="G670" s="31" t="s">
        <v>3665</v>
      </c>
      <c r="H670" s="31" t="s">
        <v>3666</v>
      </c>
      <c r="I670" s="31" t="s">
        <v>3842</v>
      </c>
      <c r="J670" s="37" t="s">
        <v>3843</v>
      </c>
      <c r="K670" s="31" t="s">
        <v>2328</v>
      </c>
      <c r="L670" s="31" t="s">
        <v>2328</v>
      </c>
      <c r="M670" s="31" t="s">
        <v>2503</v>
      </c>
      <c r="N670" s="31" t="s">
        <v>2328</v>
      </c>
    </row>
    <row r="671" spans="1:14" ht="45" x14ac:dyDescent="0.25">
      <c r="A671" s="31" t="s">
        <v>3110</v>
      </c>
      <c r="B671" s="32" t="s">
        <v>1826</v>
      </c>
      <c r="C671" s="31" t="b">
        <v>0</v>
      </c>
      <c r="D671" s="31">
        <v>6</v>
      </c>
      <c r="E671" s="38" t="s">
        <v>1827</v>
      </c>
      <c r="F671" s="31" t="s">
        <v>131</v>
      </c>
      <c r="G671" s="31" t="s">
        <v>3665</v>
      </c>
      <c r="H671" s="31" t="s">
        <v>3666</v>
      </c>
      <c r="I671" s="31" t="s">
        <v>3842</v>
      </c>
      <c r="J671" s="37" t="s">
        <v>3843</v>
      </c>
      <c r="K671" s="31" t="s">
        <v>3889</v>
      </c>
      <c r="L671" s="31" t="s">
        <v>446</v>
      </c>
      <c r="M671" s="31" t="s">
        <v>2503</v>
      </c>
      <c r="N671" s="31" t="s">
        <v>2328</v>
      </c>
    </row>
    <row r="672" spans="1:14" ht="60" x14ac:dyDescent="0.25">
      <c r="A672" s="31" t="s">
        <v>3112</v>
      </c>
      <c r="B672" s="32" t="s">
        <v>1829</v>
      </c>
      <c r="C672" s="31" t="b">
        <v>0</v>
      </c>
      <c r="D672" s="31">
        <v>6</v>
      </c>
      <c r="E672" s="38" t="s">
        <v>2300</v>
      </c>
      <c r="F672" s="31" t="s">
        <v>131</v>
      </c>
      <c r="G672" s="31" t="s">
        <v>3665</v>
      </c>
      <c r="H672" s="31" t="s">
        <v>3666</v>
      </c>
      <c r="I672" s="31" t="s">
        <v>3842</v>
      </c>
      <c r="J672" s="37" t="s">
        <v>3843</v>
      </c>
      <c r="K672" s="31" t="s">
        <v>3890</v>
      </c>
      <c r="L672" s="31" t="s">
        <v>446</v>
      </c>
      <c r="M672" s="31" t="s">
        <v>2503</v>
      </c>
      <c r="N672" s="31" t="s">
        <v>2328</v>
      </c>
    </row>
    <row r="673" spans="1:14" ht="60" x14ac:dyDescent="0.25">
      <c r="A673" s="31" t="s">
        <v>3114</v>
      </c>
      <c r="B673" s="32" t="s">
        <v>1831</v>
      </c>
      <c r="C673" s="31" t="b">
        <v>0</v>
      </c>
      <c r="D673" s="31">
        <v>6</v>
      </c>
      <c r="E673" s="38" t="s">
        <v>2302</v>
      </c>
      <c r="F673" s="31" t="s">
        <v>131</v>
      </c>
      <c r="G673" s="31" t="s">
        <v>3665</v>
      </c>
      <c r="H673" s="31" t="s">
        <v>3666</v>
      </c>
      <c r="I673" s="31" t="s">
        <v>3842</v>
      </c>
      <c r="J673" s="37" t="s">
        <v>3843</v>
      </c>
      <c r="K673" s="31" t="s">
        <v>3890</v>
      </c>
      <c r="L673" s="31" t="s">
        <v>446</v>
      </c>
      <c r="M673" s="31" t="s">
        <v>2503</v>
      </c>
      <c r="N673" s="31" t="s">
        <v>2328</v>
      </c>
    </row>
    <row r="674" spans="1:14" ht="60" x14ac:dyDescent="0.25">
      <c r="A674" s="31" t="s">
        <v>3120</v>
      </c>
      <c r="B674" s="32" t="s">
        <v>1842</v>
      </c>
      <c r="C674" s="31" t="b">
        <v>0</v>
      </c>
      <c r="D674" s="31">
        <v>6</v>
      </c>
      <c r="E674" s="38" t="s">
        <v>1843</v>
      </c>
      <c r="F674" s="31" t="s">
        <v>131</v>
      </c>
      <c r="G674" s="31" t="s">
        <v>3665</v>
      </c>
      <c r="H674" s="31" t="s">
        <v>3666</v>
      </c>
      <c r="I674" s="31" t="s">
        <v>3842</v>
      </c>
      <c r="J674" s="37" t="s">
        <v>3843</v>
      </c>
      <c r="K674" s="31" t="s">
        <v>3890</v>
      </c>
      <c r="L674" s="31" t="s">
        <v>446</v>
      </c>
      <c r="M674" s="31" t="s">
        <v>2503</v>
      </c>
      <c r="N674" s="31" t="s">
        <v>2328</v>
      </c>
    </row>
    <row r="675" spans="1:14" ht="60" x14ac:dyDescent="0.25">
      <c r="A675" s="31" t="s">
        <v>3118</v>
      </c>
      <c r="B675" s="32" t="s">
        <v>1838</v>
      </c>
      <c r="C675" s="31" t="b">
        <v>0</v>
      </c>
      <c r="D675" s="31">
        <v>6</v>
      </c>
      <c r="E675" s="38" t="s">
        <v>1839</v>
      </c>
      <c r="F675" s="31" t="s">
        <v>131</v>
      </c>
      <c r="G675" s="31" t="s">
        <v>3665</v>
      </c>
      <c r="H675" s="31" t="s">
        <v>3666</v>
      </c>
      <c r="I675" s="31" t="s">
        <v>3842</v>
      </c>
      <c r="J675" s="37" t="s">
        <v>3843</v>
      </c>
      <c r="K675" s="31" t="s">
        <v>3890</v>
      </c>
      <c r="L675" s="31" t="s">
        <v>446</v>
      </c>
      <c r="M675" s="31" t="s">
        <v>2503</v>
      </c>
      <c r="N675" s="31" t="s">
        <v>2328</v>
      </c>
    </row>
    <row r="676" spans="1:14" ht="60" x14ac:dyDescent="0.25">
      <c r="A676" s="31" t="s">
        <v>3111</v>
      </c>
      <c r="B676" s="32" t="s">
        <v>1828</v>
      </c>
      <c r="C676" s="31" t="b">
        <v>0</v>
      </c>
      <c r="D676" s="31">
        <v>6</v>
      </c>
      <c r="E676" s="38" t="s">
        <v>2299</v>
      </c>
      <c r="F676" s="31" t="s">
        <v>131</v>
      </c>
      <c r="G676" s="31" t="s">
        <v>3665</v>
      </c>
      <c r="H676" s="31" t="s">
        <v>3666</v>
      </c>
      <c r="I676" s="31" t="s">
        <v>3842</v>
      </c>
      <c r="J676" s="37" t="s">
        <v>3843</v>
      </c>
      <c r="K676" s="31" t="s">
        <v>3890</v>
      </c>
      <c r="L676" s="31" t="s">
        <v>446</v>
      </c>
      <c r="M676" s="31" t="s">
        <v>2503</v>
      </c>
      <c r="N676" s="31" t="s">
        <v>2328</v>
      </c>
    </row>
    <row r="677" spans="1:14" ht="60" x14ac:dyDescent="0.25">
      <c r="A677" s="31" t="s">
        <v>3113</v>
      </c>
      <c r="B677" s="32" t="s">
        <v>1830</v>
      </c>
      <c r="C677" s="31" t="b">
        <v>0</v>
      </c>
      <c r="D677" s="31">
        <v>6</v>
      </c>
      <c r="E677" s="38" t="s">
        <v>2301</v>
      </c>
      <c r="F677" s="31" t="s">
        <v>131</v>
      </c>
      <c r="G677" s="31" t="s">
        <v>3665</v>
      </c>
      <c r="H677" s="31" t="s">
        <v>3666</v>
      </c>
      <c r="I677" s="31" t="s">
        <v>3842</v>
      </c>
      <c r="J677" s="37" t="s">
        <v>3843</v>
      </c>
      <c r="K677" s="31" t="s">
        <v>3890</v>
      </c>
      <c r="L677" s="31" t="s">
        <v>446</v>
      </c>
      <c r="M677" s="31" t="s">
        <v>2503</v>
      </c>
      <c r="N677" s="31" t="s">
        <v>2328</v>
      </c>
    </row>
    <row r="678" spans="1:14" ht="60" x14ac:dyDescent="0.25">
      <c r="A678" s="31" t="s">
        <v>3119</v>
      </c>
      <c r="B678" s="32" t="s">
        <v>1840</v>
      </c>
      <c r="C678" s="31" t="b">
        <v>0</v>
      </c>
      <c r="D678" s="31">
        <v>6</v>
      </c>
      <c r="E678" s="38" t="s">
        <v>1841</v>
      </c>
      <c r="F678" s="31" t="s">
        <v>131</v>
      </c>
      <c r="G678" s="31" t="s">
        <v>3665</v>
      </c>
      <c r="H678" s="31" t="s">
        <v>3666</v>
      </c>
      <c r="I678" s="31" t="s">
        <v>3842</v>
      </c>
      <c r="J678" s="37" t="s">
        <v>3843</v>
      </c>
      <c r="K678" s="31" t="s">
        <v>3890</v>
      </c>
      <c r="L678" s="31" t="s">
        <v>446</v>
      </c>
      <c r="M678" s="31" t="s">
        <v>2503</v>
      </c>
      <c r="N678" s="31" t="s">
        <v>2328</v>
      </c>
    </row>
    <row r="679" spans="1:14" ht="75" x14ac:dyDescent="0.25">
      <c r="A679" s="31" t="s">
        <v>2328</v>
      </c>
      <c r="B679" s="32" t="s">
        <v>3891</v>
      </c>
      <c r="C679" s="31" t="b">
        <v>1</v>
      </c>
      <c r="D679" s="31">
        <v>4</v>
      </c>
      <c r="E679" s="35" t="s">
        <v>3973</v>
      </c>
      <c r="F679" s="31" t="s">
        <v>3443</v>
      </c>
      <c r="G679" s="31" t="s">
        <v>3665</v>
      </c>
      <c r="H679" s="31" t="s">
        <v>3666</v>
      </c>
      <c r="I679" s="31" t="s">
        <v>3842</v>
      </c>
      <c r="J679" s="37" t="s">
        <v>4047</v>
      </c>
      <c r="K679" s="31" t="s">
        <v>2328</v>
      </c>
      <c r="L679" s="31" t="s">
        <v>2328</v>
      </c>
      <c r="M679" s="31" t="s">
        <v>2232</v>
      </c>
      <c r="N679" s="31" t="s">
        <v>2328</v>
      </c>
    </row>
    <row r="680" spans="1:14" ht="45" x14ac:dyDescent="0.25">
      <c r="A680" s="31" t="s">
        <v>3121</v>
      </c>
      <c r="B680" s="32" t="s">
        <v>1844</v>
      </c>
      <c r="C680" s="31" t="b">
        <v>0</v>
      </c>
      <c r="D680" s="31">
        <v>6</v>
      </c>
      <c r="E680" s="38" t="s">
        <v>1845</v>
      </c>
      <c r="F680" s="31" t="s">
        <v>131</v>
      </c>
      <c r="G680" s="31" t="s">
        <v>3665</v>
      </c>
      <c r="H680" s="31" t="s">
        <v>3666</v>
      </c>
      <c r="I680" s="31" t="s">
        <v>3842</v>
      </c>
      <c r="J680" s="37" t="s">
        <v>3843</v>
      </c>
      <c r="K680" s="31" t="s">
        <v>3895</v>
      </c>
      <c r="L680" s="31" t="s">
        <v>446</v>
      </c>
      <c r="M680" s="31" t="s">
        <v>2503</v>
      </c>
      <c r="N680" s="31" t="s">
        <v>2328</v>
      </c>
    </row>
    <row r="681" spans="1:14" ht="75" x14ac:dyDescent="0.25">
      <c r="A681" s="31" t="s">
        <v>3122</v>
      </c>
      <c r="B681" s="32" t="s">
        <v>1846</v>
      </c>
      <c r="C681" s="31" t="b">
        <v>0</v>
      </c>
      <c r="D681" s="31">
        <v>6</v>
      </c>
      <c r="E681" s="38" t="s">
        <v>1847</v>
      </c>
      <c r="F681" s="31" t="s">
        <v>131</v>
      </c>
      <c r="G681" s="31" t="s">
        <v>3665</v>
      </c>
      <c r="H681" s="31" t="s">
        <v>3666</v>
      </c>
      <c r="I681" s="31" t="s">
        <v>3842</v>
      </c>
      <c r="J681" s="37" t="s">
        <v>4047</v>
      </c>
      <c r="K681" s="31" t="s">
        <v>2328</v>
      </c>
      <c r="L681" s="31" t="s">
        <v>446</v>
      </c>
      <c r="M681" s="31" t="s">
        <v>2232</v>
      </c>
      <c r="N681" s="31" t="s">
        <v>2328</v>
      </c>
    </row>
    <row r="682" spans="1:14" ht="75" x14ac:dyDescent="0.25">
      <c r="A682" s="31" t="s">
        <v>3123</v>
      </c>
      <c r="B682" s="32" t="s">
        <v>1848</v>
      </c>
      <c r="C682" s="31" t="b">
        <v>0</v>
      </c>
      <c r="D682" s="31">
        <v>6</v>
      </c>
      <c r="E682" s="38" t="s">
        <v>1849</v>
      </c>
      <c r="F682" s="31" t="s">
        <v>131</v>
      </c>
      <c r="G682" s="31" t="s">
        <v>3665</v>
      </c>
      <c r="H682" s="31" t="s">
        <v>3666</v>
      </c>
      <c r="I682" s="31" t="s">
        <v>3842</v>
      </c>
      <c r="J682" s="37" t="s">
        <v>4047</v>
      </c>
      <c r="K682" s="31" t="s">
        <v>2328</v>
      </c>
      <c r="L682" s="31" t="s">
        <v>446</v>
      </c>
      <c r="M682" s="31" t="s">
        <v>2232</v>
      </c>
      <c r="N682" s="31" t="s">
        <v>2328</v>
      </c>
    </row>
    <row r="683" spans="1:14" ht="75" x14ac:dyDescent="0.25">
      <c r="A683" s="31" t="s">
        <v>3124</v>
      </c>
      <c r="B683" s="32" t="s">
        <v>1850</v>
      </c>
      <c r="C683" s="31" t="b">
        <v>0</v>
      </c>
      <c r="D683" s="31">
        <v>6</v>
      </c>
      <c r="E683" s="38" t="s">
        <v>1851</v>
      </c>
      <c r="F683" s="31" t="s">
        <v>131</v>
      </c>
      <c r="G683" s="31" t="s">
        <v>3665</v>
      </c>
      <c r="H683" s="31" t="s">
        <v>3666</v>
      </c>
      <c r="I683" s="31" t="s">
        <v>3842</v>
      </c>
      <c r="J683" s="37" t="s">
        <v>4047</v>
      </c>
      <c r="K683" s="31" t="s">
        <v>2328</v>
      </c>
      <c r="L683" s="31" t="s">
        <v>446</v>
      </c>
      <c r="M683" s="31" t="s">
        <v>2232</v>
      </c>
      <c r="N683" s="31" t="s">
        <v>2328</v>
      </c>
    </row>
    <row r="684" spans="1:14" ht="75" x14ac:dyDescent="0.25">
      <c r="A684" s="31" t="s">
        <v>3125</v>
      </c>
      <c r="B684" s="32" t="s">
        <v>1852</v>
      </c>
      <c r="C684" s="31" t="b">
        <v>0</v>
      </c>
      <c r="D684" s="31">
        <v>6</v>
      </c>
      <c r="E684" s="38" t="s">
        <v>1853</v>
      </c>
      <c r="F684" s="31" t="s">
        <v>131</v>
      </c>
      <c r="G684" s="31" t="s">
        <v>3665</v>
      </c>
      <c r="H684" s="31" t="s">
        <v>3666</v>
      </c>
      <c r="I684" s="31" t="s">
        <v>3842</v>
      </c>
      <c r="J684" s="37" t="s">
        <v>4047</v>
      </c>
      <c r="K684" s="31" t="s">
        <v>2328</v>
      </c>
      <c r="L684" s="31" t="s">
        <v>446</v>
      </c>
      <c r="M684" s="31" t="s">
        <v>2232</v>
      </c>
      <c r="N684" s="31" t="s">
        <v>2328</v>
      </c>
    </row>
    <row r="685" spans="1:14" ht="75" x14ac:dyDescent="0.25">
      <c r="A685" s="31" t="s">
        <v>3126</v>
      </c>
      <c r="B685" s="32" t="s">
        <v>1854</v>
      </c>
      <c r="C685" s="31" t="b">
        <v>0</v>
      </c>
      <c r="D685" s="31">
        <v>6</v>
      </c>
      <c r="E685" s="38" t="s">
        <v>1855</v>
      </c>
      <c r="F685" s="31" t="s">
        <v>131</v>
      </c>
      <c r="G685" s="31" t="s">
        <v>3665</v>
      </c>
      <c r="H685" s="31" t="s">
        <v>3666</v>
      </c>
      <c r="I685" s="31" t="s">
        <v>3842</v>
      </c>
      <c r="J685" s="37" t="s">
        <v>4047</v>
      </c>
      <c r="K685" s="31" t="s">
        <v>2328</v>
      </c>
      <c r="L685" s="31" t="s">
        <v>446</v>
      </c>
      <c r="M685" s="31" t="s">
        <v>2232</v>
      </c>
      <c r="N685" s="31" t="s">
        <v>2328</v>
      </c>
    </row>
    <row r="686" spans="1:14" ht="75" x14ac:dyDescent="0.25">
      <c r="A686" s="31" t="s">
        <v>3127</v>
      </c>
      <c r="B686" s="32" t="s">
        <v>1856</v>
      </c>
      <c r="C686" s="31" t="b">
        <v>0</v>
      </c>
      <c r="D686" s="31">
        <v>6</v>
      </c>
      <c r="E686" s="38" t="s">
        <v>1857</v>
      </c>
      <c r="F686" s="31" t="s">
        <v>131</v>
      </c>
      <c r="G686" s="31" t="s">
        <v>3665</v>
      </c>
      <c r="H686" s="31" t="s">
        <v>3666</v>
      </c>
      <c r="I686" s="31" t="s">
        <v>3842</v>
      </c>
      <c r="J686" s="37" t="s">
        <v>4047</v>
      </c>
      <c r="K686" s="31" t="s">
        <v>2328</v>
      </c>
      <c r="L686" s="31" t="s">
        <v>446</v>
      </c>
      <c r="M686" s="31" t="s">
        <v>2232</v>
      </c>
      <c r="N686" s="31" t="s">
        <v>2328</v>
      </c>
    </row>
    <row r="687" spans="1:14" ht="75" x14ac:dyDescent="0.25">
      <c r="A687" s="31" t="s">
        <v>3128</v>
      </c>
      <c r="B687" s="32" t="s">
        <v>1858</v>
      </c>
      <c r="C687" s="31" t="b">
        <v>0</v>
      </c>
      <c r="D687" s="31">
        <v>6</v>
      </c>
      <c r="E687" s="38" t="s">
        <v>1859</v>
      </c>
      <c r="F687" s="31" t="s">
        <v>131</v>
      </c>
      <c r="G687" s="31" t="s">
        <v>3665</v>
      </c>
      <c r="H687" s="31" t="s">
        <v>3666</v>
      </c>
      <c r="I687" s="31" t="s">
        <v>3842</v>
      </c>
      <c r="J687" s="37" t="s">
        <v>4047</v>
      </c>
      <c r="K687" s="31" t="s">
        <v>2328</v>
      </c>
      <c r="L687" s="31" t="s">
        <v>446</v>
      </c>
      <c r="M687" s="31" t="s">
        <v>2232</v>
      </c>
      <c r="N687" s="31" t="s">
        <v>2328</v>
      </c>
    </row>
    <row r="688" spans="1:14" ht="75" x14ac:dyDescent="0.25">
      <c r="A688" s="31" t="s">
        <v>3129</v>
      </c>
      <c r="B688" s="32" t="s">
        <v>1860</v>
      </c>
      <c r="C688" s="31" t="b">
        <v>0</v>
      </c>
      <c r="D688" s="31">
        <v>6</v>
      </c>
      <c r="E688" s="38" t="s">
        <v>1861</v>
      </c>
      <c r="F688" s="31" t="s">
        <v>131</v>
      </c>
      <c r="G688" s="31" t="s">
        <v>3665</v>
      </c>
      <c r="H688" s="31" t="s">
        <v>3666</v>
      </c>
      <c r="I688" s="31" t="s">
        <v>3842</v>
      </c>
      <c r="J688" s="37" t="s">
        <v>4047</v>
      </c>
      <c r="K688" s="31" t="s">
        <v>2328</v>
      </c>
      <c r="L688" s="31" t="s">
        <v>446</v>
      </c>
      <c r="M688" s="31" t="s">
        <v>2232</v>
      </c>
      <c r="N688" s="31" t="s">
        <v>2328</v>
      </c>
    </row>
    <row r="689" spans="1:14" ht="75" x14ac:dyDescent="0.25">
      <c r="A689" s="31" t="s">
        <v>2328</v>
      </c>
      <c r="B689" s="32" t="s">
        <v>3904</v>
      </c>
      <c r="C689" s="31" t="b">
        <v>1</v>
      </c>
      <c r="D689" s="31">
        <v>4</v>
      </c>
      <c r="E689" s="35" t="s">
        <v>3974</v>
      </c>
      <c r="F689" s="31" t="s">
        <v>3443</v>
      </c>
      <c r="G689" s="31" t="s">
        <v>3665</v>
      </c>
      <c r="H689" s="31" t="s">
        <v>3666</v>
      </c>
      <c r="I689" s="31" t="s">
        <v>3842</v>
      </c>
      <c r="J689" s="37" t="s">
        <v>4047</v>
      </c>
      <c r="K689" s="31" t="s">
        <v>2328</v>
      </c>
      <c r="L689" s="31" t="s">
        <v>2328</v>
      </c>
      <c r="M689" s="31" t="s">
        <v>2232</v>
      </c>
      <c r="N689" s="31" t="s">
        <v>2328</v>
      </c>
    </row>
    <row r="690" spans="1:14" ht="75" x14ac:dyDescent="0.25">
      <c r="A690" s="31" t="s">
        <v>3130</v>
      </c>
      <c r="B690" s="32" t="s">
        <v>1862</v>
      </c>
      <c r="C690" s="31" t="b">
        <v>0</v>
      </c>
      <c r="D690" s="31">
        <v>6</v>
      </c>
      <c r="E690" s="38" t="s">
        <v>1863</v>
      </c>
      <c r="F690" s="31" t="s">
        <v>131</v>
      </c>
      <c r="G690" s="31" t="s">
        <v>3665</v>
      </c>
      <c r="H690" s="31" t="s">
        <v>3666</v>
      </c>
      <c r="I690" s="31" t="s">
        <v>3842</v>
      </c>
      <c r="J690" s="37" t="s">
        <v>4047</v>
      </c>
      <c r="K690" s="31" t="s">
        <v>2328</v>
      </c>
      <c r="L690" s="31" t="s">
        <v>446</v>
      </c>
      <c r="M690" s="31" t="s">
        <v>2232</v>
      </c>
      <c r="N690" s="31" t="s">
        <v>2328</v>
      </c>
    </row>
    <row r="691" spans="1:14" ht="75" x14ac:dyDescent="0.25">
      <c r="A691" s="31" t="s">
        <v>3131</v>
      </c>
      <c r="B691" s="32" t="s">
        <v>1864</v>
      </c>
      <c r="C691" s="31" t="b">
        <v>0</v>
      </c>
      <c r="D691" s="31">
        <v>6</v>
      </c>
      <c r="E691" s="38" t="s">
        <v>1865</v>
      </c>
      <c r="F691" s="31" t="s">
        <v>131</v>
      </c>
      <c r="G691" s="31" t="s">
        <v>3665</v>
      </c>
      <c r="H691" s="31" t="s">
        <v>3666</v>
      </c>
      <c r="I691" s="31" t="s">
        <v>3842</v>
      </c>
      <c r="J691" s="37" t="s">
        <v>4047</v>
      </c>
      <c r="K691" s="31" t="s">
        <v>2328</v>
      </c>
      <c r="L691" s="31" t="s">
        <v>446</v>
      </c>
      <c r="M691" s="31" t="s">
        <v>2232</v>
      </c>
      <c r="N691" s="31" t="s">
        <v>2328</v>
      </c>
    </row>
    <row r="692" spans="1:14" ht="75" x14ac:dyDescent="0.25">
      <c r="A692" s="31" t="s">
        <v>3132</v>
      </c>
      <c r="B692" s="32" t="s">
        <v>1866</v>
      </c>
      <c r="C692" s="31" t="b">
        <v>0</v>
      </c>
      <c r="D692" s="31">
        <v>6</v>
      </c>
      <c r="E692" s="38" t="s">
        <v>1867</v>
      </c>
      <c r="F692" s="31" t="s">
        <v>131</v>
      </c>
      <c r="G692" s="31" t="s">
        <v>3665</v>
      </c>
      <c r="H692" s="31" t="s">
        <v>3666</v>
      </c>
      <c r="I692" s="31" t="s">
        <v>3842</v>
      </c>
      <c r="J692" s="37" t="s">
        <v>4047</v>
      </c>
      <c r="K692" s="31" t="s">
        <v>2328</v>
      </c>
      <c r="L692" s="31" t="s">
        <v>446</v>
      </c>
      <c r="M692" s="31" t="s">
        <v>2232</v>
      </c>
      <c r="N692" s="31" t="s">
        <v>2328</v>
      </c>
    </row>
    <row r="693" spans="1:14" ht="75" x14ac:dyDescent="0.25">
      <c r="A693" s="31" t="s">
        <v>3133</v>
      </c>
      <c r="B693" s="32" t="s">
        <v>1868</v>
      </c>
      <c r="C693" s="31" t="b">
        <v>0</v>
      </c>
      <c r="D693" s="31">
        <v>6</v>
      </c>
      <c r="E693" s="38" t="s">
        <v>1869</v>
      </c>
      <c r="F693" s="31" t="s">
        <v>131</v>
      </c>
      <c r="G693" s="31" t="s">
        <v>3665</v>
      </c>
      <c r="H693" s="31" t="s">
        <v>3666</v>
      </c>
      <c r="I693" s="31" t="s">
        <v>3842</v>
      </c>
      <c r="J693" s="37" t="s">
        <v>4047</v>
      </c>
      <c r="K693" s="31" t="s">
        <v>2328</v>
      </c>
      <c r="L693" s="31" t="s">
        <v>446</v>
      </c>
      <c r="M693" s="31" t="s">
        <v>2232</v>
      </c>
      <c r="N693" s="31" t="s">
        <v>2328</v>
      </c>
    </row>
    <row r="694" spans="1:14" ht="75" x14ac:dyDescent="0.25">
      <c r="A694" s="31" t="s">
        <v>3134</v>
      </c>
      <c r="B694" s="32" t="s">
        <v>1870</v>
      </c>
      <c r="C694" s="31" t="b">
        <v>0</v>
      </c>
      <c r="D694" s="31">
        <v>6</v>
      </c>
      <c r="E694" s="38" t="s">
        <v>1871</v>
      </c>
      <c r="F694" s="31" t="s">
        <v>131</v>
      </c>
      <c r="G694" s="31" t="s">
        <v>3665</v>
      </c>
      <c r="H694" s="31" t="s">
        <v>3666</v>
      </c>
      <c r="I694" s="31" t="s">
        <v>3842</v>
      </c>
      <c r="J694" s="37" t="s">
        <v>4047</v>
      </c>
      <c r="K694" s="31" t="s">
        <v>2328</v>
      </c>
      <c r="L694" s="31" t="s">
        <v>446</v>
      </c>
      <c r="M694" s="31" t="s">
        <v>2232</v>
      </c>
      <c r="N694" s="31" t="s">
        <v>2328</v>
      </c>
    </row>
    <row r="695" spans="1:14" ht="75" x14ac:dyDescent="0.25">
      <c r="A695" s="31" t="s">
        <v>2328</v>
      </c>
      <c r="B695" s="32" t="s">
        <v>3907</v>
      </c>
      <c r="C695" s="31" t="b">
        <v>1</v>
      </c>
      <c r="D695" s="31">
        <v>4</v>
      </c>
      <c r="E695" s="35" t="s">
        <v>3975</v>
      </c>
      <c r="F695" s="31" t="s">
        <v>3443</v>
      </c>
      <c r="G695" s="31" t="s">
        <v>3665</v>
      </c>
      <c r="H695" s="31" t="s">
        <v>3666</v>
      </c>
      <c r="I695" s="31" t="s">
        <v>3842</v>
      </c>
      <c r="J695" s="37" t="s">
        <v>4047</v>
      </c>
      <c r="K695" s="31" t="s">
        <v>2328</v>
      </c>
      <c r="L695" s="31" t="s">
        <v>2328</v>
      </c>
      <c r="M695" s="31" t="s">
        <v>2232</v>
      </c>
      <c r="N695" s="31" t="s">
        <v>2328</v>
      </c>
    </row>
    <row r="696" spans="1:14" ht="75" x14ac:dyDescent="0.25">
      <c r="A696" s="31" t="s">
        <v>3135</v>
      </c>
      <c r="B696" s="32" t="s">
        <v>1872</v>
      </c>
      <c r="C696" s="31" t="b">
        <v>0</v>
      </c>
      <c r="D696" s="31">
        <v>6</v>
      </c>
      <c r="E696" s="38" t="s">
        <v>1873</v>
      </c>
      <c r="F696" s="31" t="s">
        <v>131</v>
      </c>
      <c r="G696" s="31" t="s">
        <v>3665</v>
      </c>
      <c r="H696" s="31" t="s">
        <v>3666</v>
      </c>
      <c r="I696" s="31" t="s">
        <v>3842</v>
      </c>
      <c r="J696" s="37" t="s">
        <v>4047</v>
      </c>
      <c r="K696" s="31" t="s">
        <v>2328</v>
      </c>
      <c r="L696" s="31" t="s">
        <v>446</v>
      </c>
      <c r="M696" s="31" t="s">
        <v>2232</v>
      </c>
      <c r="N696" s="31" t="s">
        <v>2328</v>
      </c>
    </row>
    <row r="697" spans="1:14" ht="75" x14ac:dyDescent="0.25">
      <c r="A697" s="31" t="s">
        <v>3136</v>
      </c>
      <c r="B697" s="32" t="s">
        <v>1874</v>
      </c>
      <c r="C697" s="31" t="b">
        <v>0</v>
      </c>
      <c r="D697" s="31">
        <v>6</v>
      </c>
      <c r="E697" s="38" t="s">
        <v>1875</v>
      </c>
      <c r="F697" s="31" t="s">
        <v>131</v>
      </c>
      <c r="G697" s="31" t="s">
        <v>3665</v>
      </c>
      <c r="H697" s="31" t="s">
        <v>3666</v>
      </c>
      <c r="I697" s="31" t="s">
        <v>3842</v>
      </c>
      <c r="J697" s="37" t="s">
        <v>4047</v>
      </c>
      <c r="K697" s="31" t="s">
        <v>2328</v>
      </c>
      <c r="L697" s="31" t="s">
        <v>446</v>
      </c>
      <c r="M697" s="31" t="s">
        <v>2232</v>
      </c>
      <c r="N697" s="31" t="s">
        <v>2328</v>
      </c>
    </row>
    <row r="698" spans="1:14" ht="75" x14ac:dyDescent="0.25">
      <c r="A698" s="31" t="s">
        <v>3137</v>
      </c>
      <c r="B698" s="32" t="s">
        <v>1876</v>
      </c>
      <c r="C698" s="31" t="b">
        <v>0</v>
      </c>
      <c r="D698" s="31">
        <v>6</v>
      </c>
      <c r="E698" s="38" t="s">
        <v>1877</v>
      </c>
      <c r="F698" s="31" t="s">
        <v>131</v>
      </c>
      <c r="G698" s="31" t="s">
        <v>3665</v>
      </c>
      <c r="H698" s="31" t="s">
        <v>3666</v>
      </c>
      <c r="I698" s="31" t="s">
        <v>3842</v>
      </c>
      <c r="J698" s="37" t="s">
        <v>4047</v>
      </c>
      <c r="K698" s="31" t="s">
        <v>2328</v>
      </c>
      <c r="L698" s="31" t="s">
        <v>446</v>
      </c>
      <c r="M698" s="31" t="s">
        <v>2232</v>
      </c>
      <c r="N698" s="31" t="s">
        <v>2328</v>
      </c>
    </row>
    <row r="699" spans="1:14" ht="75" x14ac:dyDescent="0.25">
      <c r="A699" s="31" t="s">
        <v>3138</v>
      </c>
      <c r="B699" s="32" t="s">
        <v>1878</v>
      </c>
      <c r="C699" s="31" t="b">
        <v>0</v>
      </c>
      <c r="D699" s="31">
        <v>6</v>
      </c>
      <c r="E699" s="38" t="s">
        <v>1879</v>
      </c>
      <c r="F699" s="31" t="s">
        <v>131</v>
      </c>
      <c r="G699" s="31" t="s">
        <v>3665</v>
      </c>
      <c r="H699" s="31" t="s">
        <v>3666</v>
      </c>
      <c r="I699" s="31" t="s">
        <v>3842</v>
      </c>
      <c r="J699" s="37" t="s">
        <v>4047</v>
      </c>
      <c r="K699" s="31" t="s">
        <v>2328</v>
      </c>
      <c r="L699" s="31" t="s">
        <v>446</v>
      </c>
      <c r="M699" s="31" t="s">
        <v>2232</v>
      </c>
      <c r="N699" s="31" t="s">
        <v>2328</v>
      </c>
    </row>
    <row r="700" spans="1:14" ht="75" x14ac:dyDescent="0.25">
      <c r="A700" s="31" t="s">
        <v>3139</v>
      </c>
      <c r="B700" s="32" t="s">
        <v>1880</v>
      </c>
      <c r="C700" s="31" t="b">
        <v>0</v>
      </c>
      <c r="D700" s="31">
        <v>6</v>
      </c>
      <c r="E700" s="38" t="s">
        <v>1881</v>
      </c>
      <c r="F700" s="31" t="s">
        <v>131</v>
      </c>
      <c r="G700" s="31" t="s">
        <v>3665</v>
      </c>
      <c r="H700" s="31" t="s">
        <v>3666</v>
      </c>
      <c r="I700" s="31" t="s">
        <v>3842</v>
      </c>
      <c r="J700" s="37" t="s">
        <v>4047</v>
      </c>
      <c r="K700" s="31" t="s">
        <v>2328</v>
      </c>
      <c r="L700" s="31" t="s">
        <v>446</v>
      </c>
      <c r="M700" s="31" t="s">
        <v>2232</v>
      </c>
      <c r="N700" s="31" t="s">
        <v>2328</v>
      </c>
    </row>
    <row r="701" spans="1:14" ht="75" x14ac:dyDescent="0.25">
      <c r="A701" s="31" t="s">
        <v>3140</v>
      </c>
      <c r="B701" s="32" t="s">
        <v>1882</v>
      </c>
      <c r="C701" s="31" t="b">
        <v>0</v>
      </c>
      <c r="D701" s="31">
        <v>6</v>
      </c>
      <c r="E701" s="38" t="s">
        <v>1883</v>
      </c>
      <c r="F701" s="31" t="s">
        <v>131</v>
      </c>
      <c r="G701" s="31" t="s">
        <v>3665</v>
      </c>
      <c r="H701" s="31" t="s">
        <v>3666</v>
      </c>
      <c r="I701" s="31" t="s">
        <v>3842</v>
      </c>
      <c r="J701" s="37" t="s">
        <v>4047</v>
      </c>
      <c r="K701" s="31" t="s">
        <v>2328</v>
      </c>
      <c r="L701" s="31" t="s">
        <v>446</v>
      </c>
      <c r="M701" s="31" t="s">
        <v>2232</v>
      </c>
      <c r="N701" s="31" t="s">
        <v>2328</v>
      </c>
    </row>
    <row r="702" spans="1:14" ht="75" x14ac:dyDescent="0.25">
      <c r="A702" s="31" t="s">
        <v>3141</v>
      </c>
      <c r="B702" s="32" t="s">
        <v>1884</v>
      </c>
      <c r="C702" s="31" t="b">
        <v>0</v>
      </c>
      <c r="D702" s="31">
        <v>6</v>
      </c>
      <c r="E702" s="38" t="s">
        <v>1885</v>
      </c>
      <c r="F702" s="31" t="s">
        <v>131</v>
      </c>
      <c r="G702" s="31" t="s">
        <v>3665</v>
      </c>
      <c r="H702" s="31" t="s">
        <v>3666</v>
      </c>
      <c r="I702" s="31" t="s">
        <v>3842</v>
      </c>
      <c r="J702" s="37" t="s">
        <v>4047</v>
      </c>
      <c r="K702" s="31" t="s">
        <v>2328</v>
      </c>
      <c r="L702" s="31" t="s">
        <v>446</v>
      </c>
      <c r="M702" s="31" t="s">
        <v>2232</v>
      </c>
      <c r="N702" s="31" t="s">
        <v>2328</v>
      </c>
    </row>
    <row r="703" spans="1:14" ht="75" x14ac:dyDescent="0.25">
      <c r="A703" s="31" t="s">
        <v>3142</v>
      </c>
      <c r="B703" s="32" t="s">
        <v>1886</v>
      </c>
      <c r="C703" s="31" t="b">
        <v>0</v>
      </c>
      <c r="D703" s="31">
        <v>6</v>
      </c>
      <c r="E703" s="38" t="s">
        <v>1887</v>
      </c>
      <c r="F703" s="31" t="s">
        <v>131</v>
      </c>
      <c r="G703" s="31" t="s">
        <v>3665</v>
      </c>
      <c r="H703" s="31" t="s">
        <v>3666</v>
      </c>
      <c r="I703" s="31" t="s">
        <v>3842</v>
      </c>
      <c r="J703" s="37" t="s">
        <v>4047</v>
      </c>
      <c r="K703" s="31" t="s">
        <v>2328</v>
      </c>
      <c r="L703" s="31" t="s">
        <v>446</v>
      </c>
      <c r="M703" s="31" t="s">
        <v>2232</v>
      </c>
      <c r="N703" s="31" t="s">
        <v>2328</v>
      </c>
    </row>
    <row r="704" spans="1:14" ht="75" x14ac:dyDescent="0.25">
      <c r="A704" s="31" t="s">
        <v>3143</v>
      </c>
      <c r="B704" s="32" t="s">
        <v>1888</v>
      </c>
      <c r="C704" s="31" t="b">
        <v>0</v>
      </c>
      <c r="D704" s="31">
        <v>6</v>
      </c>
      <c r="E704" s="38" t="s">
        <v>1889</v>
      </c>
      <c r="F704" s="31" t="s">
        <v>131</v>
      </c>
      <c r="G704" s="31" t="s">
        <v>3665</v>
      </c>
      <c r="H704" s="31" t="s">
        <v>3666</v>
      </c>
      <c r="I704" s="31" t="s">
        <v>3842</v>
      </c>
      <c r="J704" s="37" t="s">
        <v>4047</v>
      </c>
      <c r="K704" s="31" t="s">
        <v>2328</v>
      </c>
      <c r="L704" s="31" t="s">
        <v>446</v>
      </c>
      <c r="M704" s="31" t="s">
        <v>2232</v>
      </c>
      <c r="N704" s="31" t="s">
        <v>2328</v>
      </c>
    </row>
    <row r="705" spans="1:14" ht="75" x14ac:dyDescent="0.25">
      <c r="A705" s="31" t="s">
        <v>3144</v>
      </c>
      <c r="B705" s="32" t="s">
        <v>1890</v>
      </c>
      <c r="C705" s="31" t="b">
        <v>0</v>
      </c>
      <c r="D705" s="31">
        <v>6</v>
      </c>
      <c r="E705" s="38" t="s">
        <v>1891</v>
      </c>
      <c r="F705" s="31" t="s">
        <v>131</v>
      </c>
      <c r="G705" s="31" t="s">
        <v>3665</v>
      </c>
      <c r="H705" s="31" t="s">
        <v>3666</v>
      </c>
      <c r="I705" s="31" t="s">
        <v>3842</v>
      </c>
      <c r="J705" s="37" t="s">
        <v>4047</v>
      </c>
      <c r="K705" s="31" t="s">
        <v>2328</v>
      </c>
      <c r="L705" s="31" t="s">
        <v>446</v>
      </c>
      <c r="M705" s="31" t="s">
        <v>2232</v>
      </c>
      <c r="N705" s="31" t="s">
        <v>2328</v>
      </c>
    </row>
    <row r="706" spans="1:14" ht="75" x14ac:dyDescent="0.25">
      <c r="A706" s="31" t="s">
        <v>2328</v>
      </c>
      <c r="B706" s="32" t="s">
        <v>3924</v>
      </c>
      <c r="C706" s="31" t="b">
        <v>1</v>
      </c>
      <c r="D706" s="31">
        <v>4</v>
      </c>
      <c r="E706" s="35" t="s">
        <v>3976</v>
      </c>
      <c r="F706" s="31" t="s">
        <v>3443</v>
      </c>
      <c r="G706" s="31" t="s">
        <v>3665</v>
      </c>
      <c r="H706" s="31" t="s">
        <v>3666</v>
      </c>
      <c r="I706" s="31" t="s">
        <v>3842</v>
      </c>
      <c r="J706" s="37" t="s">
        <v>4047</v>
      </c>
      <c r="K706" s="31" t="s">
        <v>2328</v>
      </c>
      <c r="L706" s="31" t="s">
        <v>2328</v>
      </c>
      <c r="M706" s="31" t="s">
        <v>2232</v>
      </c>
      <c r="N706" s="31" t="s">
        <v>2328</v>
      </c>
    </row>
    <row r="707" spans="1:14" ht="75" x14ac:dyDescent="0.25">
      <c r="A707" s="31" t="s">
        <v>3151</v>
      </c>
      <c r="B707" s="32" t="s">
        <v>1904</v>
      </c>
      <c r="C707" s="31" t="b">
        <v>0</v>
      </c>
      <c r="D707" s="31">
        <v>6</v>
      </c>
      <c r="E707" s="38" t="s">
        <v>1905</v>
      </c>
      <c r="F707" s="31" t="s">
        <v>131</v>
      </c>
      <c r="G707" s="31" t="s">
        <v>3665</v>
      </c>
      <c r="H707" s="31" t="s">
        <v>3666</v>
      </c>
      <c r="I707" s="31" t="s">
        <v>3842</v>
      </c>
      <c r="J707" s="37" t="s">
        <v>4047</v>
      </c>
      <c r="K707" s="31" t="s">
        <v>2328</v>
      </c>
      <c r="L707" s="31" t="s">
        <v>446</v>
      </c>
      <c r="M707" s="31" t="s">
        <v>2232</v>
      </c>
      <c r="N707" s="31" t="s">
        <v>2328</v>
      </c>
    </row>
    <row r="708" spans="1:14" ht="75" x14ac:dyDescent="0.25">
      <c r="A708" s="31" t="s">
        <v>3152</v>
      </c>
      <c r="B708" s="32" t="s">
        <v>1906</v>
      </c>
      <c r="C708" s="31" t="b">
        <v>0</v>
      </c>
      <c r="D708" s="31">
        <v>6</v>
      </c>
      <c r="E708" s="38" t="s">
        <v>1907</v>
      </c>
      <c r="F708" s="31" t="s">
        <v>131</v>
      </c>
      <c r="G708" s="31" t="s">
        <v>3665</v>
      </c>
      <c r="H708" s="31" t="s">
        <v>3666</v>
      </c>
      <c r="I708" s="31" t="s">
        <v>3842</v>
      </c>
      <c r="J708" s="37" t="s">
        <v>4047</v>
      </c>
      <c r="K708" s="31" t="s">
        <v>2328</v>
      </c>
      <c r="L708" s="31" t="s">
        <v>446</v>
      </c>
      <c r="M708" s="31" t="s">
        <v>2232</v>
      </c>
      <c r="N708" s="31" t="s">
        <v>2328</v>
      </c>
    </row>
    <row r="709" spans="1:14" ht="75" x14ac:dyDescent="0.25">
      <c r="A709" s="31" t="s">
        <v>3153</v>
      </c>
      <c r="B709" s="32" t="s">
        <v>1908</v>
      </c>
      <c r="C709" s="31" t="b">
        <v>0</v>
      </c>
      <c r="D709" s="31">
        <v>6</v>
      </c>
      <c r="E709" s="38" t="s">
        <v>1909</v>
      </c>
      <c r="F709" s="31" t="s">
        <v>131</v>
      </c>
      <c r="G709" s="31" t="s">
        <v>3665</v>
      </c>
      <c r="H709" s="31" t="s">
        <v>3666</v>
      </c>
      <c r="I709" s="31" t="s">
        <v>3842</v>
      </c>
      <c r="J709" s="37" t="s">
        <v>4047</v>
      </c>
      <c r="K709" s="31" t="s">
        <v>2328</v>
      </c>
      <c r="L709" s="31" t="s">
        <v>446</v>
      </c>
      <c r="M709" s="31" t="s">
        <v>2232</v>
      </c>
      <c r="N709" s="31" t="s">
        <v>2328</v>
      </c>
    </row>
    <row r="710" spans="1:14" ht="75" x14ac:dyDescent="0.25">
      <c r="A710" s="31" t="s">
        <v>3154</v>
      </c>
      <c r="B710" s="32" t="s">
        <v>1910</v>
      </c>
      <c r="C710" s="31" t="b">
        <v>0</v>
      </c>
      <c r="D710" s="31">
        <v>6</v>
      </c>
      <c r="E710" s="38" t="s">
        <v>1911</v>
      </c>
      <c r="F710" s="31" t="s">
        <v>131</v>
      </c>
      <c r="G710" s="31" t="s">
        <v>3665</v>
      </c>
      <c r="H710" s="31" t="s">
        <v>3666</v>
      </c>
      <c r="I710" s="31" t="s">
        <v>3842</v>
      </c>
      <c r="J710" s="37" t="s">
        <v>4047</v>
      </c>
      <c r="K710" s="31" t="s">
        <v>2328</v>
      </c>
      <c r="L710" s="31" t="s">
        <v>446</v>
      </c>
      <c r="M710" s="31" t="s">
        <v>2232</v>
      </c>
      <c r="N710" s="31" t="s">
        <v>2328</v>
      </c>
    </row>
    <row r="711" spans="1:14" ht="75" x14ac:dyDescent="0.25">
      <c r="A711" s="31" t="s">
        <v>3155</v>
      </c>
      <c r="B711" s="32" t="s">
        <v>1912</v>
      </c>
      <c r="C711" s="31" t="b">
        <v>0</v>
      </c>
      <c r="D711" s="31">
        <v>6</v>
      </c>
      <c r="E711" s="38" t="s">
        <v>1913</v>
      </c>
      <c r="F711" s="31" t="s">
        <v>131</v>
      </c>
      <c r="G711" s="31" t="s">
        <v>3665</v>
      </c>
      <c r="H711" s="31" t="s">
        <v>3666</v>
      </c>
      <c r="I711" s="31" t="s">
        <v>3842</v>
      </c>
      <c r="J711" s="37" t="s">
        <v>4047</v>
      </c>
      <c r="K711" s="31" t="s">
        <v>2328</v>
      </c>
      <c r="L711" s="31" t="s">
        <v>446</v>
      </c>
      <c r="M711" s="31" t="s">
        <v>2232</v>
      </c>
      <c r="N711" s="31" t="s">
        <v>2328</v>
      </c>
    </row>
    <row r="712" spans="1:14" ht="75" x14ac:dyDescent="0.25">
      <c r="A712" s="31" t="s">
        <v>3156</v>
      </c>
      <c r="B712" s="32" t="s">
        <v>1914</v>
      </c>
      <c r="C712" s="31" t="b">
        <v>0</v>
      </c>
      <c r="D712" s="31">
        <v>6</v>
      </c>
      <c r="E712" s="38" t="s">
        <v>1915</v>
      </c>
      <c r="F712" s="31" t="s">
        <v>131</v>
      </c>
      <c r="G712" s="31" t="s">
        <v>3665</v>
      </c>
      <c r="H712" s="31" t="s">
        <v>3666</v>
      </c>
      <c r="I712" s="31" t="s">
        <v>3842</v>
      </c>
      <c r="J712" s="37" t="s">
        <v>4047</v>
      </c>
      <c r="K712" s="31" t="s">
        <v>2328</v>
      </c>
      <c r="L712" s="31" t="s">
        <v>446</v>
      </c>
      <c r="M712" s="31" t="s">
        <v>2232</v>
      </c>
      <c r="N712" s="31" t="s">
        <v>2328</v>
      </c>
    </row>
    <row r="713" spans="1:14" ht="75" x14ac:dyDescent="0.25">
      <c r="A713" s="31" t="s">
        <v>3157</v>
      </c>
      <c r="B713" s="32" t="s">
        <v>1916</v>
      </c>
      <c r="C713" s="31" t="b">
        <v>0</v>
      </c>
      <c r="D713" s="31">
        <v>6</v>
      </c>
      <c r="E713" s="38" t="s">
        <v>1917</v>
      </c>
      <c r="F713" s="31" t="s">
        <v>131</v>
      </c>
      <c r="G713" s="31" t="s">
        <v>3665</v>
      </c>
      <c r="H713" s="31" t="s">
        <v>3666</v>
      </c>
      <c r="I713" s="31" t="s">
        <v>3842</v>
      </c>
      <c r="J713" s="37" t="s">
        <v>4047</v>
      </c>
      <c r="K713" s="31" t="s">
        <v>2328</v>
      </c>
      <c r="L713" s="31" t="s">
        <v>446</v>
      </c>
      <c r="M713" s="31" t="s">
        <v>2232</v>
      </c>
      <c r="N713" s="31" t="s">
        <v>2328</v>
      </c>
    </row>
    <row r="714" spans="1:14" ht="75" x14ac:dyDescent="0.25">
      <c r="A714" s="31" t="s">
        <v>3158</v>
      </c>
      <c r="B714" s="32" t="s">
        <v>1918</v>
      </c>
      <c r="C714" s="31" t="b">
        <v>0</v>
      </c>
      <c r="D714" s="31">
        <v>6</v>
      </c>
      <c r="E714" s="38" t="s">
        <v>1919</v>
      </c>
      <c r="F714" s="31" t="s">
        <v>131</v>
      </c>
      <c r="G714" s="31" t="s">
        <v>3665</v>
      </c>
      <c r="H714" s="31" t="s">
        <v>3666</v>
      </c>
      <c r="I714" s="31" t="s">
        <v>3842</v>
      </c>
      <c r="J714" s="37" t="s">
        <v>4047</v>
      </c>
      <c r="K714" s="31" t="s">
        <v>2328</v>
      </c>
      <c r="L714" s="31" t="s">
        <v>446</v>
      </c>
      <c r="M714" s="31" t="s">
        <v>2232</v>
      </c>
      <c r="N714" s="31" t="s">
        <v>2328</v>
      </c>
    </row>
    <row r="715" spans="1:14" ht="75" x14ac:dyDescent="0.25">
      <c r="A715" s="31" t="s">
        <v>3159</v>
      </c>
      <c r="B715" s="32" t="s">
        <v>1920</v>
      </c>
      <c r="C715" s="31" t="b">
        <v>0</v>
      </c>
      <c r="D715" s="31">
        <v>6</v>
      </c>
      <c r="E715" s="38" t="s">
        <v>1921</v>
      </c>
      <c r="F715" s="31" t="s">
        <v>131</v>
      </c>
      <c r="G715" s="31" t="s">
        <v>3665</v>
      </c>
      <c r="H715" s="31" t="s">
        <v>3666</v>
      </c>
      <c r="I715" s="31" t="s">
        <v>3842</v>
      </c>
      <c r="J715" s="37" t="s">
        <v>4047</v>
      </c>
      <c r="K715" s="31" t="s">
        <v>2328</v>
      </c>
      <c r="L715" s="31" t="s">
        <v>446</v>
      </c>
      <c r="M715" s="31" t="s">
        <v>2232</v>
      </c>
      <c r="N715" s="31" t="s">
        <v>2328</v>
      </c>
    </row>
    <row r="716" spans="1:14" ht="75" x14ac:dyDescent="0.25">
      <c r="A716" s="31" t="s">
        <v>3160</v>
      </c>
      <c r="B716" s="32" t="s">
        <v>1922</v>
      </c>
      <c r="C716" s="31" t="b">
        <v>0</v>
      </c>
      <c r="D716" s="31">
        <v>6</v>
      </c>
      <c r="E716" s="38" t="s">
        <v>1923</v>
      </c>
      <c r="F716" s="31" t="s">
        <v>131</v>
      </c>
      <c r="G716" s="31" t="s">
        <v>3665</v>
      </c>
      <c r="H716" s="31" t="s">
        <v>3666</v>
      </c>
      <c r="I716" s="31" t="s">
        <v>3842</v>
      </c>
      <c r="J716" s="37" t="s">
        <v>4047</v>
      </c>
      <c r="K716" s="31" t="s">
        <v>2328</v>
      </c>
      <c r="L716" s="31" t="s">
        <v>446</v>
      </c>
      <c r="M716" s="31" t="s">
        <v>2232</v>
      </c>
      <c r="N716" s="31" t="s">
        <v>2328</v>
      </c>
    </row>
    <row r="717" spans="1:14" ht="75" x14ac:dyDescent="0.25">
      <c r="A717" s="31" t="s">
        <v>2328</v>
      </c>
      <c r="B717" s="32" t="s">
        <v>3937</v>
      </c>
      <c r="C717" s="31" t="b">
        <v>1</v>
      </c>
      <c r="D717" s="31">
        <v>4</v>
      </c>
      <c r="E717" s="35" t="s">
        <v>3977</v>
      </c>
      <c r="F717" s="31" t="s">
        <v>3443</v>
      </c>
      <c r="G717" s="31" t="s">
        <v>3665</v>
      </c>
      <c r="H717" s="31" t="s">
        <v>3666</v>
      </c>
      <c r="I717" s="31" t="s">
        <v>3842</v>
      </c>
      <c r="J717" s="37" t="s">
        <v>4047</v>
      </c>
      <c r="K717" s="31" t="s">
        <v>2328</v>
      </c>
      <c r="L717" s="31" t="s">
        <v>2328</v>
      </c>
      <c r="M717" s="31" t="s">
        <v>2232</v>
      </c>
      <c r="N717" s="31" t="s">
        <v>2328</v>
      </c>
    </row>
    <row r="718" spans="1:14" ht="75" x14ac:dyDescent="0.25">
      <c r="A718" s="31" t="s">
        <v>3167</v>
      </c>
      <c r="B718" s="32" t="s">
        <v>1936</v>
      </c>
      <c r="C718" s="31" t="b">
        <v>0</v>
      </c>
      <c r="D718" s="31">
        <v>6</v>
      </c>
      <c r="E718" s="38" t="s">
        <v>1937</v>
      </c>
      <c r="F718" s="31" t="s">
        <v>131</v>
      </c>
      <c r="G718" s="31" t="s">
        <v>3665</v>
      </c>
      <c r="H718" s="31" t="s">
        <v>3666</v>
      </c>
      <c r="I718" s="31" t="s">
        <v>3842</v>
      </c>
      <c r="J718" s="37" t="s">
        <v>4047</v>
      </c>
      <c r="K718" s="31" t="s">
        <v>2328</v>
      </c>
      <c r="L718" s="31" t="s">
        <v>446</v>
      </c>
      <c r="M718" s="31" t="s">
        <v>2232</v>
      </c>
      <c r="N718" s="31" t="s">
        <v>2328</v>
      </c>
    </row>
    <row r="719" spans="1:14" ht="75" x14ac:dyDescent="0.25">
      <c r="A719" s="31" t="s">
        <v>3188</v>
      </c>
      <c r="B719" s="32" t="s">
        <v>1958</v>
      </c>
      <c r="C719" s="31" t="b">
        <v>1</v>
      </c>
      <c r="D719" s="31">
        <v>2</v>
      </c>
      <c r="E719" s="34" t="s">
        <v>3376</v>
      </c>
      <c r="F719" s="31" t="s">
        <v>3443</v>
      </c>
      <c r="G719" s="31" t="s">
        <v>3665</v>
      </c>
      <c r="H719" s="31" t="s">
        <v>3666</v>
      </c>
      <c r="I719" s="31" t="s">
        <v>3842</v>
      </c>
      <c r="J719" s="37" t="s">
        <v>4047</v>
      </c>
      <c r="K719" s="31" t="s">
        <v>2328</v>
      </c>
      <c r="L719" s="31" t="s">
        <v>446</v>
      </c>
      <c r="M719" s="31" t="s">
        <v>2232</v>
      </c>
      <c r="N719" s="31" t="s">
        <v>2328</v>
      </c>
    </row>
    <row r="720" spans="1:14" ht="75" x14ac:dyDescent="0.25">
      <c r="A720" s="31" t="s">
        <v>2328</v>
      </c>
      <c r="B720" s="32" t="s">
        <v>1959</v>
      </c>
      <c r="C720" s="31" t="b">
        <v>0</v>
      </c>
      <c r="D720" s="31">
        <v>4</v>
      </c>
      <c r="E720" s="35" t="s">
        <v>1960</v>
      </c>
      <c r="F720" s="31" t="s">
        <v>139</v>
      </c>
      <c r="G720" s="31" t="s">
        <v>3665</v>
      </c>
      <c r="H720" s="31" t="s">
        <v>3666</v>
      </c>
      <c r="I720" s="31" t="s">
        <v>3842</v>
      </c>
      <c r="J720" s="37" t="s">
        <v>4047</v>
      </c>
      <c r="K720" s="31" t="s">
        <v>2328</v>
      </c>
      <c r="L720" s="31" t="s">
        <v>448</v>
      </c>
      <c r="M720" s="31" t="s">
        <v>2232</v>
      </c>
      <c r="N720" s="31" t="s">
        <v>2328</v>
      </c>
    </row>
    <row r="721" spans="1:14" ht="75" x14ac:dyDescent="0.25">
      <c r="A721" s="31" t="s">
        <v>3189</v>
      </c>
      <c r="B721" s="32" t="s">
        <v>1961</v>
      </c>
      <c r="C721" s="31" t="b">
        <v>0</v>
      </c>
      <c r="D721" s="31">
        <v>4</v>
      </c>
      <c r="E721" s="35" t="s">
        <v>1962</v>
      </c>
      <c r="F721" s="31" t="s">
        <v>131</v>
      </c>
      <c r="G721" s="31" t="s">
        <v>3665</v>
      </c>
      <c r="H721" s="31" t="s">
        <v>3666</v>
      </c>
      <c r="I721" s="31" t="s">
        <v>3842</v>
      </c>
      <c r="J721" s="37" t="s">
        <v>4047</v>
      </c>
      <c r="K721" s="31" t="s">
        <v>2328</v>
      </c>
      <c r="L721" s="31" t="s">
        <v>448</v>
      </c>
      <c r="M721" s="31" t="s">
        <v>2232</v>
      </c>
      <c r="N721" s="31" t="s">
        <v>2328</v>
      </c>
    </row>
    <row r="722" spans="1:14" ht="75" x14ac:dyDescent="0.25">
      <c r="A722" s="31" t="s">
        <v>3190</v>
      </c>
      <c r="B722" s="32" t="s">
        <v>1963</v>
      </c>
      <c r="C722" s="31" t="b">
        <v>0</v>
      </c>
      <c r="D722" s="31">
        <v>4</v>
      </c>
      <c r="E722" s="35" t="s">
        <v>1964</v>
      </c>
      <c r="F722" s="31" t="s">
        <v>131</v>
      </c>
      <c r="G722" s="31" t="s">
        <v>3665</v>
      </c>
      <c r="H722" s="31" t="s">
        <v>3666</v>
      </c>
      <c r="I722" s="31" t="s">
        <v>3842</v>
      </c>
      <c r="J722" s="37" t="s">
        <v>4047</v>
      </c>
      <c r="K722" s="31" t="s">
        <v>2328</v>
      </c>
      <c r="L722" s="31" t="s">
        <v>448</v>
      </c>
      <c r="M722" s="31" t="s">
        <v>2232</v>
      </c>
      <c r="N722" s="31" t="s">
        <v>2328</v>
      </c>
    </row>
    <row r="723" spans="1:14" ht="75" x14ac:dyDescent="0.25">
      <c r="A723" s="31" t="s">
        <v>3191</v>
      </c>
      <c r="B723" s="32" t="s">
        <v>1965</v>
      </c>
      <c r="C723" s="31" t="b">
        <v>0</v>
      </c>
      <c r="D723" s="31">
        <v>4</v>
      </c>
      <c r="E723" s="35" t="s">
        <v>1966</v>
      </c>
      <c r="F723" s="31" t="s">
        <v>131</v>
      </c>
      <c r="G723" s="31" t="s">
        <v>3665</v>
      </c>
      <c r="H723" s="31" t="s">
        <v>3666</v>
      </c>
      <c r="I723" s="31" t="s">
        <v>3842</v>
      </c>
      <c r="J723" s="37" t="s">
        <v>4047</v>
      </c>
      <c r="K723" s="31" t="s">
        <v>2328</v>
      </c>
      <c r="L723" s="31" t="s">
        <v>448</v>
      </c>
      <c r="M723" s="31" t="s">
        <v>2232</v>
      </c>
      <c r="N723" s="31" t="s">
        <v>2328</v>
      </c>
    </row>
    <row r="724" spans="1:14" ht="75" x14ac:dyDescent="0.25">
      <c r="A724" s="31" t="s">
        <v>3192</v>
      </c>
      <c r="B724" s="32" t="s">
        <v>1967</v>
      </c>
      <c r="C724" s="31" t="b">
        <v>0</v>
      </c>
      <c r="D724" s="31">
        <v>4</v>
      </c>
      <c r="E724" s="35" t="s">
        <v>1968</v>
      </c>
      <c r="F724" s="31" t="s">
        <v>131</v>
      </c>
      <c r="G724" s="31" t="s">
        <v>3665</v>
      </c>
      <c r="H724" s="31" t="s">
        <v>3666</v>
      </c>
      <c r="I724" s="31" t="s">
        <v>3842</v>
      </c>
      <c r="J724" s="37" t="s">
        <v>4047</v>
      </c>
      <c r="K724" s="31" t="s">
        <v>2328</v>
      </c>
      <c r="L724" s="31" t="s">
        <v>448</v>
      </c>
      <c r="M724" s="31" t="s">
        <v>2232</v>
      </c>
      <c r="N724" s="31" t="s">
        <v>2328</v>
      </c>
    </row>
    <row r="725" spans="1:14" ht="75" x14ac:dyDescent="0.25">
      <c r="A725" s="31" t="s">
        <v>3193</v>
      </c>
      <c r="B725" s="32" t="s">
        <v>1969</v>
      </c>
      <c r="C725" s="31" t="b">
        <v>0</v>
      </c>
      <c r="D725" s="31">
        <v>4</v>
      </c>
      <c r="E725" s="35" t="s">
        <v>1970</v>
      </c>
      <c r="F725" s="31" t="s">
        <v>131</v>
      </c>
      <c r="G725" s="31" t="s">
        <v>3665</v>
      </c>
      <c r="H725" s="31" t="s">
        <v>3666</v>
      </c>
      <c r="I725" s="31" t="s">
        <v>3842</v>
      </c>
      <c r="J725" s="37" t="s">
        <v>4047</v>
      </c>
      <c r="K725" s="31" t="s">
        <v>2328</v>
      </c>
      <c r="L725" s="31" t="s">
        <v>448</v>
      </c>
      <c r="M725" s="31" t="s">
        <v>2232</v>
      </c>
      <c r="N725" s="31" t="s">
        <v>2328</v>
      </c>
    </row>
    <row r="726" spans="1:14" ht="75" x14ac:dyDescent="0.25">
      <c r="A726" s="31" t="s">
        <v>3194</v>
      </c>
      <c r="B726" s="32" t="s">
        <v>1971</v>
      </c>
      <c r="C726" s="31" t="b">
        <v>0</v>
      </c>
      <c r="D726" s="31">
        <v>4</v>
      </c>
      <c r="E726" s="35" t="s">
        <v>1972</v>
      </c>
      <c r="F726" s="31" t="s">
        <v>131</v>
      </c>
      <c r="G726" s="31" t="s">
        <v>3665</v>
      </c>
      <c r="H726" s="31" t="s">
        <v>3666</v>
      </c>
      <c r="I726" s="31" t="s">
        <v>3842</v>
      </c>
      <c r="J726" s="37" t="s">
        <v>4047</v>
      </c>
      <c r="K726" s="31" t="s">
        <v>2328</v>
      </c>
      <c r="L726" s="31" t="s">
        <v>448</v>
      </c>
      <c r="M726" s="31" t="s">
        <v>2232</v>
      </c>
      <c r="N726" s="31" t="s">
        <v>2328</v>
      </c>
    </row>
    <row r="727" spans="1:14" ht="75" x14ac:dyDescent="0.25">
      <c r="A727" s="31" t="s">
        <v>3195</v>
      </c>
      <c r="B727" s="32" t="s">
        <v>1973</v>
      </c>
      <c r="C727" s="31" t="b">
        <v>0</v>
      </c>
      <c r="D727" s="31">
        <v>4</v>
      </c>
      <c r="E727" s="35" t="s">
        <v>1974</v>
      </c>
      <c r="F727" s="31" t="s">
        <v>131</v>
      </c>
      <c r="G727" s="31" t="s">
        <v>3665</v>
      </c>
      <c r="H727" s="31" t="s">
        <v>3666</v>
      </c>
      <c r="I727" s="31" t="s">
        <v>3842</v>
      </c>
      <c r="J727" s="37" t="s">
        <v>4047</v>
      </c>
      <c r="K727" s="31" t="s">
        <v>2328</v>
      </c>
      <c r="L727" s="31" t="s">
        <v>448</v>
      </c>
      <c r="M727" s="31" t="s">
        <v>2232</v>
      </c>
      <c r="N727" s="31" t="s">
        <v>2328</v>
      </c>
    </row>
    <row r="728" spans="1:14" ht="75" x14ac:dyDescent="0.25">
      <c r="A728" s="31" t="s">
        <v>3196</v>
      </c>
      <c r="B728" s="32" t="s">
        <v>1975</v>
      </c>
      <c r="C728" s="31" t="b">
        <v>0</v>
      </c>
      <c r="D728" s="31">
        <v>4</v>
      </c>
      <c r="E728" s="35" t="s">
        <v>1976</v>
      </c>
      <c r="F728" s="31" t="s">
        <v>131</v>
      </c>
      <c r="G728" s="31" t="s">
        <v>3665</v>
      </c>
      <c r="H728" s="31" t="s">
        <v>3666</v>
      </c>
      <c r="I728" s="31" t="s">
        <v>3842</v>
      </c>
      <c r="J728" s="37" t="s">
        <v>4047</v>
      </c>
      <c r="K728" s="31" t="s">
        <v>2328</v>
      </c>
      <c r="L728" s="31" t="s">
        <v>448</v>
      </c>
      <c r="M728" s="31" t="s">
        <v>2232</v>
      </c>
      <c r="N728" s="31" t="s">
        <v>2328</v>
      </c>
    </row>
    <row r="729" spans="1:14" ht="75" x14ac:dyDescent="0.25">
      <c r="A729" s="31" t="s">
        <v>3197</v>
      </c>
      <c r="B729" s="32" t="s">
        <v>1977</v>
      </c>
      <c r="C729" s="31" t="b">
        <v>0</v>
      </c>
      <c r="D729" s="31">
        <v>4</v>
      </c>
      <c r="E729" s="35" t="s">
        <v>1978</v>
      </c>
      <c r="F729" s="31" t="s">
        <v>131</v>
      </c>
      <c r="G729" s="31" t="s">
        <v>3665</v>
      </c>
      <c r="H729" s="31" t="s">
        <v>3666</v>
      </c>
      <c r="I729" s="31" t="s">
        <v>3842</v>
      </c>
      <c r="J729" s="37" t="s">
        <v>4047</v>
      </c>
      <c r="K729" s="31" t="s">
        <v>2328</v>
      </c>
      <c r="L729" s="31" t="s">
        <v>448</v>
      </c>
      <c r="M729" s="31" t="s">
        <v>2232</v>
      </c>
      <c r="N729" s="31" t="s">
        <v>2328</v>
      </c>
    </row>
    <row r="730" spans="1:14" ht="75" x14ac:dyDescent="0.25">
      <c r="A730" s="31" t="s">
        <v>3198</v>
      </c>
      <c r="B730" s="32" t="s">
        <v>1979</v>
      </c>
      <c r="C730" s="31" t="b">
        <v>0</v>
      </c>
      <c r="D730" s="31">
        <v>4</v>
      </c>
      <c r="E730" s="35" t="s">
        <v>1980</v>
      </c>
      <c r="F730" s="31" t="s">
        <v>131</v>
      </c>
      <c r="G730" s="31" t="s">
        <v>3665</v>
      </c>
      <c r="H730" s="31" t="s">
        <v>3666</v>
      </c>
      <c r="I730" s="31" t="s">
        <v>3842</v>
      </c>
      <c r="J730" s="37" t="s">
        <v>4047</v>
      </c>
      <c r="K730" s="31" t="s">
        <v>2328</v>
      </c>
      <c r="L730" s="31" t="s">
        <v>448</v>
      </c>
      <c r="M730" s="31" t="s">
        <v>2232</v>
      </c>
      <c r="N730" s="31" t="s">
        <v>2328</v>
      </c>
    </row>
    <row r="731" spans="1:14" ht="75" x14ac:dyDescent="0.25">
      <c r="A731" s="31" t="s">
        <v>3199</v>
      </c>
      <c r="B731" s="32" t="s">
        <v>1981</v>
      </c>
      <c r="C731" s="31" t="b">
        <v>0</v>
      </c>
      <c r="D731" s="31">
        <v>4</v>
      </c>
      <c r="E731" s="35" t="s">
        <v>1982</v>
      </c>
      <c r="F731" s="31" t="s">
        <v>131</v>
      </c>
      <c r="G731" s="31" t="s">
        <v>3665</v>
      </c>
      <c r="H731" s="31" t="s">
        <v>3666</v>
      </c>
      <c r="I731" s="31" t="s">
        <v>3842</v>
      </c>
      <c r="J731" s="37" t="s">
        <v>4047</v>
      </c>
      <c r="K731" s="31" t="s">
        <v>2328</v>
      </c>
      <c r="L731" s="31" t="s">
        <v>448</v>
      </c>
      <c r="M731" s="31" t="s">
        <v>2232</v>
      </c>
      <c r="N731" s="31" t="s">
        <v>2328</v>
      </c>
    </row>
    <row r="732" spans="1:14" ht="75" x14ac:dyDescent="0.25">
      <c r="A732" s="31" t="s">
        <v>3200</v>
      </c>
      <c r="B732" s="32" t="s">
        <v>1983</v>
      </c>
      <c r="C732" s="31" t="b">
        <v>0</v>
      </c>
      <c r="D732" s="31">
        <v>4</v>
      </c>
      <c r="E732" s="35" t="s">
        <v>1984</v>
      </c>
      <c r="F732" s="31" t="s">
        <v>131</v>
      </c>
      <c r="G732" s="31" t="s">
        <v>3665</v>
      </c>
      <c r="H732" s="31" t="s">
        <v>3666</v>
      </c>
      <c r="I732" s="31" t="s">
        <v>3842</v>
      </c>
      <c r="J732" s="37" t="s">
        <v>4047</v>
      </c>
      <c r="K732" s="31" t="s">
        <v>2328</v>
      </c>
      <c r="L732" s="31" t="s">
        <v>448</v>
      </c>
      <c r="M732" s="31" t="s">
        <v>2232</v>
      </c>
      <c r="N732" s="31" t="s">
        <v>2328</v>
      </c>
    </row>
    <row r="733" spans="1:14" ht="75" x14ac:dyDescent="0.25">
      <c r="A733" s="31" t="s">
        <v>3201</v>
      </c>
      <c r="B733" s="32" t="s">
        <v>1985</v>
      </c>
      <c r="C733" s="31" t="b">
        <v>0</v>
      </c>
      <c r="D733" s="31">
        <v>4</v>
      </c>
      <c r="E733" s="35" t="s">
        <v>1986</v>
      </c>
      <c r="F733" s="31" t="s">
        <v>131</v>
      </c>
      <c r="G733" s="31" t="s">
        <v>3665</v>
      </c>
      <c r="H733" s="31" t="s">
        <v>3666</v>
      </c>
      <c r="I733" s="31" t="s">
        <v>3842</v>
      </c>
      <c r="J733" s="37" t="s">
        <v>4047</v>
      </c>
      <c r="K733" s="31" t="s">
        <v>2328</v>
      </c>
      <c r="L733" s="31" t="s">
        <v>448</v>
      </c>
      <c r="M733" s="31" t="s">
        <v>2232</v>
      </c>
      <c r="N733" s="31" t="s">
        <v>2328</v>
      </c>
    </row>
    <row r="734" spans="1:14" ht="75" x14ac:dyDescent="0.25">
      <c r="A734" s="31" t="s">
        <v>3202</v>
      </c>
      <c r="B734" s="32" t="s">
        <v>1987</v>
      </c>
      <c r="C734" s="31" t="b">
        <v>0</v>
      </c>
      <c r="D734" s="31">
        <v>4</v>
      </c>
      <c r="E734" s="35" t="s">
        <v>1988</v>
      </c>
      <c r="F734" s="31" t="s">
        <v>131</v>
      </c>
      <c r="G734" s="31" t="s">
        <v>3665</v>
      </c>
      <c r="H734" s="31" t="s">
        <v>3666</v>
      </c>
      <c r="I734" s="31" t="s">
        <v>3842</v>
      </c>
      <c r="J734" s="37" t="s">
        <v>4047</v>
      </c>
      <c r="K734" s="31" t="s">
        <v>2328</v>
      </c>
      <c r="L734" s="31" t="s">
        <v>448</v>
      </c>
      <c r="M734" s="31" t="s">
        <v>2232</v>
      </c>
      <c r="N734" s="31" t="s">
        <v>2328</v>
      </c>
    </row>
    <row r="735" spans="1:14" ht="75" x14ac:dyDescent="0.25">
      <c r="A735" s="31" t="s">
        <v>3203</v>
      </c>
      <c r="B735" s="32" t="s">
        <v>1989</v>
      </c>
      <c r="C735" s="31" t="b">
        <v>0</v>
      </c>
      <c r="D735" s="31">
        <v>4</v>
      </c>
      <c r="E735" s="35" t="s">
        <v>1990</v>
      </c>
      <c r="F735" s="31" t="s">
        <v>131</v>
      </c>
      <c r="G735" s="31" t="s">
        <v>3665</v>
      </c>
      <c r="H735" s="31" t="s">
        <v>3666</v>
      </c>
      <c r="I735" s="31" t="s">
        <v>3842</v>
      </c>
      <c r="J735" s="37" t="s">
        <v>4047</v>
      </c>
      <c r="K735" s="31" t="s">
        <v>2328</v>
      </c>
      <c r="L735" s="31" t="s">
        <v>448</v>
      </c>
      <c r="M735" s="31" t="s">
        <v>2232</v>
      </c>
      <c r="N735" s="31" t="s">
        <v>2328</v>
      </c>
    </row>
    <row r="736" spans="1:14" ht="75" x14ac:dyDescent="0.25">
      <c r="A736" s="31" t="s">
        <v>3204</v>
      </c>
      <c r="B736" s="32" t="s">
        <v>1991</v>
      </c>
      <c r="C736" s="31" t="b">
        <v>0</v>
      </c>
      <c r="D736" s="31">
        <v>4</v>
      </c>
      <c r="E736" s="35" t="s">
        <v>1992</v>
      </c>
      <c r="F736" s="31" t="s">
        <v>131</v>
      </c>
      <c r="G736" s="31" t="s">
        <v>3665</v>
      </c>
      <c r="H736" s="31" t="s">
        <v>3666</v>
      </c>
      <c r="I736" s="31" t="s">
        <v>3842</v>
      </c>
      <c r="J736" s="37" t="s">
        <v>4047</v>
      </c>
      <c r="K736" s="31" t="s">
        <v>2328</v>
      </c>
      <c r="L736" s="31" t="s">
        <v>448</v>
      </c>
      <c r="M736" s="31" t="s">
        <v>2232</v>
      </c>
      <c r="N736" s="31" t="s">
        <v>2328</v>
      </c>
    </row>
    <row r="737" spans="1:14" ht="75" x14ac:dyDescent="0.25">
      <c r="A737" s="31" t="s">
        <v>3205</v>
      </c>
      <c r="B737" s="32" t="s">
        <v>1993</v>
      </c>
      <c r="C737" s="31" t="b">
        <v>0</v>
      </c>
      <c r="D737" s="31">
        <v>4</v>
      </c>
      <c r="E737" s="35" t="s">
        <v>1994</v>
      </c>
      <c r="F737" s="31" t="s">
        <v>131</v>
      </c>
      <c r="G737" s="31" t="s">
        <v>3665</v>
      </c>
      <c r="H737" s="31" t="s">
        <v>3666</v>
      </c>
      <c r="I737" s="31" t="s">
        <v>3842</v>
      </c>
      <c r="J737" s="37" t="s">
        <v>4047</v>
      </c>
      <c r="K737" s="31" t="s">
        <v>2328</v>
      </c>
      <c r="L737" s="31" t="s">
        <v>448</v>
      </c>
      <c r="M737" s="31" t="s">
        <v>2232</v>
      </c>
      <c r="N737" s="31" t="s">
        <v>2328</v>
      </c>
    </row>
    <row r="738" spans="1:14" ht="75" x14ac:dyDescent="0.25">
      <c r="A738" s="31" t="s">
        <v>3206</v>
      </c>
      <c r="B738" s="32" t="s">
        <v>1995</v>
      </c>
      <c r="C738" s="31" t="b">
        <v>0</v>
      </c>
      <c r="D738" s="31">
        <v>4</v>
      </c>
      <c r="E738" s="35" t="s">
        <v>1996</v>
      </c>
      <c r="F738" s="31" t="s">
        <v>131</v>
      </c>
      <c r="G738" s="31" t="s">
        <v>3665</v>
      </c>
      <c r="H738" s="31" t="s">
        <v>3666</v>
      </c>
      <c r="I738" s="31" t="s">
        <v>3842</v>
      </c>
      <c r="J738" s="37" t="s">
        <v>4047</v>
      </c>
      <c r="K738" s="31" t="s">
        <v>2328</v>
      </c>
      <c r="L738" s="31" t="s">
        <v>448</v>
      </c>
      <c r="M738" s="31" t="s">
        <v>2232</v>
      </c>
      <c r="N738" s="31" t="s">
        <v>2328</v>
      </c>
    </row>
    <row r="739" spans="1:14" ht="75" x14ac:dyDescent="0.25">
      <c r="A739" s="31" t="s">
        <v>3207</v>
      </c>
      <c r="B739" s="32" t="s">
        <v>1997</v>
      </c>
      <c r="C739" s="31" t="b">
        <v>0</v>
      </c>
      <c r="D739" s="31">
        <v>4</v>
      </c>
      <c r="E739" s="35" t="s">
        <v>1998</v>
      </c>
      <c r="F739" s="31" t="s">
        <v>131</v>
      </c>
      <c r="G739" s="31" t="s">
        <v>3665</v>
      </c>
      <c r="H739" s="31" t="s">
        <v>3666</v>
      </c>
      <c r="I739" s="31" t="s">
        <v>3842</v>
      </c>
      <c r="J739" s="37" t="s">
        <v>4047</v>
      </c>
      <c r="K739" s="31" t="s">
        <v>2328</v>
      </c>
      <c r="L739" s="31" t="s">
        <v>448</v>
      </c>
      <c r="M739" s="31" t="s">
        <v>2232</v>
      </c>
      <c r="N739" s="31" t="s">
        <v>2328</v>
      </c>
    </row>
    <row r="740" spans="1:14" ht="75" x14ac:dyDescent="0.25">
      <c r="A740" s="31" t="s">
        <v>3208</v>
      </c>
      <c r="B740" s="32" t="s">
        <v>1999</v>
      </c>
      <c r="C740" s="31" t="b">
        <v>0</v>
      </c>
      <c r="D740" s="31">
        <v>4</v>
      </c>
      <c r="E740" s="35" t="s">
        <v>2000</v>
      </c>
      <c r="F740" s="31" t="s">
        <v>131</v>
      </c>
      <c r="G740" s="31" t="s">
        <v>3665</v>
      </c>
      <c r="H740" s="31" t="s">
        <v>3666</v>
      </c>
      <c r="I740" s="31" t="s">
        <v>3842</v>
      </c>
      <c r="J740" s="37" t="s">
        <v>4047</v>
      </c>
      <c r="K740" s="31" t="s">
        <v>2328</v>
      </c>
      <c r="L740" s="31" t="s">
        <v>448</v>
      </c>
      <c r="M740" s="31" t="s">
        <v>2232</v>
      </c>
      <c r="N740" s="31" t="s">
        <v>2328</v>
      </c>
    </row>
    <row r="741" spans="1:14" ht="75" x14ac:dyDescent="0.25">
      <c r="A741" s="31" t="s">
        <v>3209</v>
      </c>
      <c r="B741" s="32" t="s">
        <v>2001</v>
      </c>
      <c r="C741" s="31" t="b">
        <v>0</v>
      </c>
      <c r="D741" s="31">
        <v>4</v>
      </c>
      <c r="E741" s="35" t="s">
        <v>2002</v>
      </c>
      <c r="F741" s="31" t="s">
        <v>131</v>
      </c>
      <c r="G741" s="31" t="s">
        <v>3665</v>
      </c>
      <c r="H741" s="31" t="s">
        <v>3666</v>
      </c>
      <c r="I741" s="31" t="s">
        <v>3842</v>
      </c>
      <c r="J741" s="37" t="s">
        <v>4047</v>
      </c>
      <c r="K741" s="31" t="s">
        <v>2328</v>
      </c>
      <c r="L741" s="31" t="s">
        <v>448</v>
      </c>
      <c r="M741" s="31" t="s">
        <v>2232</v>
      </c>
      <c r="N741" s="31" t="s">
        <v>2328</v>
      </c>
    </row>
    <row r="742" spans="1:14" ht="75" x14ac:dyDescent="0.25">
      <c r="A742" s="31" t="s">
        <v>3210</v>
      </c>
      <c r="B742" s="32" t="s">
        <v>2003</v>
      </c>
      <c r="C742" s="31" t="b">
        <v>0</v>
      </c>
      <c r="D742" s="31">
        <v>4</v>
      </c>
      <c r="E742" s="35" t="s">
        <v>2004</v>
      </c>
      <c r="F742" s="31" t="s">
        <v>131</v>
      </c>
      <c r="G742" s="31" t="s">
        <v>3665</v>
      </c>
      <c r="H742" s="31" t="s">
        <v>3666</v>
      </c>
      <c r="I742" s="31" t="s">
        <v>3842</v>
      </c>
      <c r="J742" s="37" t="s">
        <v>4047</v>
      </c>
      <c r="K742" s="31" t="s">
        <v>2328</v>
      </c>
      <c r="L742" s="31" t="s">
        <v>448</v>
      </c>
      <c r="M742" s="31" t="s">
        <v>2232</v>
      </c>
      <c r="N742" s="31" t="s">
        <v>2328</v>
      </c>
    </row>
    <row r="743" spans="1:14" ht="75" x14ac:dyDescent="0.25">
      <c r="A743" s="31" t="s">
        <v>3211</v>
      </c>
      <c r="B743" s="32" t="s">
        <v>2005</v>
      </c>
      <c r="C743" s="31" t="b">
        <v>0</v>
      </c>
      <c r="D743" s="31">
        <v>4</v>
      </c>
      <c r="E743" s="35" t="s">
        <v>2006</v>
      </c>
      <c r="F743" s="31" t="s">
        <v>131</v>
      </c>
      <c r="G743" s="31" t="s">
        <v>3665</v>
      </c>
      <c r="H743" s="31" t="s">
        <v>3666</v>
      </c>
      <c r="I743" s="31" t="s">
        <v>3842</v>
      </c>
      <c r="J743" s="37" t="s">
        <v>4047</v>
      </c>
      <c r="K743" s="31" t="s">
        <v>2328</v>
      </c>
      <c r="L743" s="31" t="s">
        <v>448</v>
      </c>
      <c r="M743" s="31" t="s">
        <v>2232</v>
      </c>
      <c r="N743" s="31" t="s">
        <v>2328</v>
      </c>
    </row>
    <row r="744" spans="1:14" ht="75" x14ac:dyDescent="0.25">
      <c r="A744" s="31" t="s">
        <v>3212</v>
      </c>
      <c r="B744" s="32" t="s">
        <v>2007</v>
      </c>
      <c r="C744" s="31" t="b">
        <v>0</v>
      </c>
      <c r="D744" s="31">
        <v>4</v>
      </c>
      <c r="E744" s="35" t="s">
        <v>2008</v>
      </c>
      <c r="F744" s="31" t="s">
        <v>131</v>
      </c>
      <c r="G744" s="31" t="s">
        <v>3665</v>
      </c>
      <c r="H744" s="31" t="s">
        <v>3666</v>
      </c>
      <c r="I744" s="31" t="s">
        <v>3842</v>
      </c>
      <c r="J744" s="37" t="s">
        <v>4047</v>
      </c>
      <c r="K744" s="31" t="s">
        <v>2328</v>
      </c>
      <c r="L744" s="31" t="s">
        <v>448</v>
      </c>
      <c r="M744" s="31" t="s">
        <v>2232</v>
      </c>
      <c r="N744" s="31" t="s">
        <v>2328</v>
      </c>
    </row>
    <row r="745" spans="1:14" ht="75" x14ac:dyDescent="0.25">
      <c r="A745" s="31" t="s">
        <v>3213</v>
      </c>
      <c r="B745" s="32" t="s">
        <v>2009</v>
      </c>
      <c r="C745" s="31" t="b">
        <v>0</v>
      </c>
      <c r="D745" s="31">
        <v>4</v>
      </c>
      <c r="E745" s="35" t="s">
        <v>2010</v>
      </c>
      <c r="F745" s="31" t="s">
        <v>131</v>
      </c>
      <c r="G745" s="31" t="s">
        <v>3665</v>
      </c>
      <c r="H745" s="31" t="s">
        <v>3666</v>
      </c>
      <c r="I745" s="31" t="s">
        <v>3842</v>
      </c>
      <c r="J745" s="37" t="s">
        <v>4047</v>
      </c>
      <c r="K745" s="31" t="s">
        <v>2328</v>
      </c>
      <c r="L745" s="31" t="s">
        <v>448</v>
      </c>
      <c r="M745" s="31" t="s">
        <v>2232</v>
      </c>
      <c r="N745" s="31" t="s">
        <v>2328</v>
      </c>
    </row>
    <row r="746" spans="1:14" ht="75" x14ac:dyDescent="0.25">
      <c r="A746" s="31" t="s">
        <v>3214</v>
      </c>
      <c r="B746" s="32" t="s">
        <v>2011</v>
      </c>
      <c r="C746" s="31" t="b">
        <v>0</v>
      </c>
      <c r="D746" s="31">
        <v>4</v>
      </c>
      <c r="E746" s="35" t="s">
        <v>2012</v>
      </c>
      <c r="F746" s="31" t="s">
        <v>131</v>
      </c>
      <c r="G746" s="31" t="s">
        <v>3665</v>
      </c>
      <c r="H746" s="31" t="s">
        <v>3666</v>
      </c>
      <c r="I746" s="31" t="s">
        <v>3842</v>
      </c>
      <c r="J746" s="37" t="s">
        <v>4047</v>
      </c>
      <c r="K746" s="31" t="s">
        <v>2328</v>
      </c>
      <c r="L746" s="31" t="s">
        <v>448</v>
      </c>
      <c r="M746" s="31" t="s">
        <v>2232</v>
      </c>
      <c r="N746" s="31" t="s">
        <v>2328</v>
      </c>
    </row>
    <row r="747" spans="1:14" ht="75" x14ac:dyDescent="0.25">
      <c r="A747" s="31" t="s">
        <v>3215</v>
      </c>
      <c r="B747" s="32" t="s">
        <v>2013</v>
      </c>
      <c r="C747" s="31" t="b">
        <v>0</v>
      </c>
      <c r="D747" s="31">
        <v>4</v>
      </c>
      <c r="E747" s="35" t="s">
        <v>2014</v>
      </c>
      <c r="F747" s="31" t="s">
        <v>131</v>
      </c>
      <c r="G747" s="31" t="s">
        <v>3665</v>
      </c>
      <c r="H747" s="31" t="s">
        <v>3666</v>
      </c>
      <c r="I747" s="31" t="s">
        <v>3842</v>
      </c>
      <c r="J747" s="37" t="s">
        <v>4047</v>
      </c>
      <c r="K747" s="31" t="s">
        <v>2328</v>
      </c>
      <c r="L747" s="31" t="s">
        <v>448</v>
      </c>
      <c r="M747" s="31" t="s">
        <v>2232</v>
      </c>
      <c r="N747" s="31" t="s">
        <v>2328</v>
      </c>
    </row>
    <row r="748" spans="1:14" ht="75" x14ac:dyDescent="0.25">
      <c r="A748" s="31" t="s">
        <v>3216</v>
      </c>
      <c r="B748" s="32" t="s">
        <v>2015</v>
      </c>
      <c r="C748" s="31" t="b">
        <v>0</v>
      </c>
      <c r="D748" s="31">
        <v>4</v>
      </c>
      <c r="E748" s="35" t="s">
        <v>2016</v>
      </c>
      <c r="F748" s="31" t="s">
        <v>131</v>
      </c>
      <c r="G748" s="31" t="s">
        <v>3665</v>
      </c>
      <c r="H748" s="31" t="s">
        <v>3666</v>
      </c>
      <c r="I748" s="31" t="s">
        <v>3842</v>
      </c>
      <c r="J748" s="37" t="s">
        <v>4047</v>
      </c>
      <c r="K748" s="31" t="s">
        <v>2328</v>
      </c>
      <c r="L748" s="31" t="s">
        <v>448</v>
      </c>
      <c r="M748" s="31" t="s">
        <v>2232</v>
      </c>
      <c r="N748" s="31" t="s">
        <v>2328</v>
      </c>
    </row>
    <row r="749" spans="1:14" ht="75" x14ac:dyDescent="0.25">
      <c r="A749" s="31" t="s">
        <v>3217</v>
      </c>
      <c r="B749" s="32" t="s">
        <v>2017</v>
      </c>
      <c r="C749" s="31" t="b">
        <v>0</v>
      </c>
      <c r="D749" s="31">
        <v>4</v>
      </c>
      <c r="E749" s="35" t="s">
        <v>2018</v>
      </c>
      <c r="F749" s="31" t="s">
        <v>131</v>
      </c>
      <c r="G749" s="31" t="s">
        <v>3665</v>
      </c>
      <c r="H749" s="31" t="s">
        <v>3666</v>
      </c>
      <c r="I749" s="31" t="s">
        <v>3842</v>
      </c>
      <c r="J749" s="37" t="s">
        <v>4047</v>
      </c>
      <c r="K749" s="31" t="s">
        <v>2328</v>
      </c>
      <c r="L749" s="31" t="s">
        <v>448</v>
      </c>
      <c r="M749" s="31" t="s">
        <v>2232</v>
      </c>
      <c r="N749" s="31" t="s">
        <v>2328</v>
      </c>
    </row>
    <row r="750" spans="1:14" ht="75" x14ac:dyDescent="0.25">
      <c r="A750" s="31" t="s">
        <v>3218</v>
      </c>
      <c r="B750" s="32" t="s">
        <v>2019</v>
      </c>
      <c r="C750" s="31" t="b">
        <v>0</v>
      </c>
      <c r="D750" s="31">
        <v>4</v>
      </c>
      <c r="E750" s="35" t="s">
        <v>2020</v>
      </c>
      <c r="F750" s="31" t="s">
        <v>131</v>
      </c>
      <c r="G750" s="31" t="s">
        <v>3665</v>
      </c>
      <c r="H750" s="31" t="s">
        <v>3666</v>
      </c>
      <c r="I750" s="31" t="s">
        <v>3842</v>
      </c>
      <c r="J750" s="37" t="s">
        <v>4047</v>
      </c>
      <c r="K750" s="31" t="s">
        <v>2328</v>
      </c>
      <c r="L750" s="31" t="s">
        <v>448</v>
      </c>
      <c r="M750" s="31" t="s">
        <v>2232</v>
      </c>
      <c r="N750" s="31" t="s">
        <v>2328</v>
      </c>
    </row>
    <row r="751" spans="1:14" ht="75" x14ac:dyDescent="0.25">
      <c r="A751" s="31" t="s">
        <v>3219</v>
      </c>
      <c r="B751" s="32" t="s">
        <v>2021</v>
      </c>
      <c r="C751" s="31" t="b">
        <v>0</v>
      </c>
      <c r="D751" s="31">
        <v>4</v>
      </c>
      <c r="E751" s="35" t="s">
        <v>2022</v>
      </c>
      <c r="F751" s="31" t="s">
        <v>131</v>
      </c>
      <c r="G751" s="31" t="s">
        <v>3665</v>
      </c>
      <c r="H751" s="31" t="s">
        <v>3666</v>
      </c>
      <c r="I751" s="31" t="s">
        <v>3842</v>
      </c>
      <c r="J751" s="37" t="s">
        <v>4047</v>
      </c>
      <c r="K751" s="31" t="s">
        <v>2328</v>
      </c>
      <c r="L751" s="31" t="s">
        <v>448</v>
      </c>
      <c r="M751" s="31" t="s">
        <v>2232</v>
      </c>
      <c r="N751" s="31" t="s">
        <v>2328</v>
      </c>
    </row>
    <row r="752" spans="1:14" ht="75" x14ac:dyDescent="0.25">
      <c r="A752" s="31" t="s">
        <v>3220</v>
      </c>
      <c r="B752" s="32" t="s">
        <v>2023</v>
      </c>
      <c r="C752" s="31" t="b">
        <v>0</v>
      </c>
      <c r="D752" s="31">
        <v>4</v>
      </c>
      <c r="E752" s="35" t="s">
        <v>2024</v>
      </c>
      <c r="F752" s="31" t="s">
        <v>131</v>
      </c>
      <c r="G752" s="31" t="s">
        <v>3665</v>
      </c>
      <c r="H752" s="31" t="s">
        <v>3666</v>
      </c>
      <c r="I752" s="31" t="s">
        <v>3842</v>
      </c>
      <c r="J752" s="37" t="s">
        <v>4047</v>
      </c>
      <c r="K752" s="31" t="s">
        <v>2328</v>
      </c>
      <c r="L752" s="31" t="s">
        <v>448</v>
      </c>
      <c r="M752" s="31" t="s">
        <v>2232</v>
      </c>
      <c r="N752" s="31" t="s">
        <v>2328</v>
      </c>
    </row>
    <row r="753" spans="1:14" ht="75" x14ac:dyDescent="0.25">
      <c r="A753" s="31" t="s">
        <v>3221</v>
      </c>
      <c r="B753" s="32" t="s">
        <v>2025</v>
      </c>
      <c r="C753" s="31" t="b">
        <v>0</v>
      </c>
      <c r="D753" s="31">
        <v>4</v>
      </c>
      <c r="E753" s="35" t="s">
        <v>2026</v>
      </c>
      <c r="F753" s="31" t="s">
        <v>131</v>
      </c>
      <c r="G753" s="31" t="s">
        <v>3665</v>
      </c>
      <c r="H753" s="31" t="s">
        <v>3666</v>
      </c>
      <c r="I753" s="31" t="s">
        <v>3842</v>
      </c>
      <c r="J753" s="37" t="s">
        <v>4047</v>
      </c>
      <c r="K753" s="31" t="s">
        <v>2328</v>
      </c>
      <c r="L753" s="31" t="s">
        <v>448</v>
      </c>
      <c r="M753" s="31" t="s">
        <v>2232</v>
      </c>
      <c r="N753" s="31" t="s">
        <v>2328</v>
      </c>
    </row>
    <row r="754" spans="1:14" ht="75" x14ac:dyDescent="0.25">
      <c r="A754" s="31" t="s">
        <v>3222</v>
      </c>
      <c r="B754" s="32" t="s">
        <v>2027</v>
      </c>
      <c r="C754" s="31" t="b">
        <v>0</v>
      </c>
      <c r="D754" s="31">
        <v>4</v>
      </c>
      <c r="E754" s="35" t="s">
        <v>2028</v>
      </c>
      <c r="F754" s="31" t="s">
        <v>131</v>
      </c>
      <c r="G754" s="31" t="s">
        <v>3665</v>
      </c>
      <c r="H754" s="31" t="s">
        <v>3666</v>
      </c>
      <c r="I754" s="31" t="s">
        <v>3842</v>
      </c>
      <c r="J754" s="37" t="s">
        <v>4047</v>
      </c>
      <c r="K754" s="31" t="s">
        <v>2328</v>
      </c>
      <c r="L754" s="31" t="s">
        <v>448</v>
      </c>
      <c r="M754" s="31" t="s">
        <v>2232</v>
      </c>
      <c r="N754" s="31" t="s">
        <v>2328</v>
      </c>
    </row>
    <row r="755" spans="1:14" ht="75" x14ac:dyDescent="0.25">
      <c r="A755" s="31" t="s">
        <v>3223</v>
      </c>
      <c r="B755" s="32" t="s">
        <v>2029</v>
      </c>
      <c r="C755" s="31" t="b">
        <v>0</v>
      </c>
      <c r="D755" s="31">
        <v>4</v>
      </c>
      <c r="E755" s="35" t="s">
        <v>2030</v>
      </c>
      <c r="F755" s="31" t="s">
        <v>131</v>
      </c>
      <c r="G755" s="31" t="s">
        <v>3665</v>
      </c>
      <c r="H755" s="31" t="s">
        <v>3666</v>
      </c>
      <c r="I755" s="31" t="s">
        <v>3842</v>
      </c>
      <c r="J755" s="37" t="s">
        <v>4047</v>
      </c>
      <c r="K755" s="31" t="s">
        <v>2328</v>
      </c>
      <c r="L755" s="31" t="s">
        <v>448</v>
      </c>
      <c r="M755" s="31" t="s">
        <v>2232</v>
      </c>
      <c r="N755" s="31" t="s">
        <v>2328</v>
      </c>
    </row>
    <row r="756" spans="1:14" ht="75" x14ac:dyDescent="0.25">
      <c r="A756" s="31" t="s">
        <v>3224</v>
      </c>
      <c r="B756" s="32" t="s">
        <v>2031</v>
      </c>
      <c r="C756" s="31" t="b">
        <v>0</v>
      </c>
      <c r="D756" s="31">
        <v>4</v>
      </c>
      <c r="E756" s="35" t="s">
        <v>2032</v>
      </c>
      <c r="F756" s="31" t="s">
        <v>131</v>
      </c>
      <c r="G756" s="31" t="s">
        <v>3665</v>
      </c>
      <c r="H756" s="31" t="s">
        <v>3666</v>
      </c>
      <c r="I756" s="31" t="s">
        <v>3842</v>
      </c>
      <c r="J756" s="37" t="s">
        <v>4047</v>
      </c>
      <c r="K756" s="31" t="s">
        <v>2328</v>
      </c>
      <c r="L756" s="31" t="s">
        <v>448</v>
      </c>
      <c r="M756" s="31" t="s">
        <v>2232</v>
      </c>
      <c r="N756" s="31" t="s">
        <v>2328</v>
      </c>
    </row>
    <row r="757" spans="1:14" ht="75" x14ac:dyDescent="0.25">
      <c r="A757" s="31" t="s">
        <v>3225</v>
      </c>
      <c r="B757" s="32" t="s">
        <v>2033</v>
      </c>
      <c r="C757" s="31" t="b">
        <v>0</v>
      </c>
      <c r="D757" s="31">
        <v>4</v>
      </c>
      <c r="E757" s="35" t="s">
        <v>2034</v>
      </c>
      <c r="F757" s="31" t="s">
        <v>131</v>
      </c>
      <c r="G757" s="31" t="s">
        <v>3665</v>
      </c>
      <c r="H757" s="31" t="s">
        <v>3666</v>
      </c>
      <c r="I757" s="31" t="s">
        <v>3842</v>
      </c>
      <c r="J757" s="37" t="s">
        <v>4047</v>
      </c>
      <c r="K757" s="31" t="s">
        <v>2328</v>
      </c>
      <c r="L757" s="31" t="s">
        <v>448</v>
      </c>
      <c r="M757" s="31" t="s">
        <v>2232</v>
      </c>
      <c r="N757" s="31" t="s">
        <v>2328</v>
      </c>
    </row>
    <row r="758" spans="1:14" ht="75" x14ac:dyDescent="0.25">
      <c r="A758" s="31" t="s">
        <v>3226</v>
      </c>
      <c r="B758" s="32" t="s">
        <v>2035</v>
      </c>
      <c r="C758" s="31" t="b">
        <v>0</v>
      </c>
      <c r="D758" s="31">
        <v>4</v>
      </c>
      <c r="E758" s="35" t="s">
        <v>2036</v>
      </c>
      <c r="F758" s="31" t="s">
        <v>131</v>
      </c>
      <c r="G758" s="31" t="s">
        <v>3665</v>
      </c>
      <c r="H758" s="31" t="s">
        <v>3666</v>
      </c>
      <c r="I758" s="31" t="s">
        <v>3842</v>
      </c>
      <c r="J758" s="37" t="s">
        <v>4047</v>
      </c>
      <c r="K758" s="31" t="s">
        <v>2328</v>
      </c>
      <c r="L758" s="31" t="s">
        <v>448</v>
      </c>
      <c r="M758" s="31" t="s">
        <v>2232</v>
      </c>
      <c r="N758" s="31" t="s">
        <v>2328</v>
      </c>
    </row>
    <row r="759" spans="1:14" ht="75" x14ac:dyDescent="0.25">
      <c r="A759" s="31" t="s">
        <v>3227</v>
      </c>
      <c r="B759" s="32" t="s">
        <v>2037</v>
      </c>
      <c r="C759" s="31" t="b">
        <v>0</v>
      </c>
      <c r="D759" s="31">
        <v>4</v>
      </c>
      <c r="E759" s="35" t="s">
        <v>2038</v>
      </c>
      <c r="F759" s="31" t="s">
        <v>131</v>
      </c>
      <c r="G759" s="31" t="s">
        <v>3665</v>
      </c>
      <c r="H759" s="31" t="s">
        <v>3666</v>
      </c>
      <c r="I759" s="31" t="s">
        <v>3842</v>
      </c>
      <c r="J759" s="37" t="s">
        <v>4047</v>
      </c>
      <c r="K759" s="31" t="s">
        <v>2328</v>
      </c>
      <c r="L759" s="31" t="s">
        <v>448</v>
      </c>
      <c r="M759" s="31" t="s">
        <v>2232</v>
      </c>
      <c r="N759" s="31" t="s">
        <v>2328</v>
      </c>
    </row>
    <row r="760" spans="1:14" ht="75" x14ac:dyDescent="0.25">
      <c r="A760" s="31" t="s">
        <v>3228</v>
      </c>
      <c r="B760" s="32" t="s">
        <v>2039</v>
      </c>
      <c r="C760" s="31" t="b">
        <v>0</v>
      </c>
      <c r="D760" s="31">
        <v>4</v>
      </c>
      <c r="E760" s="35" t="s">
        <v>2040</v>
      </c>
      <c r="F760" s="31" t="s">
        <v>131</v>
      </c>
      <c r="G760" s="31" t="s">
        <v>3665</v>
      </c>
      <c r="H760" s="31" t="s">
        <v>3666</v>
      </c>
      <c r="I760" s="31" t="s">
        <v>3842</v>
      </c>
      <c r="J760" s="37" t="s">
        <v>4047</v>
      </c>
      <c r="K760" s="31" t="s">
        <v>2328</v>
      </c>
      <c r="L760" s="31" t="s">
        <v>448</v>
      </c>
      <c r="M760" s="31" t="s">
        <v>2232</v>
      </c>
      <c r="N760" s="31" t="s">
        <v>2328</v>
      </c>
    </row>
    <row r="761" spans="1:14" ht="75" x14ac:dyDescent="0.25">
      <c r="A761" s="31" t="s">
        <v>3229</v>
      </c>
      <c r="B761" s="32" t="s">
        <v>2041</v>
      </c>
      <c r="C761" s="31" t="b">
        <v>0</v>
      </c>
      <c r="D761" s="31">
        <v>4</v>
      </c>
      <c r="E761" s="35" t="s">
        <v>2042</v>
      </c>
      <c r="F761" s="31" t="s">
        <v>131</v>
      </c>
      <c r="G761" s="31" t="s">
        <v>3665</v>
      </c>
      <c r="H761" s="31" t="s">
        <v>3666</v>
      </c>
      <c r="I761" s="31" t="s">
        <v>3842</v>
      </c>
      <c r="J761" s="37" t="s">
        <v>4047</v>
      </c>
      <c r="K761" s="31" t="s">
        <v>2328</v>
      </c>
      <c r="L761" s="31" t="s">
        <v>448</v>
      </c>
      <c r="M761" s="31" t="s">
        <v>2232</v>
      </c>
      <c r="N761" s="31" t="s">
        <v>2328</v>
      </c>
    </row>
    <row r="762" spans="1:14" ht="75" x14ac:dyDescent="0.25">
      <c r="A762" s="31" t="s">
        <v>3230</v>
      </c>
      <c r="B762" s="32" t="s">
        <v>2043</v>
      </c>
      <c r="C762" s="31" t="b">
        <v>0</v>
      </c>
      <c r="D762" s="31">
        <v>4</v>
      </c>
      <c r="E762" s="35" t="s">
        <v>2044</v>
      </c>
      <c r="F762" s="31" t="s">
        <v>131</v>
      </c>
      <c r="G762" s="31" t="s">
        <v>3665</v>
      </c>
      <c r="H762" s="31" t="s">
        <v>3666</v>
      </c>
      <c r="I762" s="31" t="s">
        <v>3842</v>
      </c>
      <c r="J762" s="37" t="s">
        <v>4047</v>
      </c>
      <c r="K762" s="31" t="s">
        <v>2328</v>
      </c>
      <c r="L762" s="31" t="s">
        <v>448</v>
      </c>
      <c r="M762" s="31" t="s">
        <v>2232</v>
      </c>
      <c r="N762" s="31" t="s">
        <v>2328</v>
      </c>
    </row>
    <row r="763" spans="1:14" ht="75" x14ac:dyDescent="0.25">
      <c r="A763" s="31" t="s">
        <v>3231</v>
      </c>
      <c r="B763" s="32" t="s">
        <v>2045</v>
      </c>
      <c r="C763" s="31" t="b">
        <v>0</v>
      </c>
      <c r="D763" s="31">
        <v>4</v>
      </c>
      <c r="E763" s="35" t="s">
        <v>2046</v>
      </c>
      <c r="F763" s="31" t="s">
        <v>131</v>
      </c>
      <c r="G763" s="31" t="s">
        <v>3665</v>
      </c>
      <c r="H763" s="31" t="s">
        <v>3666</v>
      </c>
      <c r="I763" s="31" t="s">
        <v>3842</v>
      </c>
      <c r="J763" s="37" t="s">
        <v>4047</v>
      </c>
      <c r="K763" s="31" t="s">
        <v>2328</v>
      </c>
      <c r="L763" s="31" t="s">
        <v>448</v>
      </c>
      <c r="M763" s="31" t="s">
        <v>2232</v>
      </c>
      <c r="N763" s="31" t="s">
        <v>2328</v>
      </c>
    </row>
    <row r="764" spans="1:14" ht="75" x14ac:dyDescent="0.25">
      <c r="A764" s="31" t="s">
        <v>3232</v>
      </c>
      <c r="B764" s="32" t="s">
        <v>2047</v>
      </c>
      <c r="C764" s="31" t="b">
        <v>0</v>
      </c>
      <c r="D764" s="31">
        <v>4</v>
      </c>
      <c r="E764" s="35" t="s">
        <v>2048</v>
      </c>
      <c r="F764" s="31" t="s">
        <v>131</v>
      </c>
      <c r="G764" s="31" t="s">
        <v>3665</v>
      </c>
      <c r="H764" s="31" t="s">
        <v>3666</v>
      </c>
      <c r="I764" s="31" t="s">
        <v>3842</v>
      </c>
      <c r="J764" s="37" t="s">
        <v>4047</v>
      </c>
      <c r="K764" s="31" t="s">
        <v>2328</v>
      </c>
      <c r="L764" s="31" t="s">
        <v>448</v>
      </c>
      <c r="M764" s="31" t="s">
        <v>2232</v>
      </c>
      <c r="N764" s="31" t="s">
        <v>2328</v>
      </c>
    </row>
    <row r="765" spans="1:14" ht="75" x14ac:dyDescent="0.25">
      <c r="A765" s="31" t="s">
        <v>3233</v>
      </c>
      <c r="B765" s="32" t="s">
        <v>2049</v>
      </c>
      <c r="C765" s="31" t="b">
        <v>1</v>
      </c>
      <c r="D765" s="31">
        <v>2</v>
      </c>
      <c r="E765" s="34" t="s">
        <v>3377</v>
      </c>
      <c r="F765" s="31" t="s">
        <v>3443</v>
      </c>
      <c r="G765" s="31" t="s">
        <v>3665</v>
      </c>
      <c r="H765" s="31" t="s">
        <v>3666</v>
      </c>
      <c r="I765" s="31" t="s">
        <v>3842</v>
      </c>
      <c r="J765" s="37" t="s">
        <v>4047</v>
      </c>
      <c r="K765" s="31" t="s">
        <v>2328</v>
      </c>
      <c r="L765" s="31" t="s">
        <v>450</v>
      </c>
      <c r="M765" s="31" t="s">
        <v>2232</v>
      </c>
      <c r="N765" s="31" t="s">
        <v>2328</v>
      </c>
    </row>
    <row r="766" spans="1:14" ht="75" x14ac:dyDescent="0.25">
      <c r="A766" s="31" t="s">
        <v>2328</v>
      </c>
      <c r="B766" s="32" t="s">
        <v>2051</v>
      </c>
      <c r="C766" s="31" t="b">
        <v>0</v>
      </c>
      <c r="D766" s="31">
        <v>4</v>
      </c>
      <c r="E766" s="35" t="s">
        <v>2052</v>
      </c>
      <c r="F766" s="31" t="s">
        <v>139</v>
      </c>
      <c r="G766" s="31" t="s">
        <v>3665</v>
      </c>
      <c r="H766" s="31" t="s">
        <v>3666</v>
      </c>
      <c r="I766" s="31" t="s">
        <v>3842</v>
      </c>
      <c r="J766" s="37" t="s">
        <v>4047</v>
      </c>
      <c r="K766" s="31" t="s">
        <v>2328</v>
      </c>
      <c r="L766" s="31" t="s">
        <v>450</v>
      </c>
      <c r="M766" s="31" t="s">
        <v>2232</v>
      </c>
      <c r="N766" s="31" t="s">
        <v>2328</v>
      </c>
    </row>
    <row r="767" spans="1:14" ht="75" x14ac:dyDescent="0.25">
      <c r="A767" s="31" t="s">
        <v>3234</v>
      </c>
      <c r="B767" s="32" t="s">
        <v>2053</v>
      </c>
      <c r="C767" s="31" t="b">
        <v>0</v>
      </c>
      <c r="D767" s="31">
        <v>4</v>
      </c>
      <c r="E767" s="35" t="s">
        <v>2054</v>
      </c>
      <c r="F767" s="31" t="s">
        <v>131</v>
      </c>
      <c r="G767" s="31" t="s">
        <v>3665</v>
      </c>
      <c r="H767" s="31" t="s">
        <v>3666</v>
      </c>
      <c r="I767" s="31" t="s">
        <v>3842</v>
      </c>
      <c r="J767" s="37" t="s">
        <v>4047</v>
      </c>
      <c r="K767" s="31" t="s">
        <v>2328</v>
      </c>
      <c r="L767" s="31" t="s">
        <v>450</v>
      </c>
      <c r="M767" s="31" t="s">
        <v>2232</v>
      </c>
      <c r="N767" s="31" t="s">
        <v>2328</v>
      </c>
    </row>
    <row r="768" spans="1:14" ht="75" x14ac:dyDescent="0.25">
      <c r="A768" s="31" t="s">
        <v>3235</v>
      </c>
      <c r="B768" s="32" t="s">
        <v>2055</v>
      </c>
      <c r="C768" s="31" t="b">
        <v>0</v>
      </c>
      <c r="D768" s="31">
        <v>4</v>
      </c>
      <c r="E768" s="35" t="s">
        <v>2056</v>
      </c>
      <c r="F768" s="31" t="s">
        <v>131</v>
      </c>
      <c r="G768" s="31" t="s">
        <v>3665</v>
      </c>
      <c r="H768" s="31" t="s">
        <v>3666</v>
      </c>
      <c r="I768" s="31" t="s">
        <v>3842</v>
      </c>
      <c r="J768" s="37" t="s">
        <v>4047</v>
      </c>
      <c r="K768" s="31" t="s">
        <v>2328</v>
      </c>
      <c r="L768" s="31" t="s">
        <v>450</v>
      </c>
      <c r="M768" s="31" t="s">
        <v>2232</v>
      </c>
      <c r="N768" s="31" t="s">
        <v>2328</v>
      </c>
    </row>
    <row r="769" spans="1:14" ht="75" x14ac:dyDescent="0.25">
      <c r="A769" s="31" t="s">
        <v>2328</v>
      </c>
      <c r="B769" s="32" t="s">
        <v>2057</v>
      </c>
      <c r="C769" s="31" t="b">
        <v>0</v>
      </c>
      <c r="D769" s="31">
        <v>4</v>
      </c>
      <c r="E769" s="35" t="s">
        <v>2058</v>
      </c>
      <c r="F769" s="31" t="s">
        <v>139</v>
      </c>
      <c r="G769" s="31" t="s">
        <v>3665</v>
      </c>
      <c r="H769" s="31" t="s">
        <v>3666</v>
      </c>
      <c r="I769" s="31" t="s">
        <v>3842</v>
      </c>
      <c r="J769" s="37" t="s">
        <v>4047</v>
      </c>
      <c r="K769" s="31" t="s">
        <v>2328</v>
      </c>
      <c r="L769" s="31" t="s">
        <v>450</v>
      </c>
      <c r="M769" s="31" t="s">
        <v>2232</v>
      </c>
      <c r="N769" s="31" t="s">
        <v>2328</v>
      </c>
    </row>
    <row r="770" spans="1:14" ht="75" x14ac:dyDescent="0.25">
      <c r="A770" s="31" t="s">
        <v>3236</v>
      </c>
      <c r="B770" s="32" t="s">
        <v>2059</v>
      </c>
      <c r="C770" s="31" t="b">
        <v>0</v>
      </c>
      <c r="D770" s="31">
        <v>4</v>
      </c>
      <c r="E770" s="35" t="s">
        <v>2060</v>
      </c>
      <c r="F770" s="31" t="s">
        <v>131</v>
      </c>
      <c r="G770" s="31" t="s">
        <v>3665</v>
      </c>
      <c r="H770" s="31" t="s">
        <v>3666</v>
      </c>
      <c r="I770" s="31" t="s">
        <v>3842</v>
      </c>
      <c r="J770" s="37" t="s">
        <v>4047</v>
      </c>
      <c r="K770" s="31" t="s">
        <v>2328</v>
      </c>
      <c r="L770" s="31" t="s">
        <v>450</v>
      </c>
      <c r="M770" s="31" t="s">
        <v>2232</v>
      </c>
      <c r="N770" s="31" t="s">
        <v>2328</v>
      </c>
    </row>
    <row r="771" spans="1:14" ht="75" x14ac:dyDescent="0.25">
      <c r="A771" s="31" t="s">
        <v>3237</v>
      </c>
      <c r="B771" s="32" t="s">
        <v>2061</v>
      </c>
      <c r="C771" s="31" t="b">
        <v>0</v>
      </c>
      <c r="D771" s="31">
        <v>4</v>
      </c>
      <c r="E771" s="35" t="s">
        <v>2062</v>
      </c>
      <c r="F771" s="31" t="s">
        <v>131</v>
      </c>
      <c r="G771" s="31" t="s">
        <v>3665</v>
      </c>
      <c r="H771" s="31" t="s">
        <v>3666</v>
      </c>
      <c r="I771" s="31" t="s">
        <v>3842</v>
      </c>
      <c r="J771" s="37" t="s">
        <v>4047</v>
      </c>
      <c r="K771" s="31" t="s">
        <v>2328</v>
      </c>
      <c r="L771" s="31" t="s">
        <v>450</v>
      </c>
      <c r="M771" s="31" t="s">
        <v>2232</v>
      </c>
      <c r="N771" s="31" t="s">
        <v>2328</v>
      </c>
    </row>
    <row r="772" spans="1:14" ht="75" x14ac:dyDescent="0.25">
      <c r="A772" s="31" t="s">
        <v>2328</v>
      </c>
      <c r="B772" s="32" t="s">
        <v>2063</v>
      </c>
      <c r="C772" s="31" t="b">
        <v>1</v>
      </c>
      <c r="D772" s="31">
        <v>0</v>
      </c>
      <c r="E772" s="33" t="s">
        <v>2375</v>
      </c>
      <c r="F772" s="31" t="s">
        <v>3443</v>
      </c>
      <c r="G772" s="31" t="s">
        <v>3665</v>
      </c>
      <c r="H772" s="31" t="s">
        <v>3666</v>
      </c>
      <c r="I772" s="31" t="s">
        <v>3842</v>
      </c>
      <c r="J772" s="37" t="s">
        <v>4047</v>
      </c>
      <c r="K772" s="31" t="s">
        <v>2328</v>
      </c>
      <c r="L772" s="31" t="s">
        <v>452</v>
      </c>
      <c r="M772" s="31" t="s">
        <v>2232</v>
      </c>
      <c r="N772" s="31" t="s">
        <v>2328</v>
      </c>
    </row>
    <row r="773" spans="1:14" ht="75" x14ac:dyDescent="0.25">
      <c r="A773" s="31" t="s">
        <v>2328</v>
      </c>
      <c r="B773" s="32" t="s">
        <v>2064</v>
      </c>
      <c r="C773" s="31" t="b">
        <v>1</v>
      </c>
      <c r="D773" s="31">
        <v>2</v>
      </c>
      <c r="E773" s="34" t="s">
        <v>2376</v>
      </c>
      <c r="F773" s="31" t="s">
        <v>3443</v>
      </c>
      <c r="G773" s="31" t="s">
        <v>3665</v>
      </c>
      <c r="H773" s="31" t="s">
        <v>3666</v>
      </c>
      <c r="I773" s="31" t="s">
        <v>3842</v>
      </c>
      <c r="J773" s="37" t="s">
        <v>4047</v>
      </c>
      <c r="K773" s="31" t="s">
        <v>2328</v>
      </c>
      <c r="L773" s="31" t="s">
        <v>454</v>
      </c>
      <c r="M773" s="31" t="s">
        <v>2232</v>
      </c>
      <c r="N773" s="31" t="s">
        <v>2328</v>
      </c>
    </row>
    <row r="774" spans="1:14" ht="75" x14ac:dyDescent="0.25">
      <c r="A774" s="31" t="s">
        <v>2328</v>
      </c>
      <c r="B774" s="32" t="s">
        <v>3494</v>
      </c>
      <c r="C774" s="31" t="b">
        <v>1</v>
      </c>
      <c r="D774" s="31">
        <v>4</v>
      </c>
      <c r="E774" s="35" t="s">
        <v>3552</v>
      </c>
      <c r="F774" s="31" t="s">
        <v>3443</v>
      </c>
      <c r="G774" s="31" t="s">
        <v>3665</v>
      </c>
      <c r="H774" s="31" t="s">
        <v>3666</v>
      </c>
      <c r="I774" s="31" t="s">
        <v>3842</v>
      </c>
      <c r="J774" s="37" t="s">
        <v>4047</v>
      </c>
      <c r="K774" s="31" t="s">
        <v>2328</v>
      </c>
      <c r="L774" s="31" t="s">
        <v>2328</v>
      </c>
      <c r="M774" s="31" t="s">
        <v>2232</v>
      </c>
      <c r="N774" s="31" t="s">
        <v>2328</v>
      </c>
    </row>
    <row r="775" spans="1:14" ht="75" x14ac:dyDescent="0.25">
      <c r="A775" s="31" t="s">
        <v>2328</v>
      </c>
      <c r="B775" s="32" t="s">
        <v>3496</v>
      </c>
      <c r="C775" s="31" t="b">
        <v>0</v>
      </c>
      <c r="D775" s="31">
        <v>6</v>
      </c>
      <c r="E775" s="38" t="s">
        <v>3498</v>
      </c>
      <c r="F775" s="31" t="s">
        <v>131</v>
      </c>
      <c r="G775" s="31" t="s">
        <v>3665</v>
      </c>
      <c r="H775" s="31" t="s">
        <v>3666</v>
      </c>
      <c r="I775" s="31" t="s">
        <v>3842</v>
      </c>
      <c r="J775" s="37" t="s">
        <v>4047</v>
      </c>
      <c r="K775" s="31" t="s">
        <v>2328</v>
      </c>
      <c r="L775" s="31" t="s">
        <v>2328</v>
      </c>
      <c r="M775" s="31" t="s">
        <v>2232</v>
      </c>
      <c r="N775" s="31" t="s">
        <v>2328</v>
      </c>
    </row>
    <row r="776" spans="1:14" ht="75" x14ac:dyDescent="0.25">
      <c r="A776" s="31" t="s">
        <v>2328</v>
      </c>
      <c r="B776" s="32" t="s">
        <v>3499</v>
      </c>
      <c r="C776" s="31" t="b">
        <v>0</v>
      </c>
      <c r="D776" s="31">
        <v>6</v>
      </c>
      <c r="E776" s="38" t="s">
        <v>3501</v>
      </c>
      <c r="F776" s="31" t="s">
        <v>131</v>
      </c>
      <c r="G776" s="31" t="s">
        <v>3665</v>
      </c>
      <c r="H776" s="31" t="s">
        <v>3666</v>
      </c>
      <c r="I776" s="31" t="s">
        <v>3842</v>
      </c>
      <c r="J776" s="37" t="s">
        <v>4047</v>
      </c>
      <c r="K776" s="31" t="s">
        <v>2328</v>
      </c>
      <c r="L776" s="31" t="s">
        <v>2328</v>
      </c>
      <c r="M776" s="31" t="s">
        <v>2232</v>
      </c>
      <c r="N776" s="31" t="s">
        <v>2328</v>
      </c>
    </row>
    <row r="777" spans="1:14" ht="75" x14ac:dyDescent="0.25">
      <c r="A777" s="31" t="s">
        <v>2328</v>
      </c>
      <c r="B777" s="32" t="s">
        <v>3502</v>
      </c>
      <c r="C777" s="31" t="b">
        <v>0</v>
      </c>
      <c r="D777" s="31">
        <v>6</v>
      </c>
      <c r="E777" s="38" t="s">
        <v>3504</v>
      </c>
      <c r="F777" s="31" t="s">
        <v>131</v>
      </c>
      <c r="G777" s="31" t="s">
        <v>3665</v>
      </c>
      <c r="H777" s="31" t="s">
        <v>3666</v>
      </c>
      <c r="I777" s="31" t="s">
        <v>3842</v>
      </c>
      <c r="J777" s="37" t="s">
        <v>4047</v>
      </c>
      <c r="K777" s="31" t="s">
        <v>2328</v>
      </c>
      <c r="L777" s="31" t="s">
        <v>2328</v>
      </c>
      <c r="M777" s="31" t="s">
        <v>2232</v>
      </c>
      <c r="N777" s="31" t="s">
        <v>2328</v>
      </c>
    </row>
    <row r="778" spans="1:14" ht="75" x14ac:dyDescent="0.25">
      <c r="A778" s="31" t="s">
        <v>2328</v>
      </c>
      <c r="B778" s="32" t="s">
        <v>3505</v>
      </c>
      <c r="C778" s="31" t="b">
        <v>0</v>
      </c>
      <c r="D778" s="31">
        <v>6</v>
      </c>
      <c r="E778" s="38" t="s">
        <v>3507</v>
      </c>
      <c r="F778" s="31" t="s">
        <v>131</v>
      </c>
      <c r="G778" s="31" t="s">
        <v>3665</v>
      </c>
      <c r="H778" s="31" t="s">
        <v>3666</v>
      </c>
      <c r="I778" s="31" t="s">
        <v>3842</v>
      </c>
      <c r="J778" s="37" t="s">
        <v>4047</v>
      </c>
      <c r="K778" s="31" t="s">
        <v>2328</v>
      </c>
      <c r="L778" s="31" t="s">
        <v>2328</v>
      </c>
      <c r="M778" s="31" t="s">
        <v>2232</v>
      </c>
      <c r="N778" s="31" t="s">
        <v>2328</v>
      </c>
    </row>
    <row r="779" spans="1:14" ht="75" x14ac:dyDescent="0.25">
      <c r="A779" s="31" t="s">
        <v>2328</v>
      </c>
      <c r="B779" s="32" t="s">
        <v>3508</v>
      </c>
      <c r="C779" s="31" t="b">
        <v>0</v>
      </c>
      <c r="D779" s="31">
        <v>6</v>
      </c>
      <c r="E779" s="38" t="s">
        <v>3510</v>
      </c>
      <c r="F779" s="31" t="s">
        <v>131</v>
      </c>
      <c r="G779" s="31" t="s">
        <v>3665</v>
      </c>
      <c r="H779" s="31" t="s">
        <v>3666</v>
      </c>
      <c r="I779" s="31" t="s">
        <v>3842</v>
      </c>
      <c r="J779" s="37" t="s">
        <v>4047</v>
      </c>
      <c r="K779" s="31" t="s">
        <v>2328</v>
      </c>
      <c r="L779" s="31" t="s">
        <v>2328</v>
      </c>
      <c r="M779" s="31" t="s">
        <v>2232</v>
      </c>
      <c r="N779" s="31" t="s">
        <v>2328</v>
      </c>
    </row>
    <row r="780" spans="1:14" ht="75" x14ac:dyDescent="0.25">
      <c r="A780" s="31" t="s">
        <v>3238</v>
      </c>
      <c r="B780" s="32" t="s">
        <v>2065</v>
      </c>
      <c r="C780" s="31" t="b">
        <v>1</v>
      </c>
      <c r="D780" s="31">
        <v>4</v>
      </c>
      <c r="E780" s="35" t="s">
        <v>3553</v>
      </c>
      <c r="F780" s="31" t="s">
        <v>3443</v>
      </c>
      <c r="G780" s="31" t="s">
        <v>3665</v>
      </c>
      <c r="H780" s="31" t="s">
        <v>3666</v>
      </c>
      <c r="I780" s="31" t="s">
        <v>3842</v>
      </c>
      <c r="J780" s="37" t="s">
        <v>4047</v>
      </c>
      <c r="K780" s="31" t="s">
        <v>2328</v>
      </c>
      <c r="L780" s="31" t="s">
        <v>456</v>
      </c>
      <c r="M780" s="31" t="s">
        <v>2232</v>
      </c>
      <c r="N780" s="31" t="s">
        <v>2328</v>
      </c>
    </row>
    <row r="781" spans="1:14" ht="75" x14ac:dyDescent="0.25">
      <c r="A781" s="31" t="s">
        <v>3239</v>
      </c>
      <c r="B781" s="32" t="s">
        <v>2067</v>
      </c>
      <c r="C781" s="31" t="b">
        <v>0</v>
      </c>
      <c r="D781" s="31">
        <v>4</v>
      </c>
      <c r="E781" s="35" t="s">
        <v>2068</v>
      </c>
      <c r="F781" s="31" t="s">
        <v>131</v>
      </c>
      <c r="G781" s="31" t="s">
        <v>3665</v>
      </c>
      <c r="H781" s="31" t="s">
        <v>3666</v>
      </c>
      <c r="I781" s="31" t="s">
        <v>3842</v>
      </c>
      <c r="J781" s="37" t="s">
        <v>4047</v>
      </c>
      <c r="K781" s="31" t="s">
        <v>2328</v>
      </c>
      <c r="L781" s="31" t="s">
        <v>456</v>
      </c>
      <c r="M781" s="31" t="s">
        <v>2232</v>
      </c>
      <c r="N781" s="31" t="s">
        <v>2328</v>
      </c>
    </row>
    <row r="782" spans="1:14" ht="75" x14ac:dyDescent="0.25">
      <c r="A782" s="31" t="s">
        <v>3240</v>
      </c>
      <c r="B782" s="32" t="s">
        <v>2069</v>
      </c>
      <c r="C782" s="31" t="b">
        <v>0</v>
      </c>
      <c r="D782" s="31">
        <v>4</v>
      </c>
      <c r="E782" s="35" t="s">
        <v>2070</v>
      </c>
      <c r="F782" s="31" t="s">
        <v>131</v>
      </c>
      <c r="G782" s="31" t="s">
        <v>3665</v>
      </c>
      <c r="H782" s="31" t="s">
        <v>3666</v>
      </c>
      <c r="I782" s="31" t="s">
        <v>3842</v>
      </c>
      <c r="J782" s="37" t="s">
        <v>4047</v>
      </c>
      <c r="K782" s="31" t="s">
        <v>2328</v>
      </c>
      <c r="L782" s="31" t="s">
        <v>456</v>
      </c>
      <c r="M782" s="31" t="s">
        <v>2232</v>
      </c>
      <c r="N782" s="31" t="s">
        <v>2328</v>
      </c>
    </row>
    <row r="783" spans="1:14" ht="75" x14ac:dyDescent="0.25">
      <c r="A783" s="31" t="s">
        <v>3241</v>
      </c>
      <c r="B783" s="32" t="s">
        <v>2071</v>
      </c>
      <c r="C783" s="31" t="b">
        <v>0</v>
      </c>
      <c r="D783" s="31">
        <v>4</v>
      </c>
      <c r="E783" s="35" t="s">
        <v>2072</v>
      </c>
      <c r="F783" s="31" t="s">
        <v>131</v>
      </c>
      <c r="G783" s="31" t="s">
        <v>3665</v>
      </c>
      <c r="H783" s="31" t="s">
        <v>3666</v>
      </c>
      <c r="I783" s="31" t="s">
        <v>3842</v>
      </c>
      <c r="J783" s="37" t="s">
        <v>4047</v>
      </c>
      <c r="K783" s="31" t="s">
        <v>2328</v>
      </c>
      <c r="L783" s="31" t="s">
        <v>456</v>
      </c>
      <c r="M783" s="31" t="s">
        <v>2232</v>
      </c>
      <c r="N783" s="31" t="s">
        <v>2328</v>
      </c>
    </row>
    <row r="784" spans="1:14" ht="75" x14ac:dyDescent="0.25">
      <c r="A784" s="31" t="s">
        <v>3242</v>
      </c>
      <c r="B784" s="32" t="s">
        <v>2073</v>
      </c>
      <c r="C784" s="31" t="b">
        <v>1</v>
      </c>
      <c r="D784" s="31">
        <v>4</v>
      </c>
      <c r="E784" s="35" t="s">
        <v>3554</v>
      </c>
      <c r="F784" s="31" t="s">
        <v>3443</v>
      </c>
      <c r="G784" s="31" t="s">
        <v>3665</v>
      </c>
      <c r="H784" s="31" t="s">
        <v>3666</v>
      </c>
      <c r="I784" s="31" t="s">
        <v>3842</v>
      </c>
      <c r="J784" s="37" t="s">
        <v>4047</v>
      </c>
      <c r="K784" s="31" t="s">
        <v>2328</v>
      </c>
      <c r="L784" s="31" t="s">
        <v>458</v>
      </c>
      <c r="M784" s="31" t="s">
        <v>2232</v>
      </c>
      <c r="N784" s="31" t="s">
        <v>2328</v>
      </c>
    </row>
    <row r="785" spans="1:14" ht="75" x14ac:dyDescent="0.25">
      <c r="A785" s="31" t="s">
        <v>3243</v>
      </c>
      <c r="B785" s="32" t="s">
        <v>2075</v>
      </c>
      <c r="C785" s="31" t="b">
        <v>0</v>
      </c>
      <c r="D785" s="31">
        <v>4</v>
      </c>
      <c r="E785" s="35" t="s">
        <v>2076</v>
      </c>
      <c r="F785" s="31" t="s">
        <v>131</v>
      </c>
      <c r="G785" s="31" t="s">
        <v>3665</v>
      </c>
      <c r="H785" s="31" t="s">
        <v>3666</v>
      </c>
      <c r="I785" s="31" t="s">
        <v>3842</v>
      </c>
      <c r="J785" s="37" t="s">
        <v>4047</v>
      </c>
      <c r="K785" s="31" t="s">
        <v>2328</v>
      </c>
      <c r="L785" s="31" t="s">
        <v>458</v>
      </c>
      <c r="M785" s="31" t="s">
        <v>2232</v>
      </c>
      <c r="N785" s="31" t="s">
        <v>2328</v>
      </c>
    </row>
    <row r="786" spans="1:14" ht="75" x14ac:dyDescent="0.25">
      <c r="A786" s="31" t="s">
        <v>3244</v>
      </c>
      <c r="B786" s="32" t="s">
        <v>2077</v>
      </c>
      <c r="C786" s="31" t="b">
        <v>0</v>
      </c>
      <c r="D786" s="31">
        <v>4</v>
      </c>
      <c r="E786" s="35" t="s">
        <v>51</v>
      </c>
      <c r="F786" s="31" t="s">
        <v>131</v>
      </c>
      <c r="G786" s="31" t="s">
        <v>3665</v>
      </c>
      <c r="H786" s="31" t="s">
        <v>3666</v>
      </c>
      <c r="I786" s="31" t="s">
        <v>3842</v>
      </c>
      <c r="J786" s="37" t="s">
        <v>4047</v>
      </c>
      <c r="K786" s="31" t="s">
        <v>2328</v>
      </c>
      <c r="L786" s="31" t="s">
        <v>458</v>
      </c>
      <c r="M786" s="31" t="s">
        <v>2232</v>
      </c>
      <c r="N786" s="31" t="s">
        <v>2328</v>
      </c>
    </row>
    <row r="787" spans="1:14" ht="75" x14ac:dyDescent="0.25">
      <c r="A787" s="31" t="s">
        <v>3245</v>
      </c>
      <c r="B787" s="32" t="s">
        <v>2078</v>
      </c>
      <c r="C787" s="31" t="b">
        <v>0</v>
      </c>
      <c r="D787" s="31">
        <v>4</v>
      </c>
      <c r="E787" s="35" t="s">
        <v>50</v>
      </c>
      <c r="F787" s="31" t="s">
        <v>131</v>
      </c>
      <c r="G787" s="31" t="s">
        <v>3665</v>
      </c>
      <c r="H787" s="31" t="s">
        <v>3666</v>
      </c>
      <c r="I787" s="31" t="s">
        <v>3842</v>
      </c>
      <c r="J787" s="37" t="s">
        <v>4047</v>
      </c>
      <c r="K787" s="31" t="s">
        <v>2328</v>
      </c>
      <c r="L787" s="31" t="s">
        <v>458</v>
      </c>
      <c r="M787" s="31" t="s">
        <v>2232</v>
      </c>
      <c r="N787" s="31" t="s">
        <v>2328</v>
      </c>
    </row>
    <row r="788" spans="1:14" ht="75" x14ac:dyDescent="0.25">
      <c r="A788" s="31" t="s">
        <v>3246</v>
      </c>
      <c r="B788" s="32" t="s">
        <v>2079</v>
      </c>
      <c r="C788" s="31" t="b">
        <v>0</v>
      </c>
      <c r="D788" s="31">
        <v>4</v>
      </c>
      <c r="E788" s="35" t="s">
        <v>49</v>
      </c>
      <c r="F788" s="31" t="s">
        <v>131</v>
      </c>
      <c r="G788" s="31" t="s">
        <v>3665</v>
      </c>
      <c r="H788" s="31" t="s">
        <v>3666</v>
      </c>
      <c r="I788" s="31" t="s">
        <v>3842</v>
      </c>
      <c r="J788" s="37" t="s">
        <v>4047</v>
      </c>
      <c r="K788" s="31" t="s">
        <v>2328</v>
      </c>
      <c r="L788" s="31" t="s">
        <v>458</v>
      </c>
      <c r="M788" s="31" t="s">
        <v>2232</v>
      </c>
      <c r="N788" s="31" t="s">
        <v>2328</v>
      </c>
    </row>
    <row r="789" spans="1:14" ht="75" x14ac:dyDescent="0.25">
      <c r="A789" s="31" t="s">
        <v>3247</v>
      </c>
      <c r="B789" s="32" t="s">
        <v>2080</v>
      </c>
      <c r="C789" s="31" t="b">
        <v>0</v>
      </c>
      <c r="D789" s="31">
        <v>4</v>
      </c>
      <c r="E789" s="35" t="s">
        <v>48</v>
      </c>
      <c r="F789" s="31" t="s">
        <v>131</v>
      </c>
      <c r="G789" s="31" t="s">
        <v>3665</v>
      </c>
      <c r="H789" s="31" t="s">
        <v>3666</v>
      </c>
      <c r="I789" s="31" t="s">
        <v>3842</v>
      </c>
      <c r="J789" s="37" t="s">
        <v>4047</v>
      </c>
      <c r="K789" s="31" t="s">
        <v>2328</v>
      </c>
      <c r="L789" s="31" t="s">
        <v>458</v>
      </c>
      <c r="M789" s="31" t="s">
        <v>2232</v>
      </c>
      <c r="N789" s="31" t="s">
        <v>2328</v>
      </c>
    </row>
    <row r="790" spans="1:14" ht="75" x14ac:dyDescent="0.25">
      <c r="A790" s="31" t="s">
        <v>3248</v>
      </c>
      <c r="B790" s="32" t="s">
        <v>2081</v>
      </c>
      <c r="C790" s="31" t="b">
        <v>0</v>
      </c>
      <c r="D790" s="31">
        <v>4</v>
      </c>
      <c r="E790" s="35" t="s">
        <v>47</v>
      </c>
      <c r="F790" s="31" t="s">
        <v>131</v>
      </c>
      <c r="G790" s="31" t="s">
        <v>3665</v>
      </c>
      <c r="H790" s="31" t="s">
        <v>3666</v>
      </c>
      <c r="I790" s="31" t="s">
        <v>3842</v>
      </c>
      <c r="J790" s="37" t="s">
        <v>4047</v>
      </c>
      <c r="K790" s="31" t="s">
        <v>2328</v>
      </c>
      <c r="L790" s="31" t="s">
        <v>458</v>
      </c>
      <c r="M790" s="31" t="s">
        <v>2232</v>
      </c>
      <c r="N790" s="31" t="s">
        <v>2328</v>
      </c>
    </row>
    <row r="791" spans="1:14" ht="75" x14ac:dyDescent="0.25">
      <c r="A791" s="31" t="s">
        <v>3249</v>
      </c>
      <c r="B791" s="32" t="s">
        <v>2082</v>
      </c>
      <c r="C791" s="31" t="b">
        <v>0</v>
      </c>
      <c r="D791" s="31">
        <v>4</v>
      </c>
      <c r="E791" s="35" t="s">
        <v>46</v>
      </c>
      <c r="F791" s="31" t="s">
        <v>131</v>
      </c>
      <c r="G791" s="31" t="s">
        <v>3665</v>
      </c>
      <c r="H791" s="31" t="s">
        <v>3666</v>
      </c>
      <c r="I791" s="31" t="s">
        <v>3842</v>
      </c>
      <c r="J791" s="37" t="s">
        <v>4047</v>
      </c>
      <c r="K791" s="31" t="s">
        <v>2328</v>
      </c>
      <c r="L791" s="31" t="s">
        <v>458</v>
      </c>
      <c r="M791" s="31" t="s">
        <v>2232</v>
      </c>
      <c r="N791" s="31" t="s">
        <v>2328</v>
      </c>
    </row>
    <row r="792" spans="1:14" ht="75" x14ac:dyDescent="0.25">
      <c r="A792" s="31" t="s">
        <v>2328</v>
      </c>
      <c r="B792" s="32" t="s">
        <v>2083</v>
      </c>
      <c r="C792" s="31" t="b">
        <v>1</v>
      </c>
      <c r="D792" s="31">
        <v>2</v>
      </c>
      <c r="E792" s="34" t="s">
        <v>2377</v>
      </c>
      <c r="F792" s="31" t="s">
        <v>3443</v>
      </c>
      <c r="G792" s="31" t="s">
        <v>3665</v>
      </c>
      <c r="H792" s="31" t="s">
        <v>3666</v>
      </c>
      <c r="I792" s="31" t="s">
        <v>3842</v>
      </c>
      <c r="J792" s="37" t="s">
        <v>4047</v>
      </c>
      <c r="K792" s="31" t="s">
        <v>2328</v>
      </c>
      <c r="L792" s="31" t="s">
        <v>460</v>
      </c>
      <c r="M792" s="31" t="s">
        <v>2232</v>
      </c>
      <c r="N792" s="31" t="s">
        <v>2328</v>
      </c>
    </row>
    <row r="793" spans="1:14" ht="75" x14ac:dyDescent="0.25">
      <c r="A793" s="31" t="s">
        <v>2328</v>
      </c>
      <c r="B793" s="32" t="s">
        <v>2084</v>
      </c>
      <c r="C793" s="31" t="b">
        <v>0</v>
      </c>
      <c r="D793" s="31">
        <v>4</v>
      </c>
      <c r="E793" s="35" t="s">
        <v>2086</v>
      </c>
      <c r="F793" s="31" t="s">
        <v>139</v>
      </c>
      <c r="G793" s="31" t="s">
        <v>3665</v>
      </c>
      <c r="H793" s="31" t="s">
        <v>3666</v>
      </c>
      <c r="I793" s="31" t="s">
        <v>3842</v>
      </c>
      <c r="J793" s="37" t="s">
        <v>4047</v>
      </c>
      <c r="K793" s="31" t="s">
        <v>2328</v>
      </c>
      <c r="L793" s="31" t="s">
        <v>460</v>
      </c>
      <c r="M793" s="31" t="s">
        <v>2232</v>
      </c>
      <c r="N793" s="31" t="s">
        <v>2328</v>
      </c>
    </row>
    <row r="794" spans="1:14" ht="75" x14ac:dyDescent="0.25">
      <c r="A794" s="31" t="s">
        <v>2328</v>
      </c>
      <c r="B794" s="32" t="s">
        <v>2087</v>
      </c>
      <c r="C794" s="31" t="b">
        <v>1</v>
      </c>
      <c r="D794" s="31">
        <v>4</v>
      </c>
      <c r="E794" s="35" t="s">
        <v>3555</v>
      </c>
      <c r="F794" s="31" t="s">
        <v>3443</v>
      </c>
      <c r="G794" s="31" t="s">
        <v>3665</v>
      </c>
      <c r="H794" s="31" t="s">
        <v>3666</v>
      </c>
      <c r="I794" s="31" t="s">
        <v>3842</v>
      </c>
      <c r="J794" s="37" t="s">
        <v>4047</v>
      </c>
      <c r="K794" s="31" t="s">
        <v>2328</v>
      </c>
      <c r="L794" s="31" t="s">
        <v>460</v>
      </c>
      <c r="M794" s="31" t="s">
        <v>2232</v>
      </c>
      <c r="N794" s="31" t="s">
        <v>2328</v>
      </c>
    </row>
    <row r="795" spans="1:14" ht="75" x14ac:dyDescent="0.25">
      <c r="A795" s="31" t="s">
        <v>2328</v>
      </c>
      <c r="B795" s="32" t="s">
        <v>3521</v>
      </c>
      <c r="C795" s="31" t="b">
        <v>0</v>
      </c>
      <c r="D795" s="31">
        <v>6</v>
      </c>
      <c r="E795" s="38" t="s">
        <v>3520</v>
      </c>
      <c r="F795" s="31" t="s">
        <v>139</v>
      </c>
      <c r="G795" s="31" t="s">
        <v>3665</v>
      </c>
      <c r="H795" s="31" t="s">
        <v>3666</v>
      </c>
      <c r="I795" s="31" t="s">
        <v>3842</v>
      </c>
      <c r="J795" s="37" t="s">
        <v>4047</v>
      </c>
      <c r="K795" s="31" t="s">
        <v>2328</v>
      </c>
      <c r="L795" s="31" t="s">
        <v>2328</v>
      </c>
      <c r="M795" s="31" t="s">
        <v>2232</v>
      </c>
      <c r="N795" s="31" t="s">
        <v>2328</v>
      </c>
    </row>
    <row r="796" spans="1:14" ht="75" x14ac:dyDescent="0.25">
      <c r="A796" s="31" t="s">
        <v>3250</v>
      </c>
      <c r="B796" s="32" t="s">
        <v>2088</v>
      </c>
      <c r="C796" s="31" t="b">
        <v>0</v>
      </c>
      <c r="D796" s="31">
        <v>6</v>
      </c>
      <c r="E796" s="38" t="s">
        <v>2089</v>
      </c>
      <c r="F796" s="31" t="s">
        <v>131</v>
      </c>
      <c r="G796" s="31" t="s">
        <v>3665</v>
      </c>
      <c r="H796" s="31" t="s">
        <v>3666</v>
      </c>
      <c r="I796" s="31" t="s">
        <v>3842</v>
      </c>
      <c r="J796" s="37" t="s">
        <v>4047</v>
      </c>
      <c r="K796" s="31" t="s">
        <v>2328</v>
      </c>
      <c r="L796" s="31" t="s">
        <v>460</v>
      </c>
      <c r="M796" s="31" t="s">
        <v>2232</v>
      </c>
      <c r="N796" s="31" t="s">
        <v>2328</v>
      </c>
    </row>
    <row r="797" spans="1:14" ht="75" x14ac:dyDescent="0.25">
      <c r="A797" s="31" t="s">
        <v>2328</v>
      </c>
      <c r="B797" s="32" t="s">
        <v>2090</v>
      </c>
      <c r="C797" s="31" t="b">
        <v>1</v>
      </c>
      <c r="D797" s="31">
        <v>4</v>
      </c>
      <c r="E797" s="35" t="s">
        <v>3378</v>
      </c>
      <c r="F797" s="31" t="s">
        <v>3443</v>
      </c>
      <c r="G797" s="31" t="s">
        <v>3665</v>
      </c>
      <c r="H797" s="31" t="s">
        <v>3666</v>
      </c>
      <c r="I797" s="31" t="s">
        <v>3842</v>
      </c>
      <c r="J797" s="37" t="s">
        <v>4047</v>
      </c>
      <c r="K797" s="31" t="s">
        <v>2328</v>
      </c>
      <c r="L797" s="31" t="s">
        <v>460</v>
      </c>
      <c r="M797" s="31" t="s">
        <v>2232</v>
      </c>
      <c r="N797" s="31" t="s">
        <v>2328</v>
      </c>
    </row>
    <row r="798" spans="1:14" ht="75" x14ac:dyDescent="0.25">
      <c r="A798" s="31" t="s">
        <v>3251</v>
      </c>
      <c r="B798" s="32" t="s">
        <v>2092</v>
      </c>
      <c r="C798" s="31" t="b">
        <v>0</v>
      </c>
      <c r="D798" s="31">
        <v>6</v>
      </c>
      <c r="E798" s="38" t="s">
        <v>2093</v>
      </c>
      <c r="F798" s="31" t="s">
        <v>131</v>
      </c>
      <c r="G798" s="31" t="s">
        <v>3665</v>
      </c>
      <c r="H798" s="31" t="s">
        <v>3666</v>
      </c>
      <c r="I798" s="31" t="s">
        <v>3842</v>
      </c>
      <c r="J798" s="37" t="s">
        <v>4047</v>
      </c>
      <c r="K798" s="31" t="s">
        <v>2328</v>
      </c>
      <c r="L798" s="31" t="s">
        <v>460</v>
      </c>
      <c r="M798" s="31" t="s">
        <v>2232</v>
      </c>
      <c r="N798" s="31" t="s">
        <v>2328</v>
      </c>
    </row>
    <row r="799" spans="1:14" ht="75" x14ac:dyDescent="0.25">
      <c r="A799" s="31" t="s">
        <v>2328</v>
      </c>
      <c r="B799" s="32" t="s">
        <v>2094</v>
      </c>
      <c r="C799" s="31" t="b">
        <v>1</v>
      </c>
      <c r="D799" s="31">
        <v>4</v>
      </c>
      <c r="E799" s="35" t="s">
        <v>3556</v>
      </c>
      <c r="F799" s="31" t="s">
        <v>3443</v>
      </c>
      <c r="G799" s="31" t="s">
        <v>3665</v>
      </c>
      <c r="H799" s="31" t="s">
        <v>3666</v>
      </c>
      <c r="I799" s="31" t="s">
        <v>3842</v>
      </c>
      <c r="J799" s="37" t="s">
        <v>4047</v>
      </c>
      <c r="K799" s="31" t="s">
        <v>2328</v>
      </c>
      <c r="L799" s="31" t="s">
        <v>460</v>
      </c>
      <c r="M799" s="31" t="s">
        <v>2232</v>
      </c>
      <c r="N799" s="31" t="s">
        <v>2328</v>
      </c>
    </row>
    <row r="800" spans="1:14" ht="90" x14ac:dyDescent="0.25">
      <c r="A800" s="31" t="s">
        <v>2328</v>
      </c>
      <c r="B800" s="32" t="s">
        <v>3525</v>
      </c>
      <c r="C800" s="31" t="b">
        <v>0</v>
      </c>
      <c r="D800" s="31">
        <v>6</v>
      </c>
      <c r="E800" s="38" t="s">
        <v>3524</v>
      </c>
      <c r="F800" s="31" t="s">
        <v>139</v>
      </c>
      <c r="G800" s="31" t="s">
        <v>3665</v>
      </c>
      <c r="H800" s="31" t="s">
        <v>3666</v>
      </c>
      <c r="I800" s="31" t="s">
        <v>3842</v>
      </c>
      <c r="J800" s="37" t="s">
        <v>4047</v>
      </c>
      <c r="K800" s="31" t="s">
        <v>2328</v>
      </c>
      <c r="L800" s="31" t="s">
        <v>2328</v>
      </c>
      <c r="M800" s="31" t="s">
        <v>2232</v>
      </c>
      <c r="N800" s="31" t="s">
        <v>2328</v>
      </c>
    </row>
    <row r="801" spans="1:14" ht="75" x14ac:dyDescent="0.25">
      <c r="A801" s="31" t="s">
        <v>3252</v>
      </c>
      <c r="B801" s="32" t="s">
        <v>2095</v>
      </c>
      <c r="C801" s="31" t="b">
        <v>0</v>
      </c>
      <c r="D801" s="31">
        <v>6</v>
      </c>
      <c r="E801" s="38" t="s">
        <v>2096</v>
      </c>
      <c r="F801" s="31" t="s">
        <v>131</v>
      </c>
      <c r="G801" s="31" t="s">
        <v>3665</v>
      </c>
      <c r="H801" s="31" t="s">
        <v>3666</v>
      </c>
      <c r="I801" s="31" t="s">
        <v>3842</v>
      </c>
      <c r="J801" s="37" t="s">
        <v>4047</v>
      </c>
      <c r="K801" s="31" t="s">
        <v>2328</v>
      </c>
      <c r="L801" s="31" t="s">
        <v>460</v>
      </c>
      <c r="M801" s="31" t="s">
        <v>2232</v>
      </c>
      <c r="N801" s="31" t="s">
        <v>2328</v>
      </c>
    </row>
    <row r="802" spans="1:14" ht="75" x14ac:dyDescent="0.25">
      <c r="A802" s="31" t="s">
        <v>2328</v>
      </c>
      <c r="B802" s="32" t="s">
        <v>2097</v>
      </c>
      <c r="C802" s="31" t="b">
        <v>0</v>
      </c>
      <c r="D802" s="31">
        <v>6</v>
      </c>
      <c r="E802" s="38" t="s">
        <v>2098</v>
      </c>
      <c r="F802" s="31" t="s">
        <v>139</v>
      </c>
      <c r="G802" s="31" t="s">
        <v>3665</v>
      </c>
      <c r="H802" s="31" t="s">
        <v>3666</v>
      </c>
      <c r="I802" s="31" t="s">
        <v>3842</v>
      </c>
      <c r="J802" s="37" t="s">
        <v>4047</v>
      </c>
      <c r="K802" s="31" t="s">
        <v>2328</v>
      </c>
      <c r="L802" s="31" t="s">
        <v>460</v>
      </c>
      <c r="M802" s="31" t="s">
        <v>2232</v>
      </c>
      <c r="N802" s="31" t="s">
        <v>2328</v>
      </c>
    </row>
    <row r="803" spans="1:14" ht="75" x14ac:dyDescent="0.25">
      <c r="A803" s="31" t="s">
        <v>3253</v>
      </c>
      <c r="B803" s="32" t="s">
        <v>2099</v>
      </c>
      <c r="C803" s="31" t="b">
        <v>0</v>
      </c>
      <c r="D803" s="31">
        <v>6</v>
      </c>
      <c r="E803" s="38" t="s">
        <v>2313</v>
      </c>
      <c r="F803" s="31" t="s">
        <v>131</v>
      </c>
      <c r="G803" s="31" t="s">
        <v>3665</v>
      </c>
      <c r="H803" s="31" t="s">
        <v>3666</v>
      </c>
      <c r="I803" s="31" t="s">
        <v>3842</v>
      </c>
      <c r="J803" s="37" t="s">
        <v>4047</v>
      </c>
      <c r="K803" s="31" t="s">
        <v>2328</v>
      </c>
      <c r="L803" s="31" t="s">
        <v>460</v>
      </c>
      <c r="M803" s="31" t="s">
        <v>2232</v>
      </c>
      <c r="N803" s="31" t="s">
        <v>2328</v>
      </c>
    </row>
    <row r="804" spans="1:14" ht="105" x14ac:dyDescent="0.25">
      <c r="A804" s="31" t="s">
        <v>3254</v>
      </c>
      <c r="B804" s="32" t="s">
        <v>2100</v>
      </c>
      <c r="C804" s="31" t="b">
        <v>0</v>
      </c>
      <c r="D804" s="31">
        <v>6</v>
      </c>
      <c r="E804" s="38" t="s">
        <v>2314</v>
      </c>
      <c r="F804" s="31" t="s">
        <v>131</v>
      </c>
      <c r="G804" s="31" t="s">
        <v>3665</v>
      </c>
      <c r="H804" s="31" t="s">
        <v>3666</v>
      </c>
      <c r="I804" s="31" t="s">
        <v>3842</v>
      </c>
      <c r="J804" s="37" t="s">
        <v>4047</v>
      </c>
      <c r="K804" s="31" t="s">
        <v>2328</v>
      </c>
      <c r="L804" s="31" t="s">
        <v>460</v>
      </c>
      <c r="M804" s="31" t="s">
        <v>2232</v>
      </c>
      <c r="N804" s="31" t="s">
        <v>2328</v>
      </c>
    </row>
    <row r="805" spans="1:14" ht="105" x14ac:dyDescent="0.25">
      <c r="A805" s="31" t="s">
        <v>3255</v>
      </c>
      <c r="B805" s="32" t="s">
        <v>2101</v>
      </c>
      <c r="C805" s="31" t="b">
        <v>0</v>
      </c>
      <c r="D805" s="31">
        <v>6</v>
      </c>
      <c r="E805" s="38" t="s">
        <v>2408</v>
      </c>
      <c r="F805" s="31" t="s">
        <v>131</v>
      </c>
      <c r="G805" s="31" t="s">
        <v>3665</v>
      </c>
      <c r="H805" s="31" t="s">
        <v>3666</v>
      </c>
      <c r="I805" s="31" t="s">
        <v>3842</v>
      </c>
      <c r="J805" s="37" t="s">
        <v>4047</v>
      </c>
      <c r="K805" s="31" t="s">
        <v>2328</v>
      </c>
      <c r="L805" s="31" t="s">
        <v>460</v>
      </c>
      <c r="M805" s="31" t="s">
        <v>2232</v>
      </c>
      <c r="N805" s="31" t="s">
        <v>2328</v>
      </c>
    </row>
    <row r="806" spans="1:14" ht="75" x14ac:dyDescent="0.25">
      <c r="A806" s="31" t="s">
        <v>3256</v>
      </c>
      <c r="B806" s="32" t="s">
        <v>2102</v>
      </c>
      <c r="C806" s="31" t="b">
        <v>0</v>
      </c>
      <c r="D806" s="31">
        <v>6</v>
      </c>
      <c r="E806" s="38" t="s">
        <v>2103</v>
      </c>
      <c r="F806" s="31" t="s">
        <v>131</v>
      </c>
      <c r="G806" s="31" t="s">
        <v>3665</v>
      </c>
      <c r="H806" s="31" t="s">
        <v>3666</v>
      </c>
      <c r="I806" s="31" t="s">
        <v>3842</v>
      </c>
      <c r="J806" s="37" t="s">
        <v>4047</v>
      </c>
      <c r="K806" s="31" t="s">
        <v>2328</v>
      </c>
      <c r="L806" s="31" t="s">
        <v>460</v>
      </c>
      <c r="M806" s="31" t="s">
        <v>2232</v>
      </c>
      <c r="N806" s="31" t="s">
        <v>2328</v>
      </c>
    </row>
    <row r="807" spans="1:14" ht="75" x14ac:dyDescent="0.25">
      <c r="A807" s="31" t="s">
        <v>2328</v>
      </c>
      <c r="B807" s="32" t="s">
        <v>2104</v>
      </c>
      <c r="C807" s="31" t="b">
        <v>1</v>
      </c>
      <c r="D807" s="31">
        <v>4</v>
      </c>
      <c r="E807" s="35" t="s">
        <v>3379</v>
      </c>
      <c r="F807" s="31" t="s">
        <v>3443</v>
      </c>
      <c r="G807" s="31" t="s">
        <v>3665</v>
      </c>
      <c r="H807" s="31" t="s">
        <v>3666</v>
      </c>
      <c r="I807" s="31" t="s">
        <v>3842</v>
      </c>
      <c r="J807" s="37" t="s">
        <v>4047</v>
      </c>
      <c r="K807" s="31" t="s">
        <v>2328</v>
      </c>
      <c r="L807" s="31" t="s">
        <v>460</v>
      </c>
      <c r="M807" s="31" t="s">
        <v>2232</v>
      </c>
      <c r="N807" s="31" t="s">
        <v>2328</v>
      </c>
    </row>
    <row r="808" spans="1:14" ht="75" x14ac:dyDescent="0.25">
      <c r="A808" s="31" t="s">
        <v>3257</v>
      </c>
      <c r="B808" s="32" t="s">
        <v>2106</v>
      </c>
      <c r="C808" s="31" t="b">
        <v>0</v>
      </c>
      <c r="D808" s="31">
        <v>6</v>
      </c>
      <c r="E808" s="38" t="s">
        <v>2315</v>
      </c>
      <c r="F808" s="31" t="s">
        <v>131</v>
      </c>
      <c r="G808" s="31" t="s">
        <v>3665</v>
      </c>
      <c r="H808" s="31" t="s">
        <v>3666</v>
      </c>
      <c r="I808" s="31" t="s">
        <v>3842</v>
      </c>
      <c r="J808" s="37" t="s">
        <v>4047</v>
      </c>
      <c r="K808" s="31" t="s">
        <v>2328</v>
      </c>
      <c r="L808" s="31" t="s">
        <v>460</v>
      </c>
      <c r="M808" s="31" t="s">
        <v>2232</v>
      </c>
      <c r="N808" s="31" t="s">
        <v>2328</v>
      </c>
    </row>
    <row r="809" spans="1:14" ht="75" x14ac:dyDescent="0.25">
      <c r="A809" s="31" t="s">
        <v>2328</v>
      </c>
      <c r="B809" s="32" t="s">
        <v>2107</v>
      </c>
      <c r="C809" s="31" t="b">
        <v>1</v>
      </c>
      <c r="D809" s="31">
        <v>4</v>
      </c>
      <c r="E809" s="35" t="s">
        <v>3557</v>
      </c>
      <c r="F809" s="31" t="s">
        <v>3443</v>
      </c>
      <c r="G809" s="31" t="s">
        <v>3665</v>
      </c>
      <c r="H809" s="31" t="s">
        <v>3666</v>
      </c>
      <c r="I809" s="31" t="s">
        <v>3842</v>
      </c>
      <c r="J809" s="37" t="s">
        <v>4047</v>
      </c>
      <c r="K809" s="31" t="s">
        <v>2328</v>
      </c>
      <c r="L809" s="31" t="s">
        <v>460</v>
      </c>
      <c r="M809" s="31" t="s">
        <v>2232</v>
      </c>
      <c r="N809" s="31" t="s">
        <v>2328</v>
      </c>
    </row>
    <row r="810" spans="1:14" ht="75" x14ac:dyDescent="0.25">
      <c r="A810" s="31" t="s">
        <v>2328</v>
      </c>
      <c r="B810" s="32" t="s">
        <v>3529</v>
      </c>
      <c r="C810" s="31" t="b">
        <v>0</v>
      </c>
      <c r="D810" s="31">
        <v>6</v>
      </c>
      <c r="E810" s="38" t="s">
        <v>3528</v>
      </c>
      <c r="F810" s="31" t="s">
        <v>139</v>
      </c>
      <c r="G810" s="31" t="s">
        <v>3665</v>
      </c>
      <c r="H810" s="31" t="s">
        <v>3666</v>
      </c>
      <c r="I810" s="31" t="s">
        <v>3842</v>
      </c>
      <c r="J810" s="37" t="s">
        <v>4047</v>
      </c>
      <c r="K810" s="31" t="s">
        <v>2328</v>
      </c>
      <c r="L810" s="31" t="s">
        <v>2328</v>
      </c>
      <c r="M810" s="31" t="s">
        <v>2232</v>
      </c>
      <c r="N810" s="31" t="s">
        <v>2328</v>
      </c>
    </row>
    <row r="811" spans="1:14" ht="75" x14ac:dyDescent="0.25">
      <c r="A811" s="31" t="s">
        <v>3258</v>
      </c>
      <c r="B811" s="32" t="s">
        <v>2108</v>
      </c>
      <c r="C811" s="31" t="b">
        <v>0</v>
      </c>
      <c r="D811" s="31">
        <v>6</v>
      </c>
      <c r="E811" s="38" t="s">
        <v>2109</v>
      </c>
      <c r="F811" s="31" t="s">
        <v>131</v>
      </c>
      <c r="G811" s="31" t="s">
        <v>3665</v>
      </c>
      <c r="H811" s="31" t="s">
        <v>3666</v>
      </c>
      <c r="I811" s="31" t="s">
        <v>3842</v>
      </c>
      <c r="J811" s="37" t="s">
        <v>4047</v>
      </c>
      <c r="K811" s="31" t="s">
        <v>2328</v>
      </c>
      <c r="L811" s="31" t="s">
        <v>460</v>
      </c>
      <c r="M811" s="31" t="s">
        <v>2232</v>
      </c>
      <c r="N811" s="31" t="s">
        <v>2328</v>
      </c>
    </row>
    <row r="812" spans="1:14" ht="75" x14ac:dyDescent="0.25">
      <c r="A812" s="31" t="s">
        <v>2328</v>
      </c>
      <c r="B812" s="32" t="s">
        <v>2110</v>
      </c>
      <c r="C812" s="31" t="b">
        <v>0</v>
      </c>
      <c r="D812" s="31">
        <v>6</v>
      </c>
      <c r="E812" s="38" t="s">
        <v>2111</v>
      </c>
      <c r="F812" s="31" t="s">
        <v>139</v>
      </c>
      <c r="G812" s="31" t="s">
        <v>3665</v>
      </c>
      <c r="H812" s="31" t="s">
        <v>3666</v>
      </c>
      <c r="I812" s="31" t="s">
        <v>3842</v>
      </c>
      <c r="J812" s="37" t="s">
        <v>4047</v>
      </c>
      <c r="K812" s="31" t="s">
        <v>2328</v>
      </c>
      <c r="L812" s="31" t="s">
        <v>460</v>
      </c>
      <c r="M812" s="31" t="s">
        <v>2232</v>
      </c>
      <c r="N812" s="31" t="s">
        <v>2328</v>
      </c>
    </row>
    <row r="813" spans="1:14" ht="75" x14ac:dyDescent="0.25">
      <c r="A813" s="31" t="s">
        <v>3259</v>
      </c>
      <c r="B813" s="32" t="s">
        <v>2112</v>
      </c>
      <c r="C813" s="31" t="b">
        <v>0</v>
      </c>
      <c r="D813" s="31">
        <v>6</v>
      </c>
      <c r="E813" s="38" t="s">
        <v>2316</v>
      </c>
      <c r="F813" s="31" t="s">
        <v>131</v>
      </c>
      <c r="G813" s="31" t="s">
        <v>3665</v>
      </c>
      <c r="H813" s="31" t="s">
        <v>3666</v>
      </c>
      <c r="I813" s="31" t="s">
        <v>3842</v>
      </c>
      <c r="J813" s="37" t="s">
        <v>4047</v>
      </c>
      <c r="K813" s="31" t="s">
        <v>2328</v>
      </c>
      <c r="L813" s="31" t="s">
        <v>460</v>
      </c>
      <c r="M813" s="31" t="s">
        <v>2232</v>
      </c>
      <c r="N813" s="31" t="s">
        <v>2328</v>
      </c>
    </row>
    <row r="814" spans="1:14" ht="75" x14ac:dyDescent="0.25">
      <c r="A814" s="31" t="s">
        <v>3260</v>
      </c>
      <c r="B814" s="32" t="s">
        <v>2113</v>
      </c>
      <c r="C814" s="31" t="b">
        <v>0</v>
      </c>
      <c r="D814" s="31">
        <v>6</v>
      </c>
      <c r="E814" s="38" t="s">
        <v>2317</v>
      </c>
      <c r="F814" s="31" t="s">
        <v>131</v>
      </c>
      <c r="G814" s="31" t="s">
        <v>3665</v>
      </c>
      <c r="H814" s="31" t="s">
        <v>3666</v>
      </c>
      <c r="I814" s="31" t="s">
        <v>3842</v>
      </c>
      <c r="J814" s="37" t="s">
        <v>4047</v>
      </c>
      <c r="K814" s="31" t="s">
        <v>2328</v>
      </c>
      <c r="L814" s="31" t="s">
        <v>460</v>
      </c>
      <c r="M814" s="31" t="s">
        <v>2232</v>
      </c>
      <c r="N814" s="31" t="s">
        <v>2328</v>
      </c>
    </row>
    <row r="815" spans="1:14" ht="105" x14ac:dyDescent="0.25">
      <c r="A815" s="31" t="s">
        <v>3261</v>
      </c>
      <c r="B815" s="32" t="s">
        <v>2114</v>
      </c>
      <c r="C815" s="31" t="b">
        <v>0</v>
      </c>
      <c r="D815" s="31">
        <v>6</v>
      </c>
      <c r="E815" s="38" t="s">
        <v>2409</v>
      </c>
      <c r="F815" s="31" t="s">
        <v>131</v>
      </c>
      <c r="G815" s="31" t="s">
        <v>3665</v>
      </c>
      <c r="H815" s="31" t="s">
        <v>3666</v>
      </c>
      <c r="I815" s="31" t="s">
        <v>3842</v>
      </c>
      <c r="J815" s="37" t="s">
        <v>4047</v>
      </c>
      <c r="K815" s="31" t="s">
        <v>2328</v>
      </c>
      <c r="L815" s="31" t="s">
        <v>460</v>
      </c>
      <c r="M815" s="31" t="s">
        <v>2232</v>
      </c>
      <c r="N815" s="31" t="s">
        <v>2328</v>
      </c>
    </row>
    <row r="816" spans="1:14" ht="75" x14ac:dyDescent="0.25">
      <c r="A816" s="31" t="s">
        <v>2328</v>
      </c>
      <c r="B816" s="32" t="s">
        <v>2115</v>
      </c>
      <c r="C816" s="31" t="b">
        <v>1</v>
      </c>
      <c r="D816" s="31">
        <v>0</v>
      </c>
      <c r="E816" s="33" t="s">
        <v>2378</v>
      </c>
      <c r="F816" s="31" t="s">
        <v>3443</v>
      </c>
      <c r="G816" s="31" t="s">
        <v>3665</v>
      </c>
      <c r="H816" s="31" t="s">
        <v>3666</v>
      </c>
      <c r="I816" s="31" t="s">
        <v>3842</v>
      </c>
      <c r="J816" s="37" t="s">
        <v>4047</v>
      </c>
      <c r="K816" s="31" t="s">
        <v>2328</v>
      </c>
      <c r="L816" s="31" t="s">
        <v>464</v>
      </c>
      <c r="M816" s="31" t="s">
        <v>2232</v>
      </c>
      <c r="N816" s="31" t="s">
        <v>2328</v>
      </c>
    </row>
    <row r="817" spans="1:14" ht="75" x14ac:dyDescent="0.25">
      <c r="A817" s="31" t="s">
        <v>3262</v>
      </c>
      <c r="B817" s="32" t="s">
        <v>2116</v>
      </c>
      <c r="C817" s="31" t="b">
        <v>0</v>
      </c>
      <c r="D817" s="31">
        <v>2</v>
      </c>
      <c r="E817" s="34" t="s">
        <v>44</v>
      </c>
      <c r="F817" s="31" t="s">
        <v>131</v>
      </c>
      <c r="G817" s="31" t="s">
        <v>3665</v>
      </c>
      <c r="H817" s="31" t="s">
        <v>3666</v>
      </c>
      <c r="I817" s="31" t="s">
        <v>3842</v>
      </c>
      <c r="J817" s="37" t="s">
        <v>4047</v>
      </c>
      <c r="K817" s="31" t="s">
        <v>2328</v>
      </c>
      <c r="L817" s="31" t="s">
        <v>464</v>
      </c>
      <c r="M817" s="31" t="s">
        <v>2232</v>
      </c>
      <c r="N817" s="31" t="s">
        <v>2328</v>
      </c>
    </row>
    <row r="818" spans="1:14" ht="75" x14ac:dyDescent="0.25">
      <c r="A818" s="31" t="s">
        <v>3263</v>
      </c>
      <c r="B818" s="32" t="s">
        <v>2117</v>
      </c>
      <c r="C818" s="31" t="b">
        <v>0</v>
      </c>
      <c r="D818" s="31">
        <v>2</v>
      </c>
      <c r="E818" s="34" t="s">
        <v>2118</v>
      </c>
      <c r="F818" s="31" t="s">
        <v>131</v>
      </c>
      <c r="G818" s="31" t="s">
        <v>3665</v>
      </c>
      <c r="H818" s="31" t="s">
        <v>3666</v>
      </c>
      <c r="I818" s="31" t="s">
        <v>3842</v>
      </c>
      <c r="J818" s="37" t="s">
        <v>4047</v>
      </c>
      <c r="K818" s="31" t="s">
        <v>2328</v>
      </c>
      <c r="L818" s="31" t="s">
        <v>464</v>
      </c>
      <c r="M818" s="31" t="s">
        <v>2232</v>
      </c>
      <c r="N818" s="31" t="s">
        <v>2328</v>
      </c>
    </row>
    <row r="819" spans="1:14" ht="75" x14ac:dyDescent="0.25">
      <c r="A819" s="31" t="s">
        <v>2328</v>
      </c>
      <c r="B819" s="32" t="s">
        <v>2119</v>
      </c>
      <c r="C819" s="31" t="b">
        <v>0</v>
      </c>
      <c r="D819" s="31">
        <v>2</v>
      </c>
      <c r="E819" s="34" t="s">
        <v>2120</v>
      </c>
      <c r="F819" s="31" t="s">
        <v>131</v>
      </c>
      <c r="G819" s="31" t="s">
        <v>3665</v>
      </c>
      <c r="H819" s="31" t="s">
        <v>3666</v>
      </c>
      <c r="I819" s="31" t="s">
        <v>3842</v>
      </c>
      <c r="J819" s="37" t="s">
        <v>4047</v>
      </c>
      <c r="K819" s="31" t="s">
        <v>3659</v>
      </c>
      <c r="L819" s="31" t="s">
        <v>127</v>
      </c>
      <c r="M819" s="31" t="s">
        <v>2232</v>
      </c>
      <c r="N819" s="31" t="s">
        <v>2328</v>
      </c>
    </row>
    <row r="820" spans="1:14" ht="75" x14ac:dyDescent="0.25">
      <c r="A820" s="31" t="s">
        <v>2328</v>
      </c>
      <c r="B820" s="32" t="s">
        <v>2121</v>
      </c>
      <c r="C820" s="31" t="b">
        <v>0</v>
      </c>
      <c r="D820" s="31">
        <v>2</v>
      </c>
      <c r="E820" s="34" t="s">
        <v>2122</v>
      </c>
      <c r="F820" s="31" t="s">
        <v>131</v>
      </c>
      <c r="G820" s="31" t="s">
        <v>3665</v>
      </c>
      <c r="H820" s="31" t="s">
        <v>3666</v>
      </c>
      <c r="I820" s="31" t="s">
        <v>3842</v>
      </c>
      <c r="J820" s="37" t="s">
        <v>4047</v>
      </c>
      <c r="K820" s="31" t="s">
        <v>3659</v>
      </c>
      <c r="L820" s="31" t="s">
        <v>128</v>
      </c>
      <c r="M820" s="31" t="s">
        <v>2232</v>
      </c>
      <c r="N820" s="31" t="s">
        <v>2328</v>
      </c>
    </row>
    <row r="821" spans="1:14" ht="75" x14ac:dyDescent="0.25">
      <c r="A821" s="31" t="s">
        <v>2328</v>
      </c>
      <c r="B821" s="32" t="s">
        <v>2123</v>
      </c>
      <c r="C821" s="31" t="b">
        <v>0</v>
      </c>
      <c r="D821" s="31">
        <v>2</v>
      </c>
      <c r="E821" s="34" t="s">
        <v>2124</v>
      </c>
      <c r="F821" s="31" t="s">
        <v>131</v>
      </c>
      <c r="G821" s="31" t="s">
        <v>3665</v>
      </c>
      <c r="H821" s="31" t="s">
        <v>3666</v>
      </c>
      <c r="I821" s="31" t="s">
        <v>3842</v>
      </c>
      <c r="J821" s="37" t="s">
        <v>4047</v>
      </c>
      <c r="K821" s="31" t="s">
        <v>3659</v>
      </c>
      <c r="L821" s="31" t="s">
        <v>128</v>
      </c>
      <c r="M821" s="31" t="s">
        <v>2232</v>
      </c>
      <c r="N821" s="31" t="s">
        <v>2328</v>
      </c>
    </row>
    <row r="822" spans="1:14" ht="75" x14ac:dyDescent="0.25">
      <c r="A822" s="31" t="s">
        <v>2328</v>
      </c>
      <c r="B822" s="32" t="s">
        <v>2125</v>
      </c>
      <c r="C822" s="31" t="b">
        <v>1</v>
      </c>
      <c r="D822" s="31">
        <v>0</v>
      </c>
      <c r="E822" s="33" t="s">
        <v>2379</v>
      </c>
      <c r="F822" s="31" t="s">
        <v>3443</v>
      </c>
      <c r="G822" s="31" t="s">
        <v>3665</v>
      </c>
      <c r="H822" s="31" t="s">
        <v>3666</v>
      </c>
      <c r="I822" s="31" t="s">
        <v>3842</v>
      </c>
      <c r="J822" s="37" t="s">
        <v>4047</v>
      </c>
      <c r="K822" s="31" t="s">
        <v>2328</v>
      </c>
      <c r="L822" s="31" t="s">
        <v>468</v>
      </c>
      <c r="M822" s="31" t="s">
        <v>2232</v>
      </c>
      <c r="N822" s="31" t="s">
        <v>2328</v>
      </c>
    </row>
    <row r="823" spans="1:14" ht="75" x14ac:dyDescent="0.25">
      <c r="A823" s="31" t="s">
        <v>2328</v>
      </c>
      <c r="B823" s="32" t="s">
        <v>2126</v>
      </c>
      <c r="C823" s="31" t="b">
        <v>1</v>
      </c>
      <c r="D823" s="31">
        <v>2</v>
      </c>
      <c r="E823" s="34" t="s">
        <v>2380</v>
      </c>
      <c r="F823" s="31" t="s">
        <v>3443</v>
      </c>
      <c r="G823" s="31" t="s">
        <v>3665</v>
      </c>
      <c r="H823" s="31" t="s">
        <v>3666</v>
      </c>
      <c r="I823" s="31" t="s">
        <v>3842</v>
      </c>
      <c r="J823" s="37" t="s">
        <v>4047</v>
      </c>
      <c r="K823" s="31" t="s">
        <v>2328</v>
      </c>
      <c r="L823" s="31" t="s">
        <v>472</v>
      </c>
      <c r="M823" s="31" t="s">
        <v>2232</v>
      </c>
      <c r="N823" s="31" t="s">
        <v>2328</v>
      </c>
    </row>
    <row r="824" spans="1:14" ht="75" x14ac:dyDescent="0.25">
      <c r="A824" s="31" t="s">
        <v>3264</v>
      </c>
      <c r="B824" s="32" t="s">
        <v>2127</v>
      </c>
      <c r="C824" s="31" t="b">
        <v>0</v>
      </c>
      <c r="D824" s="31">
        <v>4</v>
      </c>
      <c r="E824" s="35" t="s">
        <v>83</v>
      </c>
      <c r="F824" s="31" t="s">
        <v>131</v>
      </c>
      <c r="G824" s="31" t="s">
        <v>3665</v>
      </c>
      <c r="H824" s="31" t="s">
        <v>3666</v>
      </c>
      <c r="I824" s="31" t="s">
        <v>3842</v>
      </c>
      <c r="J824" s="37" t="s">
        <v>4047</v>
      </c>
      <c r="K824" s="31" t="s">
        <v>2328</v>
      </c>
      <c r="L824" s="31" t="s">
        <v>472</v>
      </c>
      <c r="M824" s="31" t="s">
        <v>2232</v>
      </c>
      <c r="N824" s="31" t="s">
        <v>2328</v>
      </c>
    </row>
    <row r="825" spans="1:14" ht="75" x14ac:dyDescent="0.25">
      <c r="A825" s="31" t="s">
        <v>3265</v>
      </c>
      <c r="B825" s="32" t="s">
        <v>2128</v>
      </c>
      <c r="C825" s="31" t="b">
        <v>0</v>
      </c>
      <c r="D825" s="31">
        <v>4</v>
      </c>
      <c r="E825" s="35" t="s">
        <v>82</v>
      </c>
      <c r="F825" s="31" t="s">
        <v>131</v>
      </c>
      <c r="G825" s="31" t="s">
        <v>3665</v>
      </c>
      <c r="H825" s="31" t="s">
        <v>3666</v>
      </c>
      <c r="I825" s="31" t="s">
        <v>3842</v>
      </c>
      <c r="J825" s="37" t="s">
        <v>4047</v>
      </c>
      <c r="K825" s="31" t="s">
        <v>2328</v>
      </c>
      <c r="L825" s="31" t="s">
        <v>472</v>
      </c>
      <c r="M825" s="31" t="s">
        <v>2232</v>
      </c>
      <c r="N825" s="31" t="s">
        <v>2328</v>
      </c>
    </row>
    <row r="826" spans="1:14" ht="75" x14ac:dyDescent="0.25">
      <c r="A826" s="31" t="s">
        <v>3266</v>
      </c>
      <c r="B826" s="32" t="s">
        <v>2129</v>
      </c>
      <c r="C826" s="31" t="b">
        <v>0</v>
      </c>
      <c r="D826" s="31">
        <v>4</v>
      </c>
      <c r="E826" s="35" t="s">
        <v>81</v>
      </c>
      <c r="F826" s="31" t="s">
        <v>131</v>
      </c>
      <c r="G826" s="31" t="s">
        <v>3665</v>
      </c>
      <c r="H826" s="31" t="s">
        <v>3666</v>
      </c>
      <c r="I826" s="31" t="s">
        <v>3842</v>
      </c>
      <c r="J826" s="37" t="s">
        <v>4047</v>
      </c>
      <c r="K826" s="31" t="s">
        <v>2328</v>
      </c>
      <c r="L826" s="31" t="s">
        <v>472</v>
      </c>
      <c r="M826" s="31" t="s">
        <v>2232</v>
      </c>
      <c r="N826" s="31" t="s">
        <v>2328</v>
      </c>
    </row>
    <row r="827" spans="1:14" ht="75" x14ac:dyDescent="0.25">
      <c r="A827" s="31" t="s">
        <v>3267</v>
      </c>
      <c r="B827" s="32" t="s">
        <v>2130</v>
      </c>
      <c r="C827" s="31" t="b">
        <v>0</v>
      </c>
      <c r="D827" s="31">
        <v>4</v>
      </c>
      <c r="E827" s="35" t="s">
        <v>80</v>
      </c>
      <c r="F827" s="31" t="s">
        <v>131</v>
      </c>
      <c r="G827" s="31" t="s">
        <v>3665</v>
      </c>
      <c r="H827" s="31" t="s">
        <v>3666</v>
      </c>
      <c r="I827" s="31" t="s">
        <v>3842</v>
      </c>
      <c r="J827" s="37" t="s">
        <v>4047</v>
      </c>
      <c r="K827" s="31" t="s">
        <v>2328</v>
      </c>
      <c r="L827" s="31" t="s">
        <v>472</v>
      </c>
      <c r="M827" s="31" t="s">
        <v>2232</v>
      </c>
      <c r="N827" s="31" t="s">
        <v>2328</v>
      </c>
    </row>
    <row r="828" spans="1:14" ht="75" x14ac:dyDescent="0.25">
      <c r="A828" s="31" t="s">
        <v>2328</v>
      </c>
      <c r="B828" s="32" t="s">
        <v>2131</v>
      </c>
      <c r="C828" s="31" t="b">
        <v>1</v>
      </c>
      <c r="D828" s="31">
        <v>2</v>
      </c>
      <c r="E828" s="34" t="s">
        <v>2381</v>
      </c>
      <c r="F828" s="31" t="s">
        <v>3443</v>
      </c>
      <c r="G828" s="31" t="s">
        <v>3665</v>
      </c>
      <c r="H828" s="31" t="s">
        <v>3666</v>
      </c>
      <c r="I828" s="31" t="s">
        <v>3842</v>
      </c>
      <c r="J828" s="37" t="s">
        <v>4047</v>
      </c>
      <c r="K828" s="31" t="s">
        <v>2328</v>
      </c>
      <c r="L828" s="31" t="s">
        <v>474</v>
      </c>
      <c r="M828" s="31" t="s">
        <v>2232</v>
      </c>
      <c r="N828" s="31" t="s">
        <v>2328</v>
      </c>
    </row>
    <row r="829" spans="1:14" ht="75" x14ac:dyDescent="0.25">
      <c r="A829" s="31" t="s">
        <v>3268</v>
      </c>
      <c r="B829" s="32" t="s">
        <v>2132</v>
      </c>
      <c r="C829" s="31" t="b">
        <v>0</v>
      </c>
      <c r="D829" s="31">
        <v>4</v>
      </c>
      <c r="E829" s="35" t="s">
        <v>78</v>
      </c>
      <c r="F829" s="31" t="s">
        <v>131</v>
      </c>
      <c r="G829" s="31" t="s">
        <v>3665</v>
      </c>
      <c r="H829" s="31" t="s">
        <v>3666</v>
      </c>
      <c r="I829" s="31" t="s">
        <v>3842</v>
      </c>
      <c r="J829" s="37" t="s">
        <v>4047</v>
      </c>
      <c r="K829" s="31" t="s">
        <v>2328</v>
      </c>
      <c r="L829" s="31" t="s">
        <v>474</v>
      </c>
      <c r="M829" s="31" t="s">
        <v>2232</v>
      </c>
      <c r="N829" s="31" t="s">
        <v>2328</v>
      </c>
    </row>
    <row r="830" spans="1:14" ht="75" x14ac:dyDescent="0.25">
      <c r="A830" s="31" t="s">
        <v>3269</v>
      </c>
      <c r="B830" s="32" t="s">
        <v>2133</v>
      </c>
      <c r="C830" s="31" t="b">
        <v>0</v>
      </c>
      <c r="D830" s="31">
        <v>4</v>
      </c>
      <c r="E830" s="35" t="s">
        <v>77</v>
      </c>
      <c r="F830" s="31" t="s">
        <v>131</v>
      </c>
      <c r="G830" s="31" t="s">
        <v>3665</v>
      </c>
      <c r="H830" s="31" t="s">
        <v>3666</v>
      </c>
      <c r="I830" s="31" t="s">
        <v>3842</v>
      </c>
      <c r="J830" s="37" t="s">
        <v>4047</v>
      </c>
      <c r="K830" s="31" t="s">
        <v>2328</v>
      </c>
      <c r="L830" s="31" t="s">
        <v>474</v>
      </c>
      <c r="M830" s="31" t="s">
        <v>2232</v>
      </c>
      <c r="N830" s="31" t="s">
        <v>2328</v>
      </c>
    </row>
    <row r="831" spans="1:14" ht="75" x14ac:dyDescent="0.25">
      <c r="A831" s="31" t="s">
        <v>3270</v>
      </c>
      <c r="B831" s="32" t="s">
        <v>2134</v>
      </c>
      <c r="C831" s="31" t="b">
        <v>0</v>
      </c>
      <c r="D831" s="31">
        <v>4</v>
      </c>
      <c r="E831" s="35" t="s">
        <v>76</v>
      </c>
      <c r="F831" s="31" t="s">
        <v>131</v>
      </c>
      <c r="G831" s="31" t="s">
        <v>3665</v>
      </c>
      <c r="H831" s="31" t="s">
        <v>3666</v>
      </c>
      <c r="I831" s="31" t="s">
        <v>3842</v>
      </c>
      <c r="J831" s="37" t="s">
        <v>4047</v>
      </c>
      <c r="K831" s="31" t="s">
        <v>2328</v>
      </c>
      <c r="L831" s="31" t="s">
        <v>474</v>
      </c>
      <c r="M831" s="31" t="s">
        <v>2232</v>
      </c>
      <c r="N831" s="31" t="s">
        <v>2328</v>
      </c>
    </row>
    <row r="832" spans="1:14" ht="75" x14ac:dyDescent="0.25">
      <c r="A832" s="31" t="s">
        <v>2328</v>
      </c>
      <c r="B832" s="32" t="s">
        <v>2135</v>
      </c>
      <c r="C832" s="31" t="b">
        <v>1</v>
      </c>
      <c r="D832" s="31">
        <v>2</v>
      </c>
      <c r="E832" s="34" t="s">
        <v>2382</v>
      </c>
      <c r="F832" s="31" t="s">
        <v>3443</v>
      </c>
      <c r="G832" s="31" t="s">
        <v>3665</v>
      </c>
      <c r="H832" s="31" t="s">
        <v>3666</v>
      </c>
      <c r="I832" s="31" t="s">
        <v>3842</v>
      </c>
      <c r="J832" s="37" t="s">
        <v>4047</v>
      </c>
      <c r="K832" s="31" t="s">
        <v>2328</v>
      </c>
      <c r="L832" s="31" t="s">
        <v>476</v>
      </c>
      <c r="M832" s="31" t="s">
        <v>2232</v>
      </c>
      <c r="N832" s="31" t="s">
        <v>2328</v>
      </c>
    </row>
    <row r="833" spans="1:14" ht="75" x14ac:dyDescent="0.25">
      <c r="A833" s="31" t="s">
        <v>3271</v>
      </c>
      <c r="B833" s="32" t="s">
        <v>2136</v>
      </c>
      <c r="C833" s="31" t="b">
        <v>0</v>
      </c>
      <c r="D833" s="31">
        <v>4</v>
      </c>
      <c r="E833" s="35" t="s">
        <v>74</v>
      </c>
      <c r="F833" s="31" t="s">
        <v>131</v>
      </c>
      <c r="G833" s="31" t="s">
        <v>3665</v>
      </c>
      <c r="H833" s="31" t="s">
        <v>3666</v>
      </c>
      <c r="I833" s="31" t="s">
        <v>3842</v>
      </c>
      <c r="J833" s="37" t="s">
        <v>4047</v>
      </c>
      <c r="K833" s="31" t="s">
        <v>2328</v>
      </c>
      <c r="L833" s="31" t="s">
        <v>476</v>
      </c>
      <c r="M833" s="31" t="s">
        <v>2232</v>
      </c>
      <c r="N833" s="31" t="s">
        <v>2328</v>
      </c>
    </row>
    <row r="834" spans="1:14" ht="75" x14ac:dyDescent="0.25">
      <c r="A834" s="31" t="s">
        <v>3272</v>
      </c>
      <c r="B834" s="32" t="s">
        <v>2137</v>
      </c>
      <c r="C834" s="31" t="b">
        <v>0</v>
      </c>
      <c r="D834" s="31">
        <v>4</v>
      </c>
      <c r="E834" s="35" t="s">
        <v>73</v>
      </c>
      <c r="F834" s="31" t="s">
        <v>131</v>
      </c>
      <c r="G834" s="31" t="s">
        <v>3665</v>
      </c>
      <c r="H834" s="31" t="s">
        <v>3666</v>
      </c>
      <c r="I834" s="31" t="s">
        <v>3842</v>
      </c>
      <c r="J834" s="37" t="s">
        <v>4047</v>
      </c>
      <c r="K834" s="31" t="s">
        <v>2328</v>
      </c>
      <c r="L834" s="31" t="s">
        <v>476</v>
      </c>
      <c r="M834" s="31" t="s">
        <v>2232</v>
      </c>
      <c r="N834" s="31" t="s">
        <v>2328</v>
      </c>
    </row>
    <row r="835" spans="1:14" ht="75" x14ac:dyDescent="0.25">
      <c r="A835" s="31" t="s">
        <v>3273</v>
      </c>
      <c r="B835" s="32" t="s">
        <v>2138</v>
      </c>
      <c r="C835" s="31" t="b">
        <v>0</v>
      </c>
      <c r="D835" s="31">
        <v>4</v>
      </c>
      <c r="E835" s="35" t="s">
        <v>72</v>
      </c>
      <c r="F835" s="31" t="s">
        <v>131</v>
      </c>
      <c r="G835" s="31" t="s">
        <v>3665</v>
      </c>
      <c r="H835" s="31" t="s">
        <v>3666</v>
      </c>
      <c r="I835" s="31" t="s">
        <v>3842</v>
      </c>
      <c r="J835" s="37" t="s">
        <v>4047</v>
      </c>
      <c r="K835" s="31" t="s">
        <v>2328</v>
      </c>
      <c r="L835" s="31" t="s">
        <v>476</v>
      </c>
      <c r="M835" s="31" t="s">
        <v>2232</v>
      </c>
      <c r="N835" s="31" t="s">
        <v>2328</v>
      </c>
    </row>
    <row r="836" spans="1:14" ht="75" x14ac:dyDescent="0.25">
      <c r="A836" s="31" t="s">
        <v>2328</v>
      </c>
      <c r="B836" s="32" t="s">
        <v>2139</v>
      </c>
      <c r="C836" s="31" t="b">
        <v>1</v>
      </c>
      <c r="D836" s="31">
        <v>2</v>
      </c>
      <c r="E836" s="34" t="s">
        <v>2383</v>
      </c>
      <c r="F836" s="31" t="s">
        <v>3443</v>
      </c>
      <c r="G836" s="31" t="s">
        <v>3665</v>
      </c>
      <c r="H836" s="31" t="s">
        <v>3666</v>
      </c>
      <c r="I836" s="31" t="s">
        <v>3842</v>
      </c>
      <c r="J836" s="37" t="s">
        <v>4047</v>
      </c>
      <c r="K836" s="31" t="s">
        <v>2328</v>
      </c>
      <c r="L836" s="31" t="s">
        <v>478</v>
      </c>
      <c r="M836" s="31" t="s">
        <v>2232</v>
      </c>
      <c r="N836" s="31" t="s">
        <v>2328</v>
      </c>
    </row>
    <row r="837" spans="1:14" ht="75" x14ac:dyDescent="0.25">
      <c r="A837" s="31" t="s">
        <v>2328</v>
      </c>
      <c r="B837" s="32" t="s">
        <v>2140</v>
      </c>
      <c r="C837" s="31" t="b">
        <v>0</v>
      </c>
      <c r="D837" s="31">
        <v>4</v>
      </c>
      <c r="E837" s="35" t="s">
        <v>2141</v>
      </c>
      <c r="F837" s="31" t="s">
        <v>139</v>
      </c>
      <c r="G837" s="31" t="s">
        <v>3665</v>
      </c>
      <c r="H837" s="31" t="s">
        <v>3666</v>
      </c>
      <c r="I837" s="31" t="s">
        <v>3842</v>
      </c>
      <c r="J837" s="37" t="s">
        <v>4047</v>
      </c>
      <c r="K837" s="31" t="s">
        <v>2328</v>
      </c>
      <c r="L837" s="31" t="s">
        <v>478</v>
      </c>
      <c r="M837" s="31" t="s">
        <v>2232</v>
      </c>
      <c r="N837" s="31" t="s">
        <v>2328</v>
      </c>
    </row>
    <row r="838" spans="1:14" ht="75" x14ac:dyDescent="0.25">
      <c r="A838" s="31" t="s">
        <v>3274</v>
      </c>
      <c r="B838" s="32" t="s">
        <v>2142</v>
      </c>
      <c r="C838" s="31" t="b">
        <v>0</v>
      </c>
      <c r="D838" s="31">
        <v>4</v>
      </c>
      <c r="E838" s="35" t="s">
        <v>69</v>
      </c>
      <c r="F838" s="31" t="s">
        <v>131</v>
      </c>
      <c r="G838" s="31" t="s">
        <v>3665</v>
      </c>
      <c r="H838" s="31" t="s">
        <v>3666</v>
      </c>
      <c r="I838" s="31" t="s">
        <v>3842</v>
      </c>
      <c r="J838" s="37" t="s">
        <v>4047</v>
      </c>
      <c r="K838" s="31" t="s">
        <v>2328</v>
      </c>
      <c r="L838" s="31" t="s">
        <v>478</v>
      </c>
      <c r="M838" s="31" t="s">
        <v>2232</v>
      </c>
      <c r="N838" s="31" t="s">
        <v>2328</v>
      </c>
    </row>
    <row r="839" spans="1:14" ht="75" x14ac:dyDescent="0.25">
      <c r="A839" s="31" t="s">
        <v>3275</v>
      </c>
      <c r="B839" s="32" t="s">
        <v>2143</v>
      </c>
      <c r="C839" s="31" t="b">
        <v>0</v>
      </c>
      <c r="D839" s="31">
        <v>4</v>
      </c>
      <c r="E839" s="35" t="s">
        <v>68</v>
      </c>
      <c r="F839" s="31" t="s">
        <v>131</v>
      </c>
      <c r="G839" s="31" t="s">
        <v>3665</v>
      </c>
      <c r="H839" s="31" t="s">
        <v>3666</v>
      </c>
      <c r="I839" s="31" t="s">
        <v>3842</v>
      </c>
      <c r="J839" s="37" t="s">
        <v>4047</v>
      </c>
      <c r="K839" s="31" t="s">
        <v>2328</v>
      </c>
      <c r="L839" s="31" t="s">
        <v>478</v>
      </c>
      <c r="M839" s="31" t="s">
        <v>2232</v>
      </c>
      <c r="N839" s="31" t="s">
        <v>2328</v>
      </c>
    </row>
    <row r="840" spans="1:14" ht="75" x14ac:dyDescent="0.25">
      <c r="A840" s="31" t="s">
        <v>3276</v>
      </c>
      <c r="B840" s="32" t="s">
        <v>2144</v>
      </c>
      <c r="C840" s="31" t="b">
        <v>0</v>
      </c>
      <c r="D840" s="31">
        <v>4</v>
      </c>
      <c r="E840" s="35" t="s">
        <v>67</v>
      </c>
      <c r="F840" s="31" t="s">
        <v>131</v>
      </c>
      <c r="G840" s="31" t="s">
        <v>3665</v>
      </c>
      <c r="H840" s="31" t="s">
        <v>3666</v>
      </c>
      <c r="I840" s="31" t="s">
        <v>3842</v>
      </c>
      <c r="J840" s="37" t="s">
        <v>4047</v>
      </c>
      <c r="K840" s="31" t="s">
        <v>2328</v>
      </c>
      <c r="L840" s="31" t="s">
        <v>478</v>
      </c>
      <c r="M840" s="31" t="s">
        <v>2232</v>
      </c>
      <c r="N840" s="31" t="s">
        <v>2328</v>
      </c>
    </row>
    <row r="841" spans="1:14" ht="75" x14ac:dyDescent="0.25">
      <c r="A841" s="31" t="s">
        <v>3277</v>
      </c>
      <c r="B841" s="32" t="s">
        <v>2145</v>
      </c>
      <c r="C841" s="31" t="b">
        <v>0</v>
      </c>
      <c r="D841" s="31">
        <v>4</v>
      </c>
      <c r="E841" s="35" t="s">
        <v>2318</v>
      </c>
      <c r="F841" s="31" t="s">
        <v>131</v>
      </c>
      <c r="G841" s="31" t="s">
        <v>3665</v>
      </c>
      <c r="H841" s="31" t="s">
        <v>3666</v>
      </c>
      <c r="I841" s="31" t="s">
        <v>3842</v>
      </c>
      <c r="J841" s="37" t="s">
        <v>4047</v>
      </c>
      <c r="K841" s="31" t="s">
        <v>2328</v>
      </c>
      <c r="L841" s="31" t="s">
        <v>478</v>
      </c>
      <c r="M841" s="31" t="s">
        <v>2232</v>
      </c>
      <c r="N841" s="31" t="s">
        <v>2328</v>
      </c>
    </row>
    <row r="842" spans="1:14" ht="75" x14ac:dyDescent="0.25">
      <c r="A842" s="31" t="s">
        <v>3278</v>
      </c>
      <c r="B842" s="32" t="s">
        <v>2146</v>
      </c>
      <c r="C842" s="31" t="b">
        <v>0</v>
      </c>
      <c r="D842" s="31">
        <v>4</v>
      </c>
      <c r="E842" s="35" t="s">
        <v>2147</v>
      </c>
      <c r="F842" s="31" t="s">
        <v>131</v>
      </c>
      <c r="G842" s="31" t="s">
        <v>3665</v>
      </c>
      <c r="H842" s="31" t="s">
        <v>3666</v>
      </c>
      <c r="I842" s="31" t="s">
        <v>3842</v>
      </c>
      <c r="J842" s="37" t="s">
        <v>4047</v>
      </c>
      <c r="K842" s="31" t="s">
        <v>2328</v>
      </c>
      <c r="L842" s="31" t="s">
        <v>478</v>
      </c>
      <c r="M842" s="31" t="s">
        <v>2232</v>
      </c>
      <c r="N842" s="31" t="s">
        <v>2328</v>
      </c>
    </row>
    <row r="843" spans="1:14" ht="75" x14ac:dyDescent="0.25">
      <c r="A843" s="31" t="s">
        <v>3279</v>
      </c>
      <c r="B843" s="32" t="s">
        <v>2148</v>
      </c>
      <c r="C843" s="31" t="b">
        <v>0</v>
      </c>
      <c r="D843" s="31">
        <v>4</v>
      </c>
      <c r="E843" s="35" t="s">
        <v>66</v>
      </c>
      <c r="F843" s="31" t="s">
        <v>131</v>
      </c>
      <c r="G843" s="31" t="s">
        <v>3665</v>
      </c>
      <c r="H843" s="31" t="s">
        <v>3666</v>
      </c>
      <c r="I843" s="31" t="s">
        <v>3842</v>
      </c>
      <c r="J843" s="37" t="s">
        <v>4047</v>
      </c>
      <c r="K843" s="31" t="s">
        <v>2328</v>
      </c>
      <c r="L843" s="31" t="s">
        <v>478</v>
      </c>
      <c r="M843" s="31" t="s">
        <v>2232</v>
      </c>
      <c r="N843" s="31" t="s">
        <v>2328</v>
      </c>
    </row>
    <row r="844" spans="1:14" ht="75" x14ac:dyDescent="0.25">
      <c r="A844" s="31" t="s">
        <v>2328</v>
      </c>
      <c r="B844" s="32" t="s">
        <v>2149</v>
      </c>
      <c r="C844" s="31" t="b">
        <v>1</v>
      </c>
      <c r="D844" s="31">
        <v>2</v>
      </c>
      <c r="E844" s="34" t="s">
        <v>3380</v>
      </c>
      <c r="F844" s="31" t="s">
        <v>3443</v>
      </c>
      <c r="G844" s="31" t="s">
        <v>3665</v>
      </c>
      <c r="H844" s="31" t="s">
        <v>3666</v>
      </c>
      <c r="I844" s="31" t="s">
        <v>3842</v>
      </c>
      <c r="J844" s="37" t="s">
        <v>4047</v>
      </c>
      <c r="K844" s="31" t="s">
        <v>2328</v>
      </c>
      <c r="L844" s="31" t="s">
        <v>479</v>
      </c>
      <c r="M844" s="31" t="s">
        <v>2232</v>
      </c>
      <c r="N844" s="31" t="s">
        <v>2328</v>
      </c>
    </row>
    <row r="845" spans="1:14" ht="75" x14ac:dyDescent="0.25">
      <c r="A845" s="31" t="s">
        <v>2328</v>
      </c>
      <c r="B845" s="32" t="s">
        <v>2151</v>
      </c>
      <c r="C845" s="31" t="b">
        <v>0</v>
      </c>
      <c r="D845" s="31">
        <v>4</v>
      </c>
      <c r="E845" s="35" t="s">
        <v>2141</v>
      </c>
      <c r="F845" s="31" t="s">
        <v>139</v>
      </c>
      <c r="G845" s="31" t="s">
        <v>3665</v>
      </c>
      <c r="H845" s="31" t="s">
        <v>3666</v>
      </c>
      <c r="I845" s="31" t="s">
        <v>3842</v>
      </c>
      <c r="J845" s="37" t="s">
        <v>4047</v>
      </c>
      <c r="K845" s="31" t="s">
        <v>2328</v>
      </c>
      <c r="L845" s="31" t="s">
        <v>479</v>
      </c>
      <c r="M845" s="31" t="s">
        <v>2232</v>
      </c>
      <c r="N845" s="31" t="s">
        <v>2328</v>
      </c>
    </row>
    <row r="846" spans="1:14" ht="75" x14ac:dyDescent="0.25">
      <c r="A846" s="31" t="s">
        <v>3280</v>
      </c>
      <c r="B846" s="32" t="s">
        <v>2152</v>
      </c>
      <c r="C846" s="31" t="b">
        <v>0</v>
      </c>
      <c r="D846" s="31">
        <v>4</v>
      </c>
      <c r="E846" s="35" t="s">
        <v>64</v>
      </c>
      <c r="F846" s="31" t="s">
        <v>131</v>
      </c>
      <c r="G846" s="31" t="s">
        <v>3665</v>
      </c>
      <c r="H846" s="31" t="s">
        <v>3666</v>
      </c>
      <c r="I846" s="31" t="s">
        <v>3842</v>
      </c>
      <c r="J846" s="37" t="s">
        <v>4047</v>
      </c>
      <c r="K846" s="31" t="s">
        <v>2328</v>
      </c>
      <c r="L846" s="31" t="s">
        <v>479</v>
      </c>
      <c r="M846" s="31" t="s">
        <v>2232</v>
      </c>
      <c r="N846" s="31" t="s">
        <v>2328</v>
      </c>
    </row>
    <row r="847" spans="1:14" ht="75" x14ac:dyDescent="0.25">
      <c r="A847" s="31" t="s">
        <v>3281</v>
      </c>
      <c r="B847" s="32" t="s">
        <v>2153</v>
      </c>
      <c r="C847" s="31" t="b">
        <v>0</v>
      </c>
      <c r="D847" s="31">
        <v>4</v>
      </c>
      <c r="E847" s="35" t="s">
        <v>2319</v>
      </c>
      <c r="F847" s="31" t="s">
        <v>131</v>
      </c>
      <c r="G847" s="31" t="s">
        <v>3665</v>
      </c>
      <c r="H847" s="31" t="s">
        <v>3666</v>
      </c>
      <c r="I847" s="31" t="s">
        <v>3842</v>
      </c>
      <c r="J847" s="37" t="s">
        <v>4047</v>
      </c>
      <c r="K847" s="31" t="s">
        <v>2328</v>
      </c>
      <c r="L847" s="31" t="s">
        <v>479</v>
      </c>
      <c r="M847" s="31" t="s">
        <v>2232</v>
      </c>
      <c r="N847" s="31" t="s">
        <v>2328</v>
      </c>
    </row>
    <row r="848" spans="1:14" ht="75" x14ac:dyDescent="0.25">
      <c r="A848" s="31" t="s">
        <v>3282</v>
      </c>
      <c r="B848" s="32" t="s">
        <v>2154</v>
      </c>
      <c r="C848" s="31" t="b">
        <v>0</v>
      </c>
      <c r="D848" s="31">
        <v>4</v>
      </c>
      <c r="E848" s="35" t="s">
        <v>63</v>
      </c>
      <c r="F848" s="31" t="s">
        <v>131</v>
      </c>
      <c r="G848" s="31" t="s">
        <v>3665</v>
      </c>
      <c r="H848" s="31" t="s">
        <v>3666</v>
      </c>
      <c r="I848" s="31" t="s">
        <v>3842</v>
      </c>
      <c r="J848" s="37" t="s">
        <v>4047</v>
      </c>
      <c r="K848" s="31" t="s">
        <v>2328</v>
      </c>
      <c r="L848" s="31" t="s">
        <v>479</v>
      </c>
      <c r="M848" s="31" t="s">
        <v>2232</v>
      </c>
      <c r="N848" s="31" t="s">
        <v>2328</v>
      </c>
    </row>
    <row r="849" spans="1:14" ht="75" x14ac:dyDescent="0.25">
      <c r="A849" s="31" t="s">
        <v>3283</v>
      </c>
      <c r="B849" s="32" t="s">
        <v>2155</v>
      </c>
      <c r="C849" s="31" t="b">
        <v>0</v>
      </c>
      <c r="D849" s="31">
        <v>4</v>
      </c>
      <c r="E849" s="35" t="s">
        <v>2320</v>
      </c>
      <c r="F849" s="31" t="s">
        <v>131</v>
      </c>
      <c r="G849" s="31" t="s">
        <v>3665</v>
      </c>
      <c r="H849" s="31" t="s">
        <v>3666</v>
      </c>
      <c r="I849" s="31" t="s">
        <v>3842</v>
      </c>
      <c r="J849" s="37" t="s">
        <v>4047</v>
      </c>
      <c r="K849" s="31" t="s">
        <v>2328</v>
      </c>
      <c r="L849" s="31" t="s">
        <v>479</v>
      </c>
      <c r="M849" s="31" t="s">
        <v>2232</v>
      </c>
      <c r="N849" s="31" t="s">
        <v>2328</v>
      </c>
    </row>
    <row r="850" spans="1:14" ht="75" x14ac:dyDescent="0.25">
      <c r="A850" s="31" t="s">
        <v>3284</v>
      </c>
      <c r="B850" s="32" t="s">
        <v>2156</v>
      </c>
      <c r="C850" s="31" t="b">
        <v>0</v>
      </c>
      <c r="D850" s="31">
        <v>4</v>
      </c>
      <c r="E850" s="35" t="s">
        <v>2157</v>
      </c>
      <c r="F850" s="31" t="s">
        <v>131</v>
      </c>
      <c r="G850" s="31" t="s">
        <v>3665</v>
      </c>
      <c r="H850" s="31" t="s">
        <v>3666</v>
      </c>
      <c r="I850" s="31" t="s">
        <v>3842</v>
      </c>
      <c r="J850" s="37" t="s">
        <v>4047</v>
      </c>
      <c r="K850" s="31" t="s">
        <v>2328</v>
      </c>
      <c r="L850" s="31" t="s">
        <v>479</v>
      </c>
      <c r="M850" s="31" t="s">
        <v>2232</v>
      </c>
      <c r="N850" s="31" t="s">
        <v>2328</v>
      </c>
    </row>
    <row r="851" spans="1:14" ht="75" x14ac:dyDescent="0.25">
      <c r="A851" s="31" t="s">
        <v>3285</v>
      </c>
      <c r="B851" s="32" t="s">
        <v>2158</v>
      </c>
      <c r="C851" s="31" t="b">
        <v>1</v>
      </c>
      <c r="D851" s="31">
        <v>2</v>
      </c>
      <c r="E851" s="34" t="s">
        <v>3558</v>
      </c>
      <c r="F851" s="31" t="s">
        <v>3443</v>
      </c>
      <c r="G851" s="31" t="s">
        <v>3665</v>
      </c>
      <c r="H851" s="31" t="s">
        <v>3666</v>
      </c>
      <c r="I851" s="31" t="s">
        <v>3842</v>
      </c>
      <c r="J851" s="37" t="s">
        <v>4047</v>
      </c>
      <c r="K851" s="31" t="s">
        <v>2328</v>
      </c>
      <c r="L851" s="31" t="s">
        <v>480</v>
      </c>
      <c r="M851" s="31" t="s">
        <v>2232</v>
      </c>
      <c r="N851" s="31" t="s">
        <v>2328</v>
      </c>
    </row>
    <row r="852" spans="1:14" ht="75" x14ac:dyDescent="0.25">
      <c r="A852" s="31" t="s">
        <v>3285</v>
      </c>
      <c r="B852" s="32" t="s">
        <v>3532</v>
      </c>
      <c r="C852" s="31" t="b">
        <v>0</v>
      </c>
      <c r="D852" s="31">
        <v>4</v>
      </c>
      <c r="E852" s="35" t="s">
        <v>481</v>
      </c>
      <c r="F852" s="31" t="s">
        <v>139</v>
      </c>
      <c r="G852" s="31" t="s">
        <v>3665</v>
      </c>
      <c r="H852" s="31" t="s">
        <v>3666</v>
      </c>
      <c r="I852" s="31" t="s">
        <v>3842</v>
      </c>
      <c r="J852" s="37" t="s">
        <v>4047</v>
      </c>
      <c r="K852" s="31" t="s">
        <v>2328</v>
      </c>
      <c r="L852" s="31" t="s">
        <v>2328</v>
      </c>
      <c r="M852" s="31" t="s">
        <v>2232</v>
      </c>
      <c r="N852" s="31" t="s">
        <v>2328</v>
      </c>
    </row>
    <row r="853" spans="1:14" ht="75" x14ac:dyDescent="0.25">
      <c r="A853" s="31" t="s">
        <v>3286</v>
      </c>
      <c r="B853" s="32" t="s">
        <v>2159</v>
      </c>
      <c r="C853" s="31" t="b">
        <v>0</v>
      </c>
      <c r="D853" s="31">
        <v>4</v>
      </c>
      <c r="E853" s="35" t="s">
        <v>2160</v>
      </c>
      <c r="F853" s="31" t="s">
        <v>131</v>
      </c>
      <c r="G853" s="31" t="s">
        <v>3665</v>
      </c>
      <c r="H853" s="31" t="s">
        <v>3666</v>
      </c>
      <c r="I853" s="31" t="s">
        <v>3842</v>
      </c>
      <c r="J853" s="37" t="s">
        <v>4047</v>
      </c>
      <c r="K853" s="31" t="s">
        <v>2328</v>
      </c>
      <c r="L853" s="31" t="s">
        <v>480</v>
      </c>
      <c r="M853" s="31" t="s">
        <v>2232</v>
      </c>
      <c r="N853" s="31" t="s">
        <v>2328</v>
      </c>
    </row>
    <row r="854" spans="1:14" ht="75" x14ac:dyDescent="0.25">
      <c r="A854" s="31" t="s">
        <v>3287</v>
      </c>
      <c r="B854" s="32" t="s">
        <v>2161</v>
      </c>
      <c r="C854" s="31" t="b">
        <v>0</v>
      </c>
      <c r="D854" s="31">
        <v>4</v>
      </c>
      <c r="E854" s="35" t="s">
        <v>2321</v>
      </c>
      <c r="F854" s="31" t="s">
        <v>131</v>
      </c>
      <c r="G854" s="31" t="s">
        <v>3665</v>
      </c>
      <c r="H854" s="31" t="s">
        <v>3666</v>
      </c>
      <c r="I854" s="31" t="s">
        <v>3842</v>
      </c>
      <c r="J854" s="37" t="s">
        <v>4047</v>
      </c>
      <c r="K854" s="31" t="s">
        <v>2328</v>
      </c>
      <c r="L854" s="31" t="s">
        <v>480</v>
      </c>
      <c r="M854" s="31" t="s">
        <v>2232</v>
      </c>
      <c r="N854" s="31" t="s">
        <v>2328</v>
      </c>
    </row>
    <row r="855" spans="1:14" ht="75" x14ac:dyDescent="0.25">
      <c r="A855" s="31" t="s">
        <v>3288</v>
      </c>
      <c r="B855" s="32" t="s">
        <v>2162</v>
      </c>
      <c r="C855" s="31" t="b">
        <v>0</v>
      </c>
      <c r="D855" s="31">
        <v>4</v>
      </c>
      <c r="E855" s="35" t="s">
        <v>2322</v>
      </c>
      <c r="F855" s="31" t="s">
        <v>131</v>
      </c>
      <c r="G855" s="31" t="s">
        <v>3665</v>
      </c>
      <c r="H855" s="31" t="s">
        <v>3666</v>
      </c>
      <c r="I855" s="31" t="s">
        <v>3842</v>
      </c>
      <c r="J855" s="37" t="s">
        <v>4047</v>
      </c>
      <c r="K855" s="31" t="s">
        <v>2328</v>
      </c>
      <c r="L855" s="31" t="s">
        <v>480</v>
      </c>
      <c r="M855" s="31" t="s">
        <v>2232</v>
      </c>
      <c r="N855" s="31" t="s">
        <v>2328</v>
      </c>
    </row>
    <row r="856" spans="1:14" ht="75" x14ac:dyDescent="0.25">
      <c r="A856" s="31" t="s">
        <v>3289</v>
      </c>
      <c r="B856" s="32" t="s">
        <v>2163</v>
      </c>
      <c r="C856" s="31" t="b">
        <v>0</v>
      </c>
      <c r="D856" s="31">
        <v>4</v>
      </c>
      <c r="E856" s="35" t="s">
        <v>2164</v>
      </c>
      <c r="F856" s="31" t="s">
        <v>131</v>
      </c>
      <c r="G856" s="31" t="s">
        <v>3665</v>
      </c>
      <c r="H856" s="31" t="s">
        <v>3666</v>
      </c>
      <c r="I856" s="31" t="s">
        <v>3842</v>
      </c>
      <c r="J856" s="37" t="s">
        <v>4047</v>
      </c>
      <c r="K856" s="31" t="s">
        <v>2328</v>
      </c>
      <c r="L856" s="31" t="s">
        <v>480</v>
      </c>
      <c r="M856" s="31" t="s">
        <v>2232</v>
      </c>
      <c r="N856" s="31" t="s">
        <v>2328</v>
      </c>
    </row>
    <row r="857" spans="1:14" ht="75" x14ac:dyDescent="0.25">
      <c r="A857" s="31" t="s">
        <v>3290</v>
      </c>
      <c r="B857" s="32" t="s">
        <v>2165</v>
      </c>
      <c r="C857" s="31" t="b">
        <v>0</v>
      </c>
      <c r="D857" s="31">
        <v>4</v>
      </c>
      <c r="E857" s="35" t="s">
        <v>2166</v>
      </c>
      <c r="F857" s="31" t="s">
        <v>131</v>
      </c>
      <c r="G857" s="31" t="s">
        <v>3665</v>
      </c>
      <c r="H857" s="31" t="s">
        <v>3666</v>
      </c>
      <c r="I857" s="31" t="s">
        <v>3842</v>
      </c>
      <c r="J857" s="37" t="s">
        <v>4047</v>
      </c>
      <c r="K857" s="31" t="s">
        <v>2328</v>
      </c>
      <c r="L857" s="31" t="s">
        <v>480</v>
      </c>
      <c r="M857" s="31" t="s">
        <v>2232</v>
      </c>
      <c r="N857" s="31" t="s">
        <v>2328</v>
      </c>
    </row>
    <row r="858" spans="1:14" ht="75" x14ac:dyDescent="0.25">
      <c r="A858" s="31" t="s">
        <v>2328</v>
      </c>
      <c r="B858" s="32" t="s">
        <v>2167</v>
      </c>
      <c r="C858" s="31" t="b">
        <v>1</v>
      </c>
      <c r="D858" s="31">
        <v>0</v>
      </c>
      <c r="E858" s="33" t="s">
        <v>2384</v>
      </c>
      <c r="F858" s="31" t="s">
        <v>3443</v>
      </c>
      <c r="G858" s="31" t="s">
        <v>3665</v>
      </c>
      <c r="H858" s="31" t="s">
        <v>3666</v>
      </c>
      <c r="I858" s="31" t="s">
        <v>3842</v>
      </c>
      <c r="J858" s="37" t="s">
        <v>4047</v>
      </c>
      <c r="K858" s="31" t="s">
        <v>2328</v>
      </c>
      <c r="L858" s="31" t="s">
        <v>484</v>
      </c>
      <c r="M858" s="31" t="s">
        <v>2232</v>
      </c>
      <c r="N858" s="31" t="s">
        <v>2328</v>
      </c>
    </row>
    <row r="859" spans="1:14" ht="75" x14ac:dyDescent="0.25">
      <c r="A859" s="31" t="s">
        <v>2328</v>
      </c>
      <c r="B859" s="32" t="s">
        <v>2323</v>
      </c>
      <c r="C859" s="31" t="b">
        <v>1</v>
      </c>
      <c r="D859" s="31">
        <v>2</v>
      </c>
      <c r="E859" s="34" t="s">
        <v>3381</v>
      </c>
      <c r="F859" s="31" t="s">
        <v>3443</v>
      </c>
      <c r="G859" s="31" t="s">
        <v>3665</v>
      </c>
      <c r="H859" s="31" t="s">
        <v>3666</v>
      </c>
      <c r="I859" s="31" t="s">
        <v>3842</v>
      </c>
      <c r="J859" s="37" t="s">
        <v>4047</v>
      </c>
      <c r="K859" s="31" t="s">
        <v>2328</v>
      </c>
      <c r="L859" s="31" t="s">
        <v>2328</v>
      </c>
      <c r="M859" s="31" t="s">
        <v>2232</v>
      </c>
      <c r="N859" s="31" t="s">
        <v>2328</v>
      </c>
    </row>
    <row r="860" spans="1:14" ht="75" x14ac:dyDescent="0.25">
      <c r="A860" s="31" t="s">
        <v>3291</v>
      </c>
      <c r="B860" s="32" t="s">
        <v>2168</v>
      </c>
      <c r="C860" s="31" t="b">
        <v>0</v>
      </c>
      <c r="D860" s="31">
        <v>4</v>
      </c>
      <c r="E860" s="35" t="s">
        <v>2169</v>
      </c>
      <c r="F860" s="31" t="s">
        <v>131</v>
      </c>
      <c r="G860" s="31" t="s">
        <v>3665</v>
      </c>
      <c r="H860" s="31" t="s">
        <v>3666</v>
      </c>
      <c r="I860" s="31" t="s">
        <v>3842</v>
      </c>
      <c r="J860" s="37" t="s">
        <v>4047</v>
      </c>
      <c r="K860" s="31" t="s">
        <v>2328</v>
      </c>
      <c r="L860" s="31" t="s">
        <v>484</v>
      </c>
      <c r="M860" s="31" t="s">
        <v>2232</v>
      </c>
      <c r="N860" s="31" t="s">
        <v>2328</v>
      </c>
    </row>
    <row r="861" spans="1:14" ht="75" x14ac:dyDescent="0.25">
      <c r="A861" s="31" t="s">
        <v>3292</v>
      </c>
      <c r="B861" s="32" t="s">
        <v>2170</v>
      </c>
      <c r="C861" s="31" t="b">
        <v>0</v>
      </c>
      <c r="D861" s="31">
        <v>4</v>
      </c>
      <c r="E861" s="35" t="s">
        <v>2172</v>
      </c>
      <c r="F861" s="31" t="s">
        <v>131</v>
      </c>
      <c r="G861" s="31" t="s">
        <v>3665</v>
      </c>
      <c r="H861" s="31" t="s">
        <v>3666</v>
      </c>
      <c r="I861" s="31" t="s">
        <v>3842</v>
      </c>
      <c r="J861" s="37" t="s">
        <v>4047</v>
      </c>
      <c r="K861" s="31" t="s">
        <v>2328</v>
      </c>
      <c r="L861" s="31" t="s">
        <v>484</v>
      </c>
      <c r="M861" s="31" t="s">
        <v>2232</v>
      </c>
      <c r="N861" s="31" t="s">
        <v>2328</v>
      </c>
    </row>
    <row r="862" spans="1:14" x14ac:dyDescent="0.25">
      <c r="A862" s="31" t="s">
        <v>2328</v>
      </c>
      <c r="B862" s="32" t="s">
        <v>2173</v>
      </c>
      <c r="C862" s="31" t="b">
        <v>1</v>
      </c>
      <c r="D862" s="31">
        <v>2</v>
      </c>
      <c r="E862" s="34" t="s">
        <v>3382</v>
      </c>
      <c r="F862" s="31" t="s">
        <v>3443</v>
      </c>
      <c r="G862" s="31" t="s">
        <v>2328</v>
      </c>
      <c r="H862" s="31" t="s">
        <v>2328</v>
      </c>
      <c r="I862" s="31" t="s">
        <v>2328</v>
      </c>
      <c r="J862" s="37" t="s">
        <v>2328</v>
      </c>
      <c r="K862" s="31" t="s">
        <v>2328</v>
      </c>
      <c r="L862" s="31" t="s">
        <v>486</v>
      </c>
      <c r="M862" s="31" t="s">
        <v>2265</v>
      </c>
      <c r="N862" s="31" t="s">
        <v>2328</v>
      </c>
    </row>
    <row r="863" spans="1:14" ht="30" x14ac:dyDescent="0.25">
      <c r="A863" s="31" t="s">
        <v>2328</v>
      </c>
      <c r="B863" s="32" t="s">
        <v>2175</v>
      </c>
      <c r="C863" s="31" t="b">
        <v>0</v>
      </c>
      <c r="D863" s="31">
        <v>4</v>
      </c>
      <c r="E863" s="35" t="s">
        <v>2176</v>
      </c>
      <c r="F863" s="31" t="s">
        <v>131</v>
      </c>
      <c r="G863" s="31" t="s">
        <v>2328</v>
      </c>
      <c r="H863" s="31" t="s">
        <v>2328</v>
      </c>
      <c r="I863" s="31" t="s">
        <v>2328</v>
      </c>
      <c r="J863" s="37" t="s">
        <v>2328</v>
      </c>
      <c r="K863" s="31" t="s">
        <v>2328</v>
      </c>
      <c r="L863" s="31" t="s">
        <v>486</v>
      </c>
      <c r="M863" s="31" t="s">
        <v>2265</v>
      </c>
      <c r="N863" s="31" t="s">
        <v>2328</v>
      </c>
    </row>
    <row r="864" spans="1:14" x14ac:dyDescent="0.25">
      <c r="A864" s="31" t="s">
        <v>2328</v>
      </c>
      <c r="B864" s="32" t="s">
        <v>2177</v>
      </c>
      <c r="C864" s="31" t="b">
        <v>0</v>
      </c>
      <c r="D864" s="31">
        <v>4</v>
      </c>
      <c r="E864" s="35" t="s">
        <v>2179</v>
      </c>
      <c r="F864" s="31" t="s">
        <v>131</v>
      </c>
      <c r="G864" s="31" t="s">
        <v>2328</v>
      </c>
      <c r="H864" s="31" t="s">
        <v>2328</v>
      </c>
      <c r="I864" s="31" t="s">
        <v>2328</v>
      </c>
      <c r="J864" s="37" t="s">
        <v>2328</v>
      </c>
      <c r="K864" s="31" t="s">
        <v>2328</v>
      </c>
      <c r="L864" s="31" t="s">
        <v>486</v>
      </c>
      <c r="M864" s="31" t="s">
        <v>2265</v>
      </c>
      <c r="N864" s="31" t="s">
        <v>2328</v>
      </c>
    </row>
    <row r="865" spans="1:14" x14ac:dyDescent="0.25">
      <c r="A865" s="31" t="s">
        <v>2328</v>
      </c>
      <c r="B865" s="32" t="s">
        <v>2180</v>
      </c>
      <c r="C865" s="31" t="b">
        <v>0</v>
      </c>
      <c r="D865" s="31">
        <v>4</v>
      </c>
      <c r="E865" s="35" t="s">
        <v>2182</v>
      </c>
      <c r="F865" s="31" t="s">
        <v>131</v>
      </c>
      <c r="G865" s="31" t="s">
        <v>2328</v>
      </c>
      <c r="H865" s="31" t="s">
        <v>2328</v>
      </c>
      <c r="I865" s="31" t="s">
        <v>2328</v>
      </c>
      <c r="J865" s="37" t="s">
        <v>2328</v>
      </c>
      <c r="K865" s="31" t="s">
        <v>2328</v>
      </c>
      <c r="L865" s="31" t="s">
        <v>486</v>
      </c>
      <c r="M865" s="31" t="s">
        <v>2265</v>
      </c>
      <c r="N865" s="31" t="s">
        <v>2328</v>
      </c>
    </row>
    <row r="866" spans="1:14" ht="30" x14ac:dyDescent="0.25">
      <c r="A866" s="31" t="s">
        <v>2328</v>
      </c>
      <c r="B866" s="32" t="s">
        <v>2183</v>
      </c>
      <c r="C866" s="31" t="b">
        <v>0</v>
      </c>
      <c r="D866" s="31">
        <v>4</v>
      </c>
      <c r="E866" s="35" t="s">
        <v>2184</v>
      </c>
      <c r="F866" s="31" t="s">
        <v>131</v>
      </c>
      <c r="G866" s="31" t="s">
        <v>2328</v>
      </c>
      <c r="H866" s="31" t="s">
        <v>2328</v>
      </c>
      <c r="I866" s="31" t="s">
        <v>2328</v>
      </c>
      <c r="J866" s="37" t="s">
        <v>2328</v>
      </c>
      <c r="K866" s="31" t="s">
        <v>2328</v>
      </c>
      <c r="L866" s="31" t="s">
        <v>486</v>
      </c>
      <c r="M866" s="31" t="s">
        <v>2265</v>
      </c>
      <c r="N866" s="31" t="s">
        <v>2328</v>
      </c>
    </row>
    <row r="867" spans="1:14" ht="30" x14ac:dyDescent="0.25">
      <c r="A867" s="31" t="s">
        <v>2328</v>
      </c>
      <c r="B867" s="32" t="s">
        <v>2185</v>
      </c>
      <c r="C867" s="31" t="b">
        <v>0</v>
      </c>
      <c r="D867" s="31">
        <v>4</v>
      </c>
      <c r="E867" s="35" t="s">
        <v>2186</v>
      </c>
      <c r="F867" s="31" t="s">
        <v>131</v>
      </c>
      <c r="G867" s="31" t="s">
        <v>2328</v>
      </c>
      <c r="H867" s="31" t="s">
        <v>2328</v>
      </c>
      <c r="I867" s="31" t="s">
        <v>2328</v>
      </c>
      <c r="J867" s="37" t="s">
        <v>2328</v>
      </c>
      <c r="K867" s="31" t="s">
        <v>2328</v>
      </c>
      <c r="L867" s="31" t="s">
        <v>486</v>
      </c>
      <c r="M867" s="31" t="s">
        <v>2265</v>
      </c>
      <c r="N867" s="31" t="s">
        <v>2328</v>
      </c>
    </row>
    <row r="868" spans="1:14" ht="30" x14ac:dyDescent="0.25">
      <c r="A868" s="31" t="s">
        <v>2328</v>
      </c>
      <c r="B868" s="32" t="s">
        <v>2187</v>
      </c>
      <c r="C868" s="31" t="b">
        <v>0</v>
      </c>
      <c r="D868" s="31">
        <v>4</v>
      </c>
      <c r="E868" s="35" t="s">
        <v>2188</v>
      </c>
      <c r="F868" s="31" t="s">
        <v>131</v>
      </c>
      <c r="G868" s="31" t="s">
        <v>2328</v>
      </c>
      <c r="H868" s="31" t="s">
        <v>2328</v>
      </c>
      <c r="I868" s="31" t="s">
        <v>2328</v>
      </c>
      <c r="J868" s="37" t="s">
        <v>2328</v>
      </c>
      <c r="K868" s="31" t="s">
        <v>2328</v>
      </c>
      <c r="L868" s="31" t="s">
        <v>486</v>
      </c>
      <c r="M868" s="31" t="s">
        <v>2265</v>
      </c>
      <c r="N868" s="31" t="s">
        <v>2328</v>
      </c>
    </row>
    <row r="869" spans="1:14" ht="45" x14ac:dyDescent="0.25">
      <c r="A869" s="31" t="s">
        <v>2328</v>
      </c>
      <c r="B869" s="32" t="s">
        <v>2189</v>
      </c>
      <c r="C869" s="31" t="b">
        <v>0</v>
      </c>
      <c r="D869" s="31">
        <v>4</v>
      </c>
      <c r="E869" s="35" t="s">
        <v>2325</v>
      </c>
      <c r="F869" s="31" t="s">
        <v>131</v>
      </c>
      <c r="G869" s="31" t="s">
        <v>2328</v>
      </c>
      <c r="H869" s="31" t="s">
        <v>2328</v>
      </c>
      <c r="I869" s="31" t="s">
        <v>2328</v>
      </c>
      <c r="J869" s="37" t="s">
        <v>2328</v>
      </c>
      <c r="K869" s="31" t="s">
        <v>2328</v>
      </c>
      <c r="L869" s="31" t="s">
        <v>486</v>
      </c>
      <c r="M869" s="31" t="s">
        <v>2265</v>
      </c>
      <c r="N869" s="31" t="s">
        <v>2328</v>
      </c>
    </row>
    <row r="870" spans="1:14" ht="75" x14ac:dyDescent="0.25">
      <c r="A870" s="31" t="s">
        <v>2328</v>
      </c>
      <c r="B870" s="32" t="s">
        <v>2190</v>
      </c>
      <c r="C870" s="31" t="b">
        <v>1</v>
      </c>
      <c r="D870" s="31">
        <v>0</v>
      </c>
      <c r="E870" s="33" t="s">
        <v>2385</v>
      </c>
      <c r="F870" s="31" t="s">
        <v>3443</v>
      </c>
      <c r="G870" s="31" t="s">
        <v>3665</v>
      </c>
      <c r="H870" s="31" t="s">
        <v>3666</v>
      </c>
      <c r="I870" s="31" t="s">
        <v>3842</v>
      </c>
      <c r="J870" s="37" t="s">
        <v>4047</v>
      </c>
      <c r="K870" s="31" t="s">
        <v>2328</v>
      </c>
      <c r="L870" s="31" t="s">
        <v>488</v>
      </c>
      <c r="M870" s="31" t="s">
        <v>2232</v>
      </c>
      <c r="N870" s="31" t="s">
        <v>2328</v>
      </c>
    </row>
    <row r="871" spans="1:14" ht="75" x14ac:dyDescent="0.25">
      <c r="A871" s="31" t="s">
        <v>3293</v>
      </c>
      <c r="B871" s="32" t="s">
        <v>2191</v>
      </c>
      <c r="C871" s="31" t="b">
        <v>1</v>
      </c>
      <c r="D871" s="31">
        <v>2</v>
      </c>
      <c r="E871" s="34" t="s">
        <v>3559</v>
      </c>
      <c r="F871" s="31" t="s">
        <v>3443</v>
      </c>
      <c r="G871" s="31" t="s">
        <v>3665</v>
      </c>
      <c r="H871" s="31" t="s">
        <v>3666</v>
      </c>
      <c r="I871" s="31" t="s">
        <v>3842</v>
      </c>
      <c r="J871" s="37" t="s">
        <v>4047</v>
      </c>
      <c r="K871" s="31" t="s">
        <v>2328</v>
      </c>
      <c r="L871" s="31" t="s">
        <v>491</v>
      </c>
      <c r="M871" s="31" t="s">
        <v>2232</v>
      </c>
      <c r="N871" s="31" t="s">
        <v>2328</v>
      </c>
    </row>
    <row r="872" spans="1:14" ht="75" x14ac:dyDescent="0.25">
      <c r="A872" s="31" t="s">
        <v>3293</v>
      </c>
      <c r="B872" s="32" t="s">
        <v>3536</v>
      </c>
      <c r="C872" s="31" t="b">
        <v>0</v>
      </c>
      <c r="D872" s="31">
        <v>4</v>
      </c>
      <c r="E872" s="35" t="s">
        <v>3535</v>
      </c>
      <c r="F872" s="31" t="s">
        <v>139</v>
      </c>
      <c r="G872" s="31" t="s">
        <v>3665</v>
      </c>
      <c r="H872" s="31" t="s">
        <v>3666</v>
      </c>
      <c r="I872" s="31" t="s">
        <v>3842</v>
      </c>
      <c r="J872" s="37" t="s">
        <v>4047</v>
      </c>
      <c r="K872" s="31" t="s">
        <v>2328</v>
      </c>
      <c r="L872" s="31" t="s">
        <v>2328</v>
      </c>
      <c r="M872" s="31" t="s">
        <v>2232</v>
      </c>
      <c r="N872" s="31" t="s">
        <v>2328</v>
      </c>
    </row>
    <row r="873" spans="1:14" ht="75" x14ac:dyDescent="0.25">
      <c r="A873" s="31" t="s">
        <v>3294</v>
      </c>
      <c r="B873" s="32" t="s">
        <v>2192</v>
      </c>
      <c r="C873" s="31" t="b">
        <v>0</v>
      </c>
      <c r="D873" s="31">
        <v>4</v>
      </c>
      <c r="E873" s="35" t="s">
        <v>40</v>
      </c>
      <c r="F873" s="31" t="s">
        <v>131</v>
      </c>
      <c r="G873" s="31" t="s">
        <v>3665</v>
      </c>
      <c r="H873" s="31" t="s">
        <v>3666</v>
      </c>
      <c r="I873" s="31" t="s">
        <v>3842</v>
      </c>
      <c r="J873" s="37" t="s">
        <v>4047</v>
      </c>
      <c r="K873" s="31" t="s">
        <v>2328</v>
      </c>
      <c r="L873" s="31" t="s">
        <v>491</v>
      </c>
      <c r="M873" s="31" t="s">
        <v>2232</v>
      </c>
      <c r="N873" s="31" t="s">
        <v>2328</v>
      </c>
    </row>
    <row r="874" spans="1:14" ht="75" x14ac:dyDescent="0.25">
      <c r="A874" s="31" t="s">
        <v>3295</v>
      </c>
      <c r="B874" s="32" t="s">
        <v>2194</v>
      </c>
      <c r="C874" s="31" t="b">
        <v>0</v>
      </c>
      <c r="D874" s="31">
        <v>4</v>
      </c>
      <c r="E874" s="35" t="s">
        <v>39</v>
      </c>
      <c r="F874" s="31" t="s">
        <v>131</v>
      </c>
      <c r="G874" s="31" t="s">
        <v>3665</v>
      </c>
      <c r="H874" s="31" t="s">
        <v>3666</v>
      </c>
      <c r="I874" s="31" t="s">
        <v>3842</v>
      </c>
      <c r="J874" s="37" t="s">
        <v>4047</v>
      </c>
      <c r="K874" s="31" t="s">
        <v>2328</v>
      </c>
      <c r="L874" s="31" t="s">
        <v>491</v>
      </c>
      <c r="M874" s="31" t="s">
        <v>2232</v>
      </c>
      <c r="N874" s="31" t="s">
        <v>2328</v>
      </c>
    </row>
    <row r="875" spans="1:14" ht="75" x14ac:dyDescent="0.25">
      <c r="A875" s="31" t="s">
        <v>3296</v>
      </c>
      <c r="B875" s="32" t="s">
        <v>2196</v>
      </c>
      <c r="C875" s="31" t="b">
        <v>0</v>
      </c>
      <c r="D875" s="31">
        <v>4</v>
      </c>
      <c r="E875" s="35" t="s">
        <v>38</v>
      </c>
      <c r="F875" s="31" t="s">
        <v>131</v>
      </c>
      <c r="G875" s="31" t="s">
        <v>3665</v>
      </c>
      <c r="H875" s="31" t="s">
        <v>3666</v>
      </c>
      <c r="I875" s="31" t="s">
        <v>3842</v>
      </c>
      <c r="J875" s="37" t="s">
        <v>4047</v>
      </c>
      <c r="K875" s="31" t="s">
        <v>2328</v>
      </c>
      <c r="L875" s="31" t="s">
        <v>491</v>
      </c>
      <c r="M875" s="31" t="s">
        <v>2232</v>
      </c>
      <c r="N875" s="31" t="s">
        <v>2328</v>
      </c>
    </row>
    <row r="876" spans="1:14" ht="75" x14ac:dyDescent="0.25">
      <c r="A876" s="31" t="s">
        <v>3297</v>
      </c>
      <c r="B876" s="32" t="s">
        <v>2197</v>
      </c>
      <c r="C876" s="31" t="b">
        <v>0</v>
      </c>
      <c r="D876" s="31">
        <v>4</v>
      </c>
      <c r="E876" s="35" t="s">
        <v>37</v>
      </c>
      <c r="F876" s="31" t="s">
        <v>131</v>
      </c>
      <c r="G876" s="31" t="s">
        <v>3665</v>
      </c>
      <c r="H876" s="31" t="s">
        <v>3666</v>
      </c>
      <c r="I876" s="31" t="s">
        <v>3842</v>
      </c>
      <c r="J876" s="37" t="s">
        <v>4047</v>
      </c>
      <c r="K876" s="31" t="s">
        <v>2328</v>
      </c>
      <c r="L876" s="31" t="s">
        <v>491</v>
      </c>
      <c r="M876" s="31" t="s">
        <v>2232</v>
      </c>
      <c r="N876" s="31" t="s">
        <v>2328</v>
      </c>
    </row>
    <row r="877" spans="1:14" ht="75" x14ac:dyDescent="0.25">
      <c r="A877" s="31" t="s">
        <v>3298</v>
      </c>
      <c r="B877" s="32" t="s">
        <v>2198</v>
      </c>
      <c r="C877" s="31" t="b">
        <v>0</v>
      </c>
      <c r="D877" s="31">
        <v>4</v>
      </c>
      <c r="E877" s="35" t="s">
        <v>2199</v>
      </c>
      <c r="F877" s="31" t="s">
        <v>131</v>
      </c>
      <c r="G877" s="31" t="s">
        <v>3665</v>
      </c>
      <c r="H877" s="31" t="s">
        <v>3666</v>
      </c>
      <c r="I877" s="31" t="s">
        <v>3842</v>
      </c>
      <c r="J877" s="37" t="s">
        <v>4047</v>
      </c>
      <c r="K877" s="31" t="s">
        <v>2328</v>
      </c>
      <c r="L877" s="31" t="s">
        <v>491</v>
      </c>
      <c r="M877" s="31" t="s">
        <v>2232</v>
      </c>
      <c r="N877" s="31" t="s">
        <v>2328</v>
      </c>
    </row>
    <row r="878" spans="1:14" ht="75" x14ac:dyDescent="0.25">
      <c r="A878" s="31" t="s">
        <v>3299</v>
      </c>
      <c r="B878" s="32" t="s">
        <v>2200</v>
      </c>
      <c r="C878" s="31" t="b">
        <v>0</v>
      </c>
      <c r="D878" s="31">
        <v>4</v>
      </c>
      <c r="E878" s="35" t="s">
        <v>36</v>
      </c>
      <c r="F878" s="31" t="s">
        <v>131</v>
      </c>
      <c r="G878" s="31" t="s">
        <v>3665</v>
      </c>
      <c r="H878" s="31" t="s">
        <v>3666</v>
      </c>
      <c r="I878" s="31" t="s">
        <v>3842</v>
      </c>
      <c r="J878" s="37" t="s">
        <v>4047</v>
      </c>
      <c r="K878" s="31" t="s">
        <v>2328</v>
      </c>
      <c r="L878" s="31" t="s">
        <v>491</v>
      </c>
      <c r="M878" s="31" t="s">
        <v>2232</v>
      </c>
      <c r="N878" s="31" t="s">
        <v>2328</v>
      </c>
    </row>
    <row r="879" spans="1:14" ht="75" x14ac:dyDescent="0.25">
      <c r="A879" s="31" t="s">
        <v>3300</v>
      </c>
      <c r="B879" s="32" t="s">
        <v>2201</v>
      </c>
      <c r="C879" s="31" t="b">
        <v>1</v>
      </c>
      <c r="D879" s="31">
        <v>2</v>
      </c>
      <c r="E879" s="34" t="s">
        <v>3383</v>
      </c>
      <c r="F879" s="31" t="s">
        <v>3443</v>
      </c>
      <c r="G879" s="31" t="s">
        <v>3665</v>
      </c>
      <c r="H879" s="31" t="s">
        <v>3666</v>
      </c>
      <c r="I879" s="31" t="s">
        <v>3842</v>
      </c>
      <c r="J879" s="37" t="s">
        <v>4047</v>
      </c>
      <c r="K879" s="31" t="s">
        <v>2328</v>
      </c>
      <c r="L879" s="31" t="s">
        <v>493</v>
      </c>
      <c r="M879" s="31" t="s">
        <v>2232</v>
      </c>
      <c r="N879" s="31" t="s">
        <v>2328</v>
      </c>
    </row>
    <row r="880" spans="1:14" ht="75" x14ac:dyDescent="0.25">
      <c r="A880" s="31" t="s">
        <v>3301</v>
      </c>
      <c r="B880" s="32" t="s">
        <v>2203</v>
      </c>
      <c r="C880" s="31" t="b">
        <v>0</v>
      </c>
      <c r="D880" s="31">
        <v>4</v>
      </c>
      <c r="E880" s="35" t="s">
        <v>2205</v>
      </c>
      <c r="F880" s="31" t="s">
        <v>131</v>
      </c>
      <c r="G880" s="31" t="s">
        <v>3665</v>
      </c>
      <c r="H880" s="31" t="s">
        <v>3666</v>
      </c>
      <c r="I880" s="31" t="s">
        <v>3842</v>
      </c>
      <c r="J880" s="37" t="s">
        <v>4047</v>
      </c>
      <c r="K880" s="31" t="s">
        <v>2328</v>
      </c>
      <c r="L880" s="31" t="s">
        <v>493</v>
      </c>
      <c r="M880" s="31" t="s">
        <v>2232</v>
      </c>
      <c r="N880" s="31" t="s">
        <v>2328</v>
      </c>
    </row>
    <row r="881" spans="1:14" ht="75" x14ac:dyDescent="0.25">
      <c r="A881" s="31" t="s">
        <v>3302</v>
      </c>
      <c r="B881" s="32" t="s">
        <v>2206</v>
      </c>
      <c r="C881" s="31" t="b">
        <v>0</v>
      </c>
      <c r="D881" s="31">
        <v>4</v>
      </c>
      <c r="E881" s="35" t="s">
        <v>2326</v>
      </c>
      <c r="F881" s="31" t="s">
        <v>131</v>
      </c>
      <c r="G881" s="31" t="s">
        <v>3665</v>
      </c>
      <c r="H881" s="31" t="s">
        <v>3666</v>
      </c>
      <c r="I881" s="31" t="s">
        <v>3842</v>
      </c>
      <c r="J881" s="37" t="s">
        <v>4047</v>
      </c>
      <c r="K881" s="31" t="s">
        <v>2328</v>
      </c>
      <c r="L881" s="31" t="s">
        <v>493</v>
      </c>
      <c r="M881" s="31" t="s">
        <v>2232</v>
      </c>
      <c r="N881" s="31" t="s">
        <v>2328</v>
      </c>
    </row>
    <row r="882" spans="1:14" ht="75" x14ac:dyDescent="0.25">
      <c r="A882" s="31" t="s">
        <v>3303</v>
      </c>
      <c r="B882" s="32" t="s">
        <v>2208</v>
      </c>
      <c r="C882" s="31" t="b">
        <v>0</v>
      </c>
      <c r="D882" s="31">
        <v>4</v>
      </c>
      <c r="E882" s="35" t="s">
        <v>2210</v>
      </c>
      <c r="F882" s="31" t="s">
        <v>131</v>
      </c>
      <c r="G882" s="31" t="s">
        <v>3665</v>
      </c>
      <c r="H882" s="31" t="s">
        <v>3666</v>
      </c>
      <c r="I882" s="31" t="s">
        <v>3842</v>
      </c>
      <c r="J882" s="37" t="s">
        <v>4047</v>
      </c>
      <c r="K882" s="31" t="s">
        <v>2328</v>
      </c>
      <c r="L882" s="31" t="s">
        <v>493</v>
      </c>
      <c r="M882" s="31" t="s">
        <v>2232</v>
      </c>
      <c r="N882" s="31" t="s">
        <v>2328</v>
      </c>
    </row>
    <row r="883" spans="1:14" ht="75" x14ac:dyDescent="0.25">
      <c r="A883" s="31" t="s">
        <v>3304</v>
      </c>
      <c r="B883" s="32" t="s">
        <v>2211</v>
      </c>
      <c r="C883" s="31" t="b">
        <v>1</v>
      </c>
      <c r="D883" s="31">
        <v>2</v>
      </c>
      <c r="E883" s="34" t="s">
        <v>3384</v>
      </c>
      <c r="F883" s="31" t="s">
        <v>3443</v>
      </c>
      <c r="G883" s="31" t="s">
        <v>3665</v>
      </c>
      <c r="H883" s="31" t="s">
        <v>3666</v>
      </c>
      <c r="I883" s="31" t="s">
        <v>3842</v>
      </c>
      <c r="J883" s="37" t="s">
        <v>4047</v>
      </c>
      <c r="K883" s="31" t="s">
        <v>2328</v>
      </c>
      <c r="L883" s="31" t="s">
        <v>495</v>
      </c>
      <c r="M883" s="31" t="s">
        <v>2232</v>
      </c>
      <c r="N883" s="31" t="s">
        <v>2328</v>
      </c>
    </row>
    <row r="884" spans="1:14" ht="75" x14ac:dyDescent="0.25">
      <c r="A884" s="31" t="s">
        <v>3305</v>
      </c>
      <c r="B884" s="32" t="s">
        <v>2213</v>
      </c>
      <c r="C884" s="31" t="b">
        <v>0</v>
      </c>
      <c r="D884" s="31">
        <v>4</v>
      </c>
      <c r="E884" s="35" t="s">
        <v>2214</v>
      </c>
      <c r="F884" s="31" t="s">
        <v>131</v>
      </c>
      <c r="G884" s="31" t="s">
        <v>3665</v>
      </c>
      <c r="H884" s="31" t="s">
        <v>3666</v>
      </c>
      <c r="I884" s="31" t="s">
        <v>3842</v>
      </c>
      <c r="J884" s="37" t="s">
        <v>4047</v>
      </c>
      <c r="K884" s="31" t="s">
        <v>2328</v>
      </c>
      <c r="L884" s="31" t="s">
        <v>495</v>
      </c>
      <c r="M884" s="31" t="s">
        <v>2232</v>
      </c>
      <c r="N884" s="31" t="s">
        <v>2328</v>
      </c>
    </row>
    <row r="885" spans="1:14" ht="75" x14ac:dyDescent="0.25">
      <c r="A885" s="31" t="s">
        <v>3306</v>
      </c>
      <c r="B885" s="32" t="s">
        <v>2215</v>
      </c>
      <c r="C885" s="31" t="b">
        <v>0</v>
      </c>
      <c r="D885" s="31">
        <v>4</v>
      </c>
      <c r="E885" s="35" t="s">
        <v>2216</v>
      </c>
      <c r="F885" s="31" t="s">
        <v>131</v>
      </c>
      <c r="G885" s="31" t="s">
        <v>3665</v>
      </c>
      <c r="H885" s="31" t="s">
        <v>3666</v>
      </c>
      <c r="I885" s="31" t="s">
        <v>3842</v>
      </c>
      <c r="J885" s="37" t="s">
        <v>4047</v>
      </c>
      <c r="K885" s="31" t="s">
        <v>2328</v>
      </c>
      <c r="L885" s="31" t="s">
        <v>495</v>
      </c>
      <c r="M885" s="31" t="s">
        <v>2232</v>
      </c>
      <c r="N885" s="31" t="s">
        <v>2328</v>
      </c>
    </row>
    <row r="886" spans="1:14" ht="75" x14ac:dyDescent="0.25">
      <c r="A886" s="31" t="s">
        <v>3307</v>
      </c>
      <c r="B886" s="32" t="s">
        <v>2217</v>
      </c>
      <c r="C886" s="31" t="b">
        <v>0</v>
      </c>
      <c r="D886" s="31">
        <v>4</v>
      </c>
      <c r="E886" s="35" t="s">
        <v>2218</v>
      </c>
      <c r="F886" s="31" t="s">
        <v>131</v>
      </c>
      <c r="G886" s="31" t="s">
        <v>3665</v>
      </c>
      <c r="H886" s="31" t="s">
        <v>3666</v>
      </c>
      <c r="I886" s="31" t="s">
        <v>3842</v>
      </c>
      <c r="J886" s="37" t="s">
        <v>4047</v>
      </c>
      <c r="K886" s="31" t="s">
        <v>2328</v>
      </c>
      <c r="L886" s="31" t="s">
        <v>495</v>
      </c>
      <c r="M886" s="31" t="s">
        <v>2232</v>
      </c>
      <c r="N886" s="31" t="s">
        <v>2328</v>
      </c>
    </row>
    <row r="887" spans="1:14" ht="75" x14ac:dyDescent="0.25">
      <c r="A887" s="31" t="s">
        <v>2328</v>
      </c>
      <c r="B887" s="32" t="s">
        <v>2219</v>
      </c>
      <c r="C887" s="31" t="b">
        <v>1</v>
      </c>
      <c r="D887" s="31">
        <v>0</v>
      </c>
      <c r="E887" s="33" t="s">
        <v>2386</v>
      </c>
      <c r="F887" s="31" t="s">
        <v>3443</v>
      </c>
      <c r="G887" s="31" t="s">
        <v>3665</v>
      </c>
      <c r="H887" s="31" t="s">
        <v>3666</v>
      </c>
      <c r="I887" s="31" t="s">
        <v>3842</v>
      </c>
      <c r="J887" s="37" t="s">
        <v>4047</v>
      </c>
      <c r="K887" s="31" t="s">
        <v>2328</v>
      </c>
      <c r="L887" s="31" t="s">
        <v>497</v>
      </c>
      <c r="M887" s="31" t="s">
        <v>2232</v>
      </c>
      <c r="N887" s="31" t="s">
        <v>2328</v>
      </c>
    </row>
    <row r="888" spans="1:14" ht="75" x14ac:dyDescent="0.25">
      <c r="A888" s="31" t="s">
        <v>2328</v>
      </c>
      <c r="B888" s="32" t="s">
        <v>2220</v>
      </c>
      <c r="C888" s="31" t="b">
        <v>1</v>
      </c>
      <c r="D888" s="31">
        <v>2</v>
      </c>
      <c r="E888" s="34" t="s">
        <v>3385</v>
      </c>
      <c r="F888" s="31" t="s">
        <v>3443</v>
      </c>
      <c r="G888" s="31" t="s">
        <v>3665</v>
      </c>
      <c r="H888" s="31" t="s">
        <v>3666</v>
      </c>
      <c r="I888" s="31" t="s">
        <v>3842</v>
      </c>
      <c r="J888" s="37" t="s">
        <v>4047</v>
      </c>
      <c r="K888" s="31" t="s">
        <v>2328</v>
      </c>
      <c r="L888" s="31" t="s">
        <v>500</v>
      </c>
      <c r="M888" s="31" t="s">
        <v>2232</v>
      </c>
      <c r="N888" s="31" t="s">
        <v>2328</v>
      </c>
    </row>
    <row r="889" spans="1:14" ht="75" x14ac:dyDescent="0.25">
      <c r="A889" s="31" t="s">
        <v>2328</v>
      </c>
      <c r="B889" s="32" t="s">
        <v>2222</v>
      </c>
      <c r="C889" s="31" t="b">
        <v>0</v>
      </c>
      <c r="D889" s="31">
        <v>4</v>
      </c>
      <c r="E889" s="35" t="s">
        <v>2224</v>
      </c>
      <c r="F889" s="31" t="s">
        <v>131</v>
      </c>
      <c r="G889" s="31" t="s">
        <v>3665</v>
      </c>
      <c r="H889" s="31" t="s">
        <v>3666</v>
      </c>
      <c r="I889" s="31" t="s">
        <v>3842</v>
      </c>
      <c r="J889" s="37" t="s">
        <v>4047</v>
      </c>
      <c r="K889" s="31" t="s">
        <v>2328</v>
      </c>
      <c r="L889" s="31" t="s">
        <v>500</v>
      </c>
      <c r="M889" s="31" t="s">
        <v>2232</v>
      </c>
      <c r="N889" s="31" t="s">
        <v>2328</v>
      </c>
    </row>
    <row r="890" spans="1:14" ht="45" x14ac:dyDescent="0.25">
      <c r="A890" s="31" t="s">
        <v>2328</v>
      </c>
      <c r="B890" s="32" t="s">
        <v>3716</v>
      </c>
      <c r="C890" s="31" t="b">
        <v>1</v>
      </c>
      <c r="D890" s="31">
        <v>2</v>
      </c>
      <c r="E890" s="34" t="s">
        <v>3845</v>
      </c>
      <c r="F890" s="31" t="s">
        <v>3443</v>
      </c>
      <c r="G890" s="31" t="s">
        <v>2328</v>
      </c>
      <c r="H890" s="31" t="s">
        <v>2328</v>
      </c>
      <c r="I890" s="31" t="s">
        <v>3842</v>
      </c>
      <c r="J890" s="37" t="s">
        <v>4048</v>
      </c>
      <c r="K890" s="31" t="s">
        <v>2328</v>
      </c>
      <c r="L890" s="31" t="s">
        <v>3718</v>
      </c>
      <c r="M890" s="31" t="s">
        <v>2232</v>
      </c>
      <c r="N890" s="31" t="s">
        <v>2328</v>
      </c>
    </row>
    <row r="891" spans="1:14" ht="45" x14ac:dyDescent="0.25">
      <c r="A891" s="31" t="s">
        <v>2328</v>
      </c>
      <c r="B891" s="32" t="s">
        <v>3719</v>
      </c>
      <c r="C891" s="31" t="b">
        <v>1</v>
      </c>
      <c r="D891" s="31">
        <v>2</v>
      </c>
      <c r="E891" s="34" t="s">
        <v>3846</v>
      </c>
      <c r="F891" s="31" t="s">
        <v>3443</v>
      </c>
      <c r="G891" s="31" t="s">
        <v>2328</v>
      </c>
      <c r="H891" s="31" t="s">
        <v>2328</v>
      </c>
      <c r="I891" s="31" t="s">
        <v>3842</v>
      </c>
      <c r="J891" s="37" t="s">
        <v>4048</v>
      </c>
      <c r="K891" s="31" t="s">
        <v>2328</v>
      </c>
      <c r="L891" s="31" t="s">
        <v>2328</v>
      </c>
      <c r="M891" s="31" t="s">
        <v>2232</v>
      </c>
      <c r="N891" s="31" t="s">
        <v>2328</v>
      </c>
    </row>
    <row r="892" spans="1:14" ht="45" x14ac:dyDescent="0.25">
      <c r="A892" s="31" t="s">
        <v>2328</v>
      </c>
      <c r="B892" s="32" t="s">
        <v>3721</v>
      </c>
      <c r="C892" s="31" t="b">
        <v>1</v>
      </c>
      <c r="D892" s="31">
        <v>4</v>
      </c>
      <c r="E892" s="35" t="s">
        <v>3847</v>
      </c>
      <c r="F892" s="31" t="s">
        <v>3443</v>
      </c>
      <c r="G892" s="31" t="s">
        <v>2328</v>
      </c>
      <c r="H892" s="31" t="s">
        <v>2328</v>
      </c>
      <c r="I892" s="31" t="s">
        <v>3842</v>
      </c>
      <c r="J892" s="37" t="s">
        <v>4048</v>
      </c>
      <c r="K892" s="31" t="s">
        <v>2328</v>
      </c>
      <c r="L892" s="31" t="s">
        <v>3724</v>
      </c>
      <c r="M892" s="31" t="s">
        <v>2232</v>
      </c>
      <c r="N892" s="31" t="s">
        <v>2328</v>
      </c>
    </row>
    <row r="893" spans="1:14" ht="45" x14ac:dyDescent="0.25">
      <c r="A893" s="31" t="s">
        <v>2328</v>
      </c>
      <c r="B893" s="32" t="s">
        <v>3725</v>
      </c>
      <c r="C893" s="31" t="b">
        <v>0</v>
      </c>
      <c r="D893" s="31">
        <v>6</v>
      </c>
      <c r="E893" s="38" t="s">
        <v>3727</v>
      </c>
      <c r="F893" s="31" t="s">
        <v>131</v>
      </c>
      <c r="G893" s="31" t="s">
        <v>2328</v>
      </c>
      <c r="H893" s="31" t="s">
        <v>2328</v>
      </c>
      <c r="I893" s="31" t="s">
        <v>3842</v>
      </c>
      <c r="J893" s="37" t="s">
        <v>4048</v>
      </c>
      <c r="K893" s="31" t="s">
        <v>2328</v>
      </c>
      <c r="L893" s="31" t="s">
        <v>3724</v>
      </c>
      <c r="M893" s="31" t="s">
        <v>2232</v>
      </c>
      <c r="N893" s="31" t="s">
        <v>2328</v>
      </c>
    </row>
    <row r="894" spans="1:14" ht="45" x14ac:dyDescent="0.25">
      <c r="A894" s="31" t="s">
        <v>2328</v>
      </c>
      <c r="B894" s="32" t="s">
        <v>3728</v>
      </c>
      <c r="C894" s="31" t="b">
        <v>0</v>
      </c>
      <c r="D894" s="31">
        <v>6</v>
      </c>
      <c r="E894" s="38" t="s">
        <v>3730</v>
      </c>
      <c r="F894" s="31" t="s">
        <v>131</v>
      </c>
      <c r="G894" s="31" t="s">
        <v>2328</v>
      </c>
      <c r="H894" s="31" t="s">
        <v>2328</v>
      </c>
      <c r="I894" s="31" t="s">
        <v>3842</v>
      </c>
      <c r="J894" s="37" t="s">
        <v>4048</v>
      </c>
      <c r="K894" s="31" t="s">
        <v>2328</v>
      </c>
      <c r="L894" s="31" t="s">
        <v>3724</v>
      </c>
      <c r="M894" s="31" t="s">
        <v>2232</v>
      </c>
      <c r="N894" s="31" t="s">
        <v>2328</v>
      </c>
    </row>
    <row r="895" spans="1:14" ht="45" x14ac:dyDescent="0.25">
      <c r="A895" s="31" t="s">
        <v>2328</v>
      </c>
      <c r="B895" s="32" t="s">
        <v>3731</v>
      </c>
      <c r="C895" s="31" t="b">
        <v>0</v>
      </c>
      <c r="D895" s="31">
        <v>6</v>
      </c>
      <c r="E895" s="38" t="s">
        <v>3733</v>
      </c>
      <c r="F895" s="31" t="s">
        <v>131</v>
      </c>
      <c r="G895" s="31" t="s">
        <v>2328</v>
      </c>
      <c r="H895" s="31" t="s">
        <v>2328</v>
      </c>
      <c r="I895" s="31" t="s">
        <v>3842</v>
      </c>
      <c r="J895" s="37" t="s">
        <v>4048</v>
      </c>
      <c r="K895" s="31" t="s">
        <v>2328</v>
      </c>
      <c r="L895" s="31" t="s">
        <v>3724</v>
      </c>
      <c r="M895" s="31" t="s">
        <v>2232</v>
      </c>
      <c r="N895" s="31" t="s">
        <v>2328</v>
      </c>
    </row>
    <row r="896" spans="1:14" ht="45" x14ac:dyDescent="0.25">
      <c r="A896" s="31" t="s">
        <v>2328</v>
      </c>
      <c r="B896" s="32" t="s">
        <v>3734</v>
      </c>
      <c r="C896" s="31" t="b">
        <v>0</v>
      </c>
      <c r="D896" s="31">
        <v>6</v>
      </c>
      <c r="E896" s="38" t="s">
        <v>3736</v>
      </c>
      <c r="F896" s="31" t="s">
        <v>131</v>
      </c>
      <c r="G896" s="31" t="s">
        <v>2328</v>
      </c>
      <c r="H896" s="31" t="s">
        <v>2328</v>
      </c>
      <c r="I896" s="31" t="s">
        <v>3842</v>
      </c>
      <c r="J896" s="37" t="s">
        <v>4048</v>
      </c>
      <c r="K896" s="31" t="s">
        <v>2328</v>
      </c>
      <c r="L896" s="31" t="s">
        <v>3724</v>
      </c>
      <c r="M896" s="31" t="s">
        <v>2232</v>
      </c>
      <c r="N896" s="31" t="s">
        <v>2328</v>
      </c>
    </row>
    <row r="897" spans="1:14" ht="45" x14ac:dyDescent="0.25">
      <c r="A897" s="31" t="s">
        <v>2328</v>
      </c>
      <c r="B897" s="32" t="s">
        <v>3737</v>
      </c>
      <c r="C897" s="31" t="b">
        <v>1</v>
      </c>
      <c r="D897" s="31">
        <v>4</v>
      </c>
      <c r="E897" s="35" t="s">
        <v>3848</v>
      </c>
      <c r="F897" s="31" t="s">
        <v>3443</v>
      </c>
      <c r="G897" s="31" t="s">
        <v>2328</v>
      </c>
      <c r="H897" s="31" t="s">
        <v>2328</v>
      </c>
      <c r="I897" s="31" t="s">
        <v>3842</v>
      </c>
      <c r="J897" s="37" t="s">
        <v>4048</v>
      </c>
      <c r="K897" s="31" t="s">
        <v>2328</v>
      </c>
      <c r="L897" s="31" t="s">
        <v>2328</v>
      </c>
      <c r="M897" s="31" t="s">
        <v>2232</v>
      </c>
      <c r="N897" s="31" t="s">
        <v>2328</v>
      </c>
    </row>
    <row r="898" spans="1:14" ht="45" x14ac:dyDescent="0.25">
      <c r="A898" s="31" t="s">
        <v>2328</v>
      </c>
      <c r="B898" s="32" t="s">
        <v>3739</v>
      </c>
      <c r="C898" s="31" t="b">
        <v>0</v>
      </c>
      <c r="D898" s="31">
        <v>6</v>
      </c>
      <c r="E898" s="38" t="s">
        <v>3741</v>
      </c>
      <c r="F898" s="31" t="s">
        <v>131</v>
      </c>
      <c r="G898" s="31" t="s">
        <v>2328</v>
      </c>
      <c r="H898" s="31" t="s">
        <v>2328</v>
      </c>
      <c r="I898" s="31" t="s">
        <v>3842</v>
      </c>
      <c r="J898" s="37" t="s">
        <v>4048</v>
      </c>
      <c r="K898" s="31" t="s">
        <v>2328</v>
      </c>
      <c r="L898" s="31" t="s">
        <v>3742</v>
      </c>
      <c r="M898" s="31" t="s">
        <v>2232</v>
      </c>
      <c r="N898" s="31" t="s">
        <v>2328</v>
      </c>
    </row>
    <row r="899" spans="1:14" ht="45" x14ac:dyDescent="0.25">
      <c r="A899" s="31" t="s">
        <v>2328</v>
      </c>
      <c r="B899" s="32" t="s">
        <v>3743</v>
      </c>
      <c r="C899" s="31" t="b">
        <v>0</v>
      </c>
      <c r="D899" s="31">
        <v>6</v>
      </c>
      <c r="E899" s="38" t="s">
        <v>3745</v>
      </c>
      <c r="F899" s="31" t="s">
        <v>131</v>
      </c>
      <c r="G899" s="31" t="s">
        <v>2328</v>
      </c>
      <c r="H899" s="31" t="s">
        <v>2328</v>
      </c>
      <c r="I899" s="31" t="s">
        <v>3842</v>
      </c>
      <c r="J899" s="37" t="s">
        <v>4048</v>
      </c>
      <c r="K899" s="31" t="s">
        <v>2328</v>
      </c>
      <c r="L899" s="31" t="s">
        <v>3742</v>
      </c>
      <c r="M899" s="31" t="s">
        <v>2232</v>
      </c>
      <c r="N899" s="31" t="s">
        <v>2328</v>
      </c>
    </row>
    <row r="900" spans="1:14" ht="45" x14ac:dyDescent="0.25">
      <c r="A900" s="31" t="s">
        <v>2328</v>
      </c>
      <c r="B900" s="32" t="s">
        <v>3746</v>
      </c>
      <c r="C900" s="31" t="b">
        <v>0</v>
      </c>
      <c r="D900" s="31">
        <v>6</v>
      </c>
      <c r="E900" s="38" t="s">
        <v>3748</v>
      </c>
      <c r="F900" s="31" t="s">
        <v>131</v>
      </c>
      <c r="G900" s="31" t="s">
        <v>2328</v>
      </c>
      <c r="H900" s="31" t="s">
        <v>2328</v>
      </c>
      <c r="I900" s="31" t="s">
        <v>3842</v>
      </c>
      <c r="J900" s="37" t="s">
        <v>4048</v>
      </c>
      <c r="K900" s="31" t="s">
        <v>2328</v>
      </c>
      <c r="L900" s="31" t="s">
        <v>3749</v>
      </c>
      <c r="M900" s="31" t="s">
        <v>2232</v>
      </c>
      <c r="N900" s="31" t="s">
        <v>2328</v>
      </c>
    </row>
    <row r="901" spans="1:14" ht="45" x14ac:dyDescent="0.25">
      <c r="A901" s="31" t="s">
        <v>2328</v>
      </c>
      <c r="B901" s="32" t="s">
        <v>3750</v>
      </c>
      <c r="C901" s="31" t="b">
        <v>0</v>
      </c>
      <c r="D901" s="31">
        <v>6</v>
      </c>
      <c r="E901" s="38" t="s">
        <v>3752</v>
      </c>
      <c r="F901" s="31" t="s">
        <v>131</v>
      </c>
      <c r="G901" s="31" t="s">
        <v>2328</v>
      </c>
      <c r="H901" s="31" t="s">
        <v>2328</v>
      </c>
      <c r="I901" s="31" t="s">
        <v>3842</v>
      </c>
      <c r="J901" s="37" t="s">
        <v>4048</v>
      </c>
      <c r="K901" s="31" t="s">
        <v>2328</v>
      </c>
      <c r="L901" s="31" t="s">
        <v>3749</v>
      </c>
      <c r="M901" s="31" t="s">
        <v>2232</v>
      </c>
      <c r="N901" s="31" t="s">
        <v>2328</v>
      </c>
    </row>
    <row r="902" spans="1:14" ht="45" x14ac:dyDescent="0.25">
      <c r="A902" s="31" t="s">
        <v>2328</v>
      </c>
      <c r="B902" s="32" t="s">
        <v>3753</v>
      </c>
      <c r="C902" s="31" t="b">
        <v>0</v>
      </c>
      <c r="D902" s="31">
        <v>6</v>
      </c>
      <c r="E902" s="38" t="s">
        <v>3755</v>
      </c>
      <c r="F902" s="31" t="s">
        <v>131</v>
      </c>
      <c r="G902" s="31" t="s">
        <v>2328</v>
      </c>
      <c r="H902" s="31" t="s">
        <v>2328</v>
      </c>
      <c r="I902" s="31" t="s">
        <v>3842</v>
      </c>
      <c r="J902" s="37" t="s">
        <v>4048</v>
      </c>
      <c r="K902" s="31" t="s">
        <v>2328</v>
      </c>
      <c r="L902" s="31" t="s">
        <v>3749</v>
      </c>
      <c r="M902" s="31" t="s">
        <v>2232</v>
      </c>
      <c r="N902" s="31" t="s">
        <v>2328</v>
      </c>
    </row>
    <row r="903" spans="1:14" ht="45" x14ac:dyDescent="0.25">
      <c r="A903" s="31" t="s">
        <v>2328</v>
      </c>
      <c r="B903" s="32" t="s">
        <v>3756</v>
      </c>
      <c r="C903" s="31" t="b">
        <v>1</v>
      </c>
      <c r="D903" s="31">
        <v>4</v>
      </c>
      <c r="E903" s="35" t="s">
        <v>3849</v>
      </c>
      <c r="F903" s="31" t="s">
        <v>3443</v>
      </c>
      <c r="G903" s="31" t="s">
        <v>2328</v>
      </c>
      <c r="H903" s="31" t="s">
        <v>2328</v>
      </c>
      <c r="I903" s="31" t="s">
        <v>3842</v>
      </c>
      <c r="J903" s="37" t="s">
        <v>4048</v>
      </c>
      <c r="K903" s="31" t="s">
        <v>2328</v>
      </c>
      <c r="L903" s="31" t="s">
        <v>3759</v>
      </c>
      <c r="M903" s="31" t="s">
        <v>2232</v>
      </c>
      <c r="N903" s="31" t="s">
        <v>2328</v>
      </c>
    </row>
    <row r="904" spans="1:14" ht="45" x14ac:dyDescent="0.25">
      <c r="A904" s="31" t="s">
        <v>2328</v>
      </c>
      <c r="B904" s="32" t="s">
        <v>3760</v>
      </c>
      <c r="C904" s="31" t="b">
        <v>0</v>
      </c>
      <c r="D904" s="31">
        <v>6</v>
      </c>
      <c r="E904" s="38" t="s">
        <v>3762</v>
      </c>
      <c r="F904" s="31" t="s">
        <v>131</v>
      </c>
      <c r="G904" s="31" t="s">
        <v>2328</v>
      </c>
      <c r="H904" s="31" t="s">
        <v>2328</v>
      </c>
      <c r="I904" s="31" t="s">
        <v>3842</v>
      </c>
      <c r="J904" s="37" t="s">
        <v>4048</v>
      </c>
      <c r="K904" s="31" t="s">
        <v>2328</v>
      </c>
      <c r="L904" s="31" t="s">
        <v>3759</v>
      </c>
      <c r="M904" s="31" t="s">
        <v>2232</v>
      </c>
      <c r="N904" s="31" t="s">
        <v>2328</v>
      </c>
    </row>
    <row r="905" spans="1:14" ht="45" x14ac:dyDescent="0.25">
      <c r="A905" s="31" t="s">
        <v>2328</v>
      </c>
      <c r="B905" s="32" t="s">
        <v>3763</v>
      </c>
      <c r="C905" s="31" t="b">
        <v>1</v>
      </c>
      <c r="D905" s="31">
        <v>4</v>
      </c>
      <c r="E905" s="35" t="s">
        <v>3850</v>
      </c>
      <c r="F905" s="31" t="s">
        <v>3443</v>
      </c>
      <c r="G905" s="31" t="s">
        <v>2328</v>
      </c>
      <c r="H905" s="31" t="s">
        <v>2328</v>
      </c>
      <c r="I905" s="31" t="s">
        <v>3842</v>
      </c>
      <c r="J905" s="37" t="s">
        <v>4048</v>
      </c>
      <c r="K905" s="31" t="s">
        <v>2328</v>
      </c>
      <c r="L905" s="31" t="s">
        <v>2328</v>
      </c>
      <c r="M905" s="31" t="s">
        <v>2232</v>
      </c>
      <c r="N905" s="31" t="s">
        <v>2328</v>
      </c>
    </row>
    <row r="906" spans="1:14" ht="45" x14ac:dyDescent="0.25">
      <c r="A906" s="31" t="s">
        <v>2328</v>
      </c>
      <c r="B906" s="32" t="s">
        <v>3766</v>
      </c>
      <c r="C906" s="31" t="b">
        <v>0</v>
      </c>
      <c r="D906" s="31">
        <v>6</v>
      </c>
      <c r="E906" s="38" t="s">
        <v>3768</v>
      </c>
      <c r="F906" s="31" t="s">
        <v>131</v>
      </c>
      <c r="G906" s="31" t="s">
        <v>2328</v>
      </c>
      <c r="H906" s="31" t="s">
        <v>2328</v>
      </c>
      <c r="I906" s="31" t="s">
        <v>3842</v>
      </c>
      <c r="J906" s="37" t="s">
        <v>4048</v>
      </c>
      <c r="K906" s="31" t="s">
        <v>2328</v>
      </c>
      <c r="L906" s="31" t="s">
        <v>3769</v>
      </c>
      <c r="M906" s="31" t="s">
        <v>2232</v>
      </c>
    </row>
    <row r="907" spans="1:14" ht="60" x14ac:dyDescent="0.25">
      <c r="A907" s="31" t="s">
        <v>2328</v>
      </c>
      <c r="B907" s="32" t="s">
        <v>3770</v>
      </c>
      <c r="E907" s="38" t="s">
        <v>3772</v>
      </c>
      <c r="F907" s="31" t="s">
        <v>131</v>
      </c>
      <c r="J907" s="37" t="s">
        <v>2328</v>
      </c>
      <c r="L907" s="31" t="s">
        <v>3773</v>
      </c>
      <c r="M907" s="31" t="s">
        <v>2232</v>
      </c>
    </row>
    <row r="908" spans="1:14" x14ac:dyDescent="0.25">
      <c r="E908" s="33"/>
    </row>
    <row r="909" spans="1:14" x14ac:dyDescent="0.25">
      <c r="E909" s="33"/>
    </row>
    <row r="910" spans="1:14" x14ac:dyDescent="0.25">
      <c r="E910" s="33"/>
    </row>
    <row r="911" spans="1:14" x14ac:dyDescent="0.25">
      <c r="E911" s="33"/>
    </row>
    <row r="912" spans="1:14" x14ac:dyDescent="0.25">
      <c r="E912" s="33"/>
    </row>
    <row r="913" spans="5:5" x14ac:dyDescent="0.25">
      <c r="E913" s="33"/>
    </row>
    <row r="914" spans="5:5" x14ac:dyDescent="0.25">
      <c r="E914" s="33"/>
    </row>
    <row r="915" spans="5:5" x14ac:dyDescent="0.25">
      <c r="E915" s="33"/>
    </row>
    <row r="916" spans="5:5" x14ac:dyDescent="0.25">
      <c r="E916" s="33"/>
    </row>
    <row r="917" spans="5:5" x14ac:dyDescent="0.25">
      <c r="E917" s="33"/>
    </row>
    <row r="918" spans="5:5" x14ac:dyDescent="0.25">
      <c r="E918" s="33"/>
    </row>
    <row r="919" spans="5:5" x14ac:dyDescent="0.25">
      <c r="E919" s="33"/>
    </row>
    <row r="920" spans="5:5" x14ac:dyDescent="0.25">
      <c r="E920" s="33"/>
    </row>
    <row r="921" spans="5:5" x14ac:dyDescent="0.25">
      <c r="E921" s="33"/>
    </row>
    <row r="922" spans="5:5" x14ac:dyDescent="0.25">
      <c r="E922" s="33"/>
    </row>
    <row r="923" spans="5:5" x14ac:dyDescent="0.25">
      <c r="E923" s="33"/>
    </row>
    <row r="924" spans="5:5" x14ac:dyDescent="0.25">
      <c r="E924" s="33"/>
    </row>
    <row r="925" spans="5:5" x14ac:dyDescent="0.25">
      <c r="E925" s="33"/>
    </row>
  </sheetData>
  <autoFilter ref="A1:Q925" xr:uid="{00000000-0009-0000-0000-000008000000}"/>
  <conditionalFormatting sqref="E3:E63 E164:E365 E159:E160 E386:E390 E367:E374 E381 E393:E394 E423:E925 E397:E405 E419:E420 E410">
    <cfRule type="expression" dxfId="202" priority="206">
      <formula>$C3</formula>
    </cfRule>
  </conditionalFormatting>
  <conditionalFormatting sqref="M3:M63 M149:M365 M369:M383 M417:M925 M386:M413">
    <cfRule type="cellIs" dxfId="201" priority="205" operator="notEqual">
      <formula>"Approved"</formula>
    </cfRule>
  </conditionalFormatting>
  <conditionalFormatting sqref="F1:F63 F164:F365 F369 F373:F374 F423:F1048576 F412 F410">
    <cfRule type="cellIs" dxfId="200" priority="204" operator="equal">
      <formula>"Req"</formula>
    </cfRule>
  </conditionalFormatting>
  <conditionalFormatting sqref="J353:J359 J659:J663 J670:J678 J680 J862:J869 J363:J365 J518:J519 J594 J890:J1048576 J369 J373:J374 J412 J410">
    <cfRule type="cellIs" dxfId="199" priority="203" operator="equal">
      <formula>"Adara 1.1"</formula>
    </cfRule>
  </conditionalFormatting>
  <conditionalFormatting sqref="J1:J2">
    <cfRule type="cellIs" dxfId="198" priority="196" operator="equal">
      <formula>"Adara 1.1"</formula>
    </cfRule>
  </conditionalFormatting>
  <conditionalFormatting sqref="E3:E63 E159:E160 E164:E365 E386:E390 E367:E374 E381 E393:E394 E397:E405 E419 E410 E423:E1048576">
    <cfRule type="expression" dxfId="197" priority="201">
      <formula>M3="Deleted"</formula>
    </cfRule>
  </conditionalFormatting>
  <conditionalFormatting sqref="E1">
    <cfRule type="expression" dxfId="196" priority="200">
      <formula>$C1</formula>
    </cfRule>
  </conditionalFormatting>
  <conditionalFormatting sqref="E1">
    <cfRule type="expression" dxfId="195" priority="195">
      <formula>M1="Deleted"</formula>
    </cfRule>
  </conditionalFormatting>
  <conditionalFormatting sqref="E2 E375">
    <cfRule type="expression" dxfId="194" priority="194">
      <formula>$C3</formula>
    </cfRule>
  </conditionalFormatting>
  <conditionalFormatting sqref="E140 E144:E146 E149:E157 E65:E138">
    <cfRule type="expression" dxfId="193" priority="190">
      <formula>$C65</formula>
    </cfRule>
  </conditionalFormatting>
  <conditionalFormatting sqref="M65:M138">
    <cfRule type="cellIs" dxfId="192" priority="189" operator="notEqual">
      <formula>"Approved"</formula>
    </cfRule>
  </conditionalFormatting>
  <conditionalFormatting sqref="F140 F144:F146 F149:F157 F64:F138">
    <cfRule type="cellIs" dxfId="191" priority="188" operator="equal">
      <formula>"Req"</formula>
    </cfRule>
  </conditionalFormatting>
  <conditionalFormatting sqref="J140 J144:J146 J149:J157 J65:J138">
    <cfRule type="cellIs" dxfId="190" priority="187" operator="equal">
      <formula>"Adara 1.1"</formula>
    </cfRule>
  </conditionalFormatting>
  <conditionalFormatting sqref="J64">
    <cfRule type="cellIs" dxfId="189" priority="184" operator="equal">
      <formula>"Adara 1.1"</formula>
    </cfRule>
  </conditionalFormatting>
  <conditionalFormatting sqref="E140 E144:E145 E65:E138 E149:E157">
    <cfRule type="expression" dxfId="188" priority="186">
      <formula>M65="Deleted"</formula>
    </cfRule>
  </conditionalFormatting>
  <conditionalFormatting sqref="E64">
    <cfRule type="expression" dxfId="187" priority="185">
      <formula>$C64</formula>
    </cfRule>
  </conditionalFormatting>
  <conditionalFormatting sqref="E64">
    <cfRule type="expression" dxfId="186" priority="183">
      <formula>M64="Deleted"</formula>
    </cfRule>
  </conditionalFormatting>
  <conditionalFormatting sqref="F138">
    <cfRule type="cellIs" dxfId="185" priority="182" operator="equal">
      <formula>"Req"</formula>
    </cfRule>
  </conditionalFormatting>
  <conditionalFormatting sqref="J138">
    <cfRule type="cellIs" dxfId="184" priority="181" operator="equal">
      <formula>"Adara 1.1"</formula>
    </cfRule>
  </conditionalFormatting>
  <conditionalFormatting sqref="E141">
    <cfRule type="expression" dxfId="183" priority="180">
      <formula>$C141</formula>
    </cfRule>
  </conditionalFormatting>
  <conditionalFormatting sqref="F141">
    <cfRule type="cellIs" dxfId="182" priority="179" operator="equal">
      <formula>"Req"</formula>
    </cfRule>
  </conditionalFormatting>
  <conditionalFormatting sqref="J141">
    <cfRule type="cellIs" dxfId="181" priority="178" operator="equal">
      <formula>"Adara 1.1"</formula>
    </cfRule>
  </conditionalFormatting>
  <conditionalFormatting sqref="E141">
    <cfRule type="expression" dxfId="180" priority="177">
      <formula>M141="Deleted"</formula>
    </cfRule>
  </conditionalFormatting>
  <conditionalFormatting sqref="E142">
    <cfRule type="expression" dxfId="179" priority="176">
      <formula>$C142</formula>
    </cfRule>
  </conditionalFormatting>
  <conditionalFormatting sqref="F142">
    <cfRule type="cellIs" dxfId="178" priority="175" operator="equal">
      <formula>"Req"</formula>
    </cfRule>
  </conditionalFormatting>
  <conditionalFormatting sqref="J142">
    <cfRule type="cellIs" dxfId="177" priority="174" operator="equal">
      <formula>"Adara 1.1"</formula>
    </cfRule>
  </conditionalFormatting>
  <conditionalFormatting sqref="E142">
    <cfRule type="expression" dxfId="176" priority="173">
      <formula>M142="Deleted"</formula>
    </cfRule>
  </conditionalFormatting>
  <conditionalFormatting sqref="E146">
    <cfRule type="expression" dxfId="175" priority="172">
      <formula>M162="Deleted"</formula>
    </cfRule>
  </conditionalFormatting>
  <conditionalFormatting sqref="E145:E146">
    <cfRule type="expression" dxfId="174" priority="191">
      <formula>M161="Deleted"</formula>
    </cfRule>
  </conditionalFormatting>
  <conditionalFormatting sqref="E146 E375">
    <cfRule type="expression" dxfId="173" priority="192">
      <formula>M147="Deleted"</formula>
    </cfRule>
  </conditionalFormatting>
  <conditionalFormatting sqref="E147">
    <cfRule type="expression" dxfId="172" priority="169">
      <formula>$C147</formula>
    </cfRule>
  </conditionalFormatting>
  <conditionalFormatting sqref="F147">
    <cfRule type="cellIs" dxfId="171" priority="168" operator="equal">
      <formula>"Req"</formula>
    </cfRule>
  </conditionalFormatting>
  <conditionalFormatting sqref="J147">
    <cfRule type="cellIs" dxfId="170" priority="167" operator="equal">
      <formula>"Adara 1.1"</formula>
    </cfRule>
  </conditionalFormatting>
  <conditionalFormatting sqref="E147">
    <cfRule type="expression" dxfId="169" priority="166">
      <formula>M163="Deleted"</formula>
    </cfRule>
  </conditionalFormatting>
  <conditionalFormatting sqref="E147">
    <cfRule type="expression" dxfId="168" priority="170">
      <formula>M163="Deleted"</formula>
    </cfRule>
  </conditionalFormatting>
  <conditionalFormatting sqref="E147">
    <cfRule type="expression" dxfId="167" priority="171">
      <formula>M149="Deleted"</formula>
    </cfRule>
  </conditionalFormatting>
  <conditionalFormatting sqref="E139">
    <cfRule type="expression" dxfId="166" priority="165">
      <formula>$C139</formula>
    </cfRule>
  </conditionalFormatting>
  <conditionalFormatting sqref="F139">
    <cfRule type="cellIs" dxfId="165" priority="164" operator="equal">
      <formula>"Req"</formula>
    </cfRule>
  </conditionalFormatting>
  <conditionalFormatting sqref="J139">
    <cfRule type="cellIs" dxfId="164" priority="163" operator="equal">
      <formula>"Adara 1.1"</formula>
    </cfRule>
  </conditionalFormatting>
  <conditionalFormatting sqref="E139">
    <cfRule type="expression" dxfId="163" priority="162">
      <formula>M139="Deleted"</formula>
    </cfRule>
  </conditionalFormatting>
  <conditionalFormatting sqref="E138">
    <cfRule type="expression" dxfId="162" priority="193">
      <formula>#REF!="Deleted"</formula>
    </cfRule>
  </conditionalFormatting>
  <conditionalFormatting sqref="E161:E163">
    <cfRule type="expression" dxfId="161" priority="161">
      <formula>$C161</formula>
    </cfRule>
  </conditionalFormatting>
  <conditionalFormatting sqref="F161:F163">
    <cfRule type="cellIs" dxfId="160" priority="159" operator="equal">
      <formula>"Req"</formula>
    </cfRule>
  </conditionalFormatting>
  <conditionalFormatting sqref="J161:J163">
    <cfRule type="cellIs" dxfId="159" priority="158" operator="equal">
      <formula>"Adara 1.1"</formula>
    </cfRule>
  </conditionalFormatting>
  <conditionalFormatting sqref="E161:E163">
    <cfRule type="expression" dxfId="158" priority="157">
      <formula>M161="Deleted"</formula>
    </cfRule>
  </conditionalFormatting>
  <conditionalFormatting sqref="E143">
    <cfRule type="expression" dxfId="157" priority="156">
      <formula>$C143</formula>
    </cfRule>
  </conditionalFormatting>
  <conditionalFormatting sqref="F143">
    <cfRule type="cellIs" dxfId="156" priority="155" operator="equal">
      <formula>"Req"</formula>
    </cfRule>
  </conditionalFormatting>
  <conditionalFormatting sqref="J143">
    <cfRule type="cellIs" dxfId="155" priority="154" operator="equal">
      <formula>"Adara 1.1"</formula>
    </cfRule>
  </conditionalFormatting>
  <conditionalFormatting sqref="E143">
    <cfRule type="expression" dxfId="154" priority="153">
      <formula>M143="Deleted"</formula>
    </cfRule>
  </conditionalFormatting>
  <conditionalFormatting sqref="E158">
    <cfRule type="expression" dxfId="153" priority="152">
      <formula>$C158</formula>
    </cfRule>
  </conditionalFormatting>
  <conditionalFormatting sqref="F158">
    <cfRule type="cellIs" dxfId="152" priority="151" operator="equal">
      <formula>"Req"</formula>
    </cfRule>
  </conditionalFormatting>
  <conditionalFormatting sqref="J158">
    <cfRule type="cellIs" dxfId="151" priority="150" operator="equal">
      <formula>"Adara 1.1"</formula>
    </cfRule>
  </conditionalFormatting>
  <conditionalFormatting sqref="E158">
    <cfRule type="expression" dxfId="150" priority="149">
      <formula>M158="Deleted"</formula>
    </cfRule>
  </conditionalFormatting>
  <conditionalFormatting sqref="F73">
    <cfRule type="cellIs" dxfId="149" priority="147" operator="equal">
      <formula>"Req"</formula>
    </cfRule>
  </conditionalFormatting>
  <conditionalFormatting sqref="J73">
    <cfRule type="cellIs" dxfId="148" priority="146" operator="equal">
      <formula>"Adara 1.1"</formula>
    </cfRule>
  </conditionalFormatting>
  <conditionalFormatting sqref="E73">
    <cfRule type="expression" dxfId="147" priority="148">
      <formula>#REF!="Deleted"</formula>
    </cfRule>
  </conditionalFormatting>
  <conditionalFormatting sqref="F159">
    <cfRule type="cellIs" dxfId="146" priority="144" operator="equal">
      <formula>"Req"</formula>
    </cfRule>
  </conditionalFormatting>
  <conditionalFormatting sqref="J159">
    <cfRule type="cellIs" dxfId="145" priority="143" operator="equal">
      <formula>"Adara 1.1"</formula>
    </cfRule>
  </conditionalFormatting>
  <conditionalFormatting sqref="F160">
    <cfRule type="cellIs" dxfId="144" priority="141" operator="equal">
      <formula>"Req"</formula>
    </cfRule>
  </conditionalFormatting>
  <conditionalFormatting sqref="J160">
    <cfRule type="cellIs" dxfId="143" priority="140" operator="equal">
      <formula>"Adara 1.1"</formula>
    </cfRule>
  </conditionalFormatting>
  <conditionalFormatting sqref="J3:J63">
    <cfRule type="cellIs" dxfId="142" priority="139" operator="equal">
      <formula>"Adara 1.1"</formula>
    </cfRule>
  </conditionalFormatting>
  <conditionalFormatting sqref="J164:J352">
    <cfRule type="cellIs" dxfId="141" priority="138" operator="equal">
      <formula>"Adara 1.1"</formula>
    </cfRule>
  </conditionalFormatting>
  <conditionalFormatting sqref="J360:J362">
    <cfRule type="cellIs" dxfId="140" priority="137" operator="equal">
      <formula>"Adara 1.1"</formula>
    </cfRule>
  </conditionalFormatting>
  <conditionalFormatting sqref="J423:J517">
    <cfRule type="cellIs" dxfId="139" priority="136" operator="equal">
      <formula>"Adara 1.1"</formula>
    </cfRule>
  </conditionalFormatting>
  <conditionalFormatting sqref="J520:J593">
    <cfRule type="cellIs" dxfId="138" priority="135" operator="equal">
      <formula>"Adara 1.1"</formula>
    </cfRule>
  </conditionalFormatting>
  <conditionalFormatting sqref="J595:J658">
    <cfRule type="cellIs" dxfId="137" priority="134" operator="equal">
      <formula>"Adara 1.1"</formula>
    </cfRule>
  </conditionalFormatting>
  <conditionalFormatting sqref="J664">
    <cfRule type="cellIs" dxfId="136" priority="133" operator="equal">
      <formula>"Adara 1.1"</formula>
    </cfRule>
  </conditionalFormatting>
  <conditionalFormatting sqref="J665:J669">
    <cfRule type="cellIs" dxfId="135" priority="132" operator="equal">
      <formula>"Adara 1.1"</formula>
    </cfRule>
  </conditionalFormatting>
  <conditionalFormatting sqref="J679">
    <cfRule type="cellIs" dxfId="134" priority="131" operator="equal">
      <formula>"Adara 1.1"</formula>
    </cfRule>
  </conditionalFormatting>
  <conditionalFormatting sqref="J681:J861">
    <cfRule type="cellIs" dxfId="133" priority="130" operator="equal">
      <formula>"Adara 1.1"</formula>
    </cfRule>
  </conditionalFormatting>
  <conditionalFormatting sqref="J870:J889">
    <cfRule type="cellIs" dxfId="132" priority="129" operator="equal">
      <formula>"Adara 1.1"</formula>
    </cfRule>
  </conditionalFormatting>
  <conditionalFormatting sqref="M139:M147">
    <cfRule type="cellIs" dxfId="131" priority="128" operator="notEqual">
      <formula>"Approved"</formula>
    </cfRule>
  </conditionalFormatting>
  <conditionalFormatting sqref="E148">
    <cfRule type="expression" dxfId="130" priority="125">
      <formula>$C148</formula>
    </cfRule>
  </conditionalFormatting>
  <conditionalFormatting sqref="F148">
    <cfRule type="cellIs" dxfId="129" priority="124" operator="equal">
      <formula>"Req"</formula>
    </cfRule>
  </conditionalFormatting>
  <conditionalFormatting sqref="J148">
    <cfRule type="cellIs" dxfId="128" priority="123" operator="equal">
      <formula>"Adara 1.1"</formula>
    </cfRule>
  </conditionalFormatting>
  <conditionalFormatting sqref="E148">
    <cfRule type="expression" dxfId="127" priority="122">
      <formula>M164="Deleted"</formula>
    </cfRule>
  </conditionalFormatting>
  <conditionalFormatting sqref="E148">
    <cfRule type="expression" dxfId="126" priority="126">
      <formula>M164="Deleted"</formula>
    </cfRule>
  </conditionalFormatting>
  <conditionalFormatting sqref="E148">
    <cfRule type="expression" dxfId="125" priority="127">
      <formula>M150="Deleted"</formula>
    </cfRule>
  </conditionalFormatting>
  <conditionalFormatting sqref="M148">
    <cfRule type="cellIs" dxfId="124" priority="121" operator="notEqual">
      <formula>"Approved"</formula>
    </cfRule>
  </conditionalFormatting>
  <conditionalFormatting sqref="E366">
    <cfRule type="expression" dxfId="123" priority="120">
      <formula>$C366</formula>
    </cfRule>
  </conditionalFormatting>
  <conditionalFormatting sqref="M366:M368">
    <cfRule type="cellIs" dxfId="122" priority="119" operator="notEqual">
      <formula>"Approved"</formula>
    </cfRule>
  </conditionalFormatting>
  <conditionalFormatting sqref="F366">
    <cfRule type="cellIs" dxfId="121" priority="118" operator="equal">
      <formula>"Req"</formula>
    </cfRule>
  </conditionalFormatting>
  <conditionalFormatting sqref="J366">
    <cfRule type="cellIs" dxfId="120" priority="117" operator="equal">
      <formula>"Adara 1.1"</formula>
    </cfRule>
  </conditionalFormatting>
  <conditionalFormatting sqref="E366">
    <cfRule type="expression" dxfId="119" priority="116">
      <formula>M366="Deleted"</formula>
    </cfRule>
  </conditionalFormatting>
  <conditionalFormatting sqref="E391">
    <cfRule type="expression" dxfId="118" priority="212">
      <formula>$C408</formula>
    </cfRule>
  </conditionalFormatting>
  <conditionalFormatting sqref="E391">
    <cfRule type="expression" dxfId="117" priority="214">
      <formula>M408="Deleted"</formula>
    </cfRule>
  </conditionalFormatting>
  <conditionalFormatting sqref="E406:E407">
    <cfRule type="expression" dxfId="116" priority="115">
      <formula>$C406</formula>
    </cfRule>
  </conditionalFormatting>
  <conditionalFormatting sqref="E406:E407">
    <cfRule type="expression" dxfId="115" priority="114">
      <formula>M406="Deleted"</formula>
    </cfRule>
  </conditionalFormatting>
  <conditionalFormatting sqref="E382:E383">
    <cfRule type="expression" dxfId="114" priority="113">
      <formula>$C382</formula>
    </cfRule>
  </conditionalFormatting>
  <conditionalFormatting sqref="F382:F383">
    <cfRule type="cellIs" dxfId="113" priority="112" operator="equal">
      <formula>"Req"</formula>
    </cfRule>
  </conditionalFormatting>
  <conditionalFormatting sqref="J382:J383">
    <cfRule type="cellIs" dxfId="112" priority="111" operator="equal">
      <formula>"Adara 1.1"</formula>
    </cfRule>
  </conditionalFormatting>
  <conditionalFormatting sqref="E382:E383">
    <cfRule type="expression" dxfId="111" priority="110">
      <formula>M382="Deleted"</formula>
    </cfRule>
  </conditionalFormatting>
  <conditionalFormatting sqref="E384:E385">
    <cfRule type="expression" dxfId="110" priority="109">
      <formula>$C384</formula>
    </cfRule>
  </conditionalFormatting>
  <conditionalFormatting sqref="M384:M385">
    <cfRule type="cellIs" dxfId="109" priority="108" operator="notEqual">
      <formula>"Approved"</formula>
    </cfRule>
  </conditionalFormatting>
  <conditionalFormatting sqref="E384:E385">
    <cfRule type="expression" dxfId="108" priority="105">
      <formula>M384="Deleted"</formula>
    </cfRule>
  </conditionalFormatting>
  <conditionalFormatting sqref="E408:E409">
    <cfRule type="expression" dxfId="107" priority="221">
      <formula>$C406</formula>
    </cfRule>
  </conditionalFormatting>
  <conditionalFormatting sqref="E408:E409">
    <cfRule type="expression" dxfId="106" priority="223">
      <formula>M406="Deleted"</formula>
    </cfRule>
  </conditionalFormatting>
  <conditionalFormatting sqref="E392">
    <cfRule type="expression" dxfId="105" priority="238">
      <formula>$C408</formula>
    </cfRule>
  </conditionalFormatting>
  <conditionalFormatting sqref="E392">
    <cfRule type="expression" dxfId="104" priority="239">
      <formula>M408="Deleted"</formula>
    </cfRule>
  </conditionalFormatting>
  <conditionalFormatting sqref="E376:E380">
    <cfRule type="expression" dxfId="103" priority="98">
      <formula>$C381</formula>
    </cfRule>
  </conditionalFormatting>
  <conditionalFormatting sqref="E376:E380">
    <cfRule type="expression" dxfId="102" priority="97">
      <formula>M381="Deleted"</formula>
    </cfRule>
  </conditionalFormatting>
  <conditionalFormatting sqref="E379:E380">
    <cfRule type="expression" dxfId="101" priority="246">
      <formula>$C411</formula>
    </cfRule>
  </conditionalFormatting>
  <conditionalFormatting sqref="E379:E380">
    <cfRule type="expression" dxfId="100" priority="248">
      <formula>M411="Deleted"</formula>
    </cfRule>
  </conditionalFormatting>
  <conditionalFormatting sqref="E414">
    <cfRule type="expression" dxfId="99" priority="257">
      <formula>$C409</formula>
    </cfRule>
  </conditionalFormatting>
  <conditionalFormatting sqref="E414">
    <cfRule type="expression" dxfId="98" priority="259">
      <formula>M409="Deleted"</formula>
    </cfRule>
  </conditionalFormatting>
  <conditionalFormatting sqref="E411 E413">
    <cfRule type="expression" dxfId="97" priority="265">
      <formula>$C408</formula>
    </cfRule>
  </conditionalFormatting>
  <conditionalFormatting sqref="E411 E413">
    <cfRule type="expression" dxfId="96" priority="267">
      <formula>M408="Deleted"</formula>
    </cfRule>
  </conditionalFormatting>
  <conditionalFormatting sqref="E412">
    <cfRule type="expression" dxfId="95" priority="95">
      <formula>$C408</formula>
    </cfRule>
  </conditionalFormatting>
  <conditionalFormatting sqref="E412">
    <cfRule type="expression" dxfId="94" priority="96">
      <formula>M408="Deleted"</formula>
    </cfRule>
  </conditionalFormatting>
  <conditionalFormatting sqref="E420">
    <cfRule type="expression" dxfId="93" priority="91">
      <formula>$C411</formula>
    </cfRule>
  </conditionalFormatting>
  <conditionalFormatting sqref="E420">
    <cfRule type="expression" dxfId="92" priority="92">
      <formula>M411="Deleted"</formula>
    </cfRule>
  </conditionalFormatting>
  <conditionalFormatting sqref="E380">
    <cfRule type="expression" dxfId="91" priority="89">
      <formula>$C413</formula>
    </cfRule>
  </conditionalFormatting>
  <conditionalFormatting sqref="E380">
    <cfRule type="expression" dxfId="90" priority="90">
      <formula>M413="Deleted"</formula>
    </cfRule>
  </conditionalFormatting>
  <conditionalFormatting sqref="E391">
    <cfRule type="expression" dxfId="89" priority="288">
      <formula>#REF!</formula>
    </cfRule>
  </conditionalFormatting>
  <conditionalFormatting sqref="E391">
    <cfRule type="expression" dxfId="88" priority="289">
      <formula>#REF!="Deleted"</formula>
    </cfRule>
  </conditionalFormatting>
  <conditionalFormatting sqref="E395:E396">
    <cfRule type="expression" dxfId="87" priority="295">
      <formula>$C395</formula>
    </cfRule>
  </conditionalFormatting>
  <conditionalFormatting sqref="E395:E396">
    <cfRule type="expression" dxfId="86" priority="297">
      <formula>M395="Deleted"</formula>
    </cfRule>
  </conditionalFormatting>
  <conditionalFormatting sqref="E396">
    <cfRule type="expression" dxfId="85" priority="318">
      <formula>#REF!="Deleted"</formula>
    </cfRule>
  </conditionalFormatting>
  <conditionalFormatting sqref="E396">
    <cfRule type="expression" dxfId="84" priority="319">
      <formula>#REF!</formula>
    </cfRule>
  </conditionalFormatting>
  <conditionalFormatting sqref="E415">
    <cfRule type="expression" dxfId="83" priority="77">
      <formula>$C413</formula>
    </cfRule>
  </conditionalFormatting>
  <conditionalFormatting sqref="E415">
    <cfRule type="expression" dxfId="82" priority="78">
      <formula>M413="Deleted"</formula>
    </cfRule>
  </conditionalFormatting>
  <conditionalFormatting sqref="E416">
    <cfRule type="expression" dxfId="81" priority="75">
      <formula>$C414</formula>
    </cfRule>
  </conditionalFormatting>
  <conditionalFormatting sqref="E416">
    <cfRule type="expression" dxfId="80" priority="76">
      <formula>M414="Deleted"</formula>
    </cfRule>
  </conditionalFormatting>
  <conditionalFormatting sqref="E417">
    <cfRule type="expression" dxfId="79" priority="73">
      <formula>$C415</formula>
    </cfRule>
  </conditionalFormatting>
  <conditionalFormatting sqref="E417">
    <cfRule type="expression" dxfId="78" priority="74">
      <formula>M415="Deleted"</formula>
    </cfRule>
  </conditionalFormatting>
  <conditionalFormatting sqref="E419">
    <cfRule type="expression" dxfId="77" priority="71">
      <formula>$C416</formula>
    </cfRule>
  </conditionalFormatting>
  <conditionalFormatting sqref="E419">
    <cfRule type="expression" dxfId="76" priority="72">
      <formula>M416="Deleted"</formula>
    </cfRule>
  </conditionalFormatting>
  <conditionalFormatting sqref="E418">
    <cfRule type="expression" dxfId="75" priority="69">
      <formula>$C416</formula>
    </cfRule>
  </conditionalFormatting>
  <conditionalFormatting sqref="E418">
    <cfRule type="expression" dxfId="74" priority="70">
      <formula>M416="Deleted"</formula>
    </cfRule>
  </conditionalFormatting>
  <conditionalFormatting sqref="E396">
    <cfRule type="expression" dxfId="73" priority="359">
      <formula>#REF!</formula>
    </cfRule>
  </conditionalFormatting>
  <conditionalFormatting sqref="E396">
    <cfRule type="expression" dxfId="72" priority="360">
      <formula>#REF!="Deleted"</formula>
    </cfRule>
  </conditionalFormatting>
  <conditionalFormatting sqref="E421:E422">
    <cfRule type="expression" dxfId="71" priority="376">
      <formula>#REF!</formula>
    </cfRule>
  </conditionalFormatting>
  <conditionalFormatting sqref="E421:E422">
    <cfRule type="expression" dxfId="70" priority="378">
      <formula>#REF!="Deleted"</formula>
    </cfRule>
  </conditionalFormatting>
  <conditionalFormatting sqref="E422">
    <cfRule type="expression" dxfId="69" priority="390">
      <formula>#REF!</formula>
    </cfRule>
  </conditionalFormatting>
  <conditionalFormatting sqref="E422">
    <cfRule type="expression" dxfId="68" priority="391">
      <formula>#REF!="Deleted"</formula>
    </cfRule>
  </conditionalFormatting>
  <conditionalFormatting sqref="F367">
    <cfRule type="cellIs" dxfId="67" priority="66" operator="equal">
      <formula>"Req"</formula>
    </cfRule>
  </conditionalFormatting>
  <conditionalFormatting sqref="J367">
    <cfRule type="cellIs" dxfId="66" priority="65" operator="equal">
      <formula>"Adara 1.1"</formula>
    </cfRule>
  </conditionalFormatting>
  <conditionalFormatting sqref="F370">
    <cfRule type="cellIs" dxfId="65" priority="64" operator="equal">
      <formula>"Req"</formula>
    </cfRule>
  </conditionalFormatting>
  <conditionalFormatting sqref="J370">
    <cfRule type="cellIs" dxfId="64" priority="63" operator="equal">
      <formula>"Adara 1.1"</formula>
    </cfRule>
  </conditionalFormatting>
  <conditionalFormatting sqref="F384">
    <cfRule type="cellIs" dxfId="63" priority="62" operator="equal">
      <formula>"Req"</formula>
    </cfRule>
  </conditionalFormatting>
  <conditionalFormatting sqref="J384">
    <cfRule type="cellIs" dxfId="62" priority="61" operator="equal">
      <formula>"Adara 1.1"</formula>
    </cfRule>
  </conditionalFormatting>
  <conditionalFormatting sqref="F386">
    <cfRule type="cellIs" dxfId="61" priority="60" operator="equal">
      <formula>"Req"</formula>
    </cfRule>
  </conditionalFormatting>
  <conditionalFormatting sqref="J386">
    <cfRule type="cellIs" dxfId="60" priority="59" operator="equal">
      <formula>"Adara 1.1"</formula>
    </cfRule>
  </conditionalFormatting>
  <conditionalFormatting sqref="F387">
    <cfRule type="cellIs" dxfId="59" priority="58" operator="equal">
      <formula>"Req"</formula>
    </cfRule>
  </conditionalFormatting>
  <conditionalFormatting sqref="J387">
    <cfRule type="cellIs" dxfId="58" priority="57" operator="equal">
      <formula>"Adara 1.1"</formula>
    </cfRule>
  </conditionalFormatting>
  <conditionalFormatting sqref="F389">
    <cfRule type="cellIs" dxfId="57" priority="56" operator="equal">
      <formula>"Req"</formula>
    </cfRule>
  </conditionalFormatting>
  <conditionalFormatting sqref="J389">
    <cfRule type="cellIs" dxfId="56" priority="55" operator="equal">
      <formula>"Adara 1.1"</formula>
    </cfRule>
  </conditionalFormatting>
  <conditionalFormatting sqref="F391">
    <cfRule type="cellIs" dxfId="55" priority="54" operator="equal">
      <formula>"Req"</formula>
    </cfRule>
  </conditionalFormatting>
  <conditionalFormatting sqref="J391">
    <cfRule type="cellIs" dxfId="54" priority="53" operator="equal">
      <formula>"Adara 1.1"</formula>
    </cfRule>
  </conditionalFormatting>
  <conditionalFormatting sqref="F393">
    <cfRule type="cellIs" dxfId="53" priority="52" operator="equal">
      <formula>"Req"</formula>
    </cfRule>
  </conditionalFormatting>
  <conditionalFormatting sqref="J393">
    <cfRule type="cellIs" dxfId="52" priority="51" operator="equal">
      <formula>"Adara 1.1"</formula>
    </cfRule>
  </conditionalFormatting>
  <conditionalFormatting sqref="F397">
    <cfRule type="cellIs" dxfId="51" priority="50" operator="equal">
      <formula>"Req"</formula>
    </cfRule>
  </conditionalFormatting>
  <conditionalFormatting sqref="J397">
    <cfRule type="cellIs" dxfId="50" priority="49" operator="equal">
      <formula>"Adara 1.1"</formula>
    </cfRule>
  </conditionalFormatting>
  <conditionalFormatting sqref="F401">
    <cfRule type="cellIs" dxfId="49" priority="48" operator="equal">
      <formula>"Req"</formula>
    </cfRule>
  </conditionalFormatting>
  <conditionalFormatting sqref="J401">
    <cfRule type="cellIs" dxfId="48" priority="47" operator="equal">
      <formula>"Adara 1.1"</formula>
    </cfRule>
  </conditionalFormatting>
  <conditionalFormatting sqref="F403">
    <cfRule type="cellIs" dxfId="47" priority="46" operator="equal">
      <formula>"Req"</formula>
    </cfRule>
  </conditionalFormatting>
  <conditionalFormatting sqref="J403">
    <cfRule type="cellIs" dxfId="46" priority="45" operator="equal">
      <formula>"Adara 1.1"</formula>
    </cfRule>
  </conditionalFormatting>
  <conditionalFormatting sqref="F404">
    <cfRule type="cellIs" dxfId="45" priority="44" operator="equal">
      <formula>"Req"</formula>
    </cfRule>
  </conditionalFormatting>
  <conditionalFormatting sqref="J404">
    <cfRule type="cellIs" dxfId="44" priority="43" operator="equal">
      <formula>"Adara 1.1"</formula>
    </cfRule>
  </conditionalFormatting>
  <conditionalFormatting sqref="F409">
    <cfRule type="cellIs" dxfId="43" priority="42" operator="equal">
      <formula>"Req"</formula>
    </cfRule>
  </conditionalFormatting>
  <conditionalFormatting sqref="J409">
    <cfRule type="cellIs" dxfId="42" priority="41" operator="equal">
      <formula>"Adara 1.1"</formula>
    </cfRule>
  </conditionalFormatting>
  <conditionalFormatting sqref="F414">
    <cfRule type="cellIs" dxfId="41" priority="36" operator="equal">
      <formula>"Req"</formula>
    </cfRule>
  </conditionalFormatting>
  <conditionalFormatting sqref="J414">
    <cfRule type="cellIs" dxfId="40" priority="35" operator="equal">
      <formula>"Adara 1.1"</formula>
    </cfRule>
  </conditionalFormatting>
  <conditionalFormatting sqref="F420">
    <cfRule type="cellIs" dxfId="39" priority="34" operator="equal">
      <formula>"Req"</formula>
    </cfRule>
  </conditionalFormatting>
  <conditionalFormatting sqref="J420">
    <cfRule type="cellIs" dxfId="38" priority="33" operator="equal">
      <formula>"Adara 1.1"</formula>
    </cfRule>
  </conditionalFormatting>
  <conditionalFormatting sqref="J375:J381">
    <cfRule type="cellIs" dxfId="37" priority="32" operator="equal">
      <formula>"Adara 1.1"</formula>
    </cfRule>
  </conditionalFormatting>
  <conditionalFormatting sqref="J385">
    <cfRule type="cellIs" dxfId="36" priority="31" operator="equal">
      <formula>"Adara 1.1"</formula>
    </cfRule>
  </conditionalFormatting>
  <conditionalFormatting sqref="J388">
    <cfRule type="cellIs" dxfId="35" priority="30" operator="equal">
      <formula>"Adara 1.1"</formula>
    </cfRule>
  </conditionalFormatting>
  <conditionalFormatting sqref="J390">
    <cfRule type="cellIs" dxfId="34" priority="29" operator="equal">
      <formula>"Adara 1.1"</formula>
    </cfRule>
  </conditionalFormatting>
  <conditionalFormatting sqref="J392">
    <cfRule type="cellIs" dxfId="33" priority="28" operator="equal">
      <formula>"Adara 1.1"</formula>
    </cfRule>
  </conditionalFormatting>
  <conditionalFormatting sqref="J394:J396">
    <cfRule type="cellIs" dxfId="32" priority="27" operator="equal">
      <formula>"Adara 1.1"</formula>
    </cfRule>
  </conditionalFormatting>
  <conditionalFormatting sqref="J398:J400">
    <cfRule type="cellIs" dxfId="31" priority="26" operator="equal">
      <formula>"Adara 1.1"</formula>
    </cfRule>
  </conditionalFormatting>
  <conditionalFormatting sqref="J402">
    <cfRule type="cellIs" dxfId="30" priority="25" operator="equal">
      <formula>"Adara 1.1"</formula>
    </cfRule>
  </conditionalFormatting>
  <conditionalFormatting sqref="J405:J408">
    <cfRule type="cellIs" dxfId="29" priority="24" operator="equal">
      <formula>"Adara 1.1"</formula>
    </cfRule>
  </conditionalFormatting>
  <conditionalFormatting sqref="J411">
    <cfRule type="cellIs" dxfId="28" priority="23" operator="equal">
      <formula>"Adara 1.1"</formula>
    </cfRule>
  </conditionalFormatting>
  <conditionalFormatting sqref="J413">
    <cfRule type="cellIs" dxfId="27" priority="22" operator="equal">
      <formula>"Adara 1.1"</formula>
    </cfRule>
  </conditionalFormatting>
  <conditionalFormatting sqref="J415:J419">
    <cfRule type="cellIs" dxfId="26" priority="21" operator="equal">
      <formula>"Adara 1.1"</formula>
    </cfRule>
  </conditionalFormatting>
  <conditionalFormatting sqref="J421">
    <cfRule type="cellIs" dxfId="25" priority="20" operator="equal">
      <formula>"Adara 1.1"</formula>
    </cfRule>
  </conditionalFormatting>
  <conditionalFormatting sqref="J422">
    <cfRule type="cellIs" dxfId="24" priority="19" operator="equal">
      <formula>"Adara 1.1"</formula>
    </cfRule>
  </conditionalFormatting>
  <conditionalFormatting sqref="F375:F380">
    <cfRule type="cellIs" dxfId="23" priority="18" operator="equal">
      <formula>"Req"</formula>
    </cfRule>
  </conditionalFormatting>
  <conditionalFormatting sqref="F381">
    <cfRule type="cellIs" dxfId="22" priority="17" operator="equal">
      <formula>"Req"</formula>
    </cfRule>
  </conditionalFormatting>
  <conditionalFormatting sqref="F385">
    <cfRule type="cellIs" dxfId="21" priority="16" operator="equal">
      <formula>"Req"</formula>
    </cfRule>
  </conditionalFormatting>
  <conditionalFormatting sqref="F388">
    <cfRule type="cellIs" dxfId="20" priority="15" operator="equal">
      <formula>"Req"</formula>
    </cfRule>
  </conditionalFormatting>
  <conditionalFormatting sqref="F390">
    <cfRule type="cellIs" dxfId="19" priority="14" operator="equal">
      <formula>"Req"</formula>
    </cfRule>
  </conditionalFormatting>
  <conditionalFormatting sqref="F392">
    <cfRule type="cellIs" dxfId="18" priority="13" operator="equal">
      <formula>"Req"</formula>
    </cfRule>
  </conditionalFormatting>
  <conditionalFormatting sqref="F394:F396">
    <cfRule type="cellIs" dxfId="17" priority="12" operator="equal">
      <formula>"Req"</formula>
    </cfRule>
  </conditionalFormatting>
  <conditionalFormatting sqref="F398:F400">
    <cfRule type="cellIs" dxfId="16" priority="11" operator="equal">
      <formula>"Req"</formula>
    </cfRule>
  </conditionalFormatting>
  <conditionalFormatting sqref="F402">
    <cfRule type="cellIs" dxfId="15" priority="10" operator="equal">
      <formula>"Req"</formula>
    </cfRule>
  </conditionalFormatting>
  <conditionalFormatting sqref="F405:F408">
    <cfRule type="cellIs" dxfId="14" priority="9" operator="equal">
      <formula>"Req"</formula>
    </cfRule>
  </conditionalFormatting>
  <conditionalFormatting sqref="F411">
    <cfRule type="cellIs" dxfId="13" priority="8" operator="equal">
      <formula>"Req"</formula>
    </cfRule>
  </conditionalFormatting>
  <conditionalFormatting sqref="F413">
    <cfRule type="cellIs" dxfId="12" priority="7" operator="equal">
      <formula>"Req"</formula>
    </cfRule>
  </conditionalFormatting>
  <conditionalFormatting sqref="F415:F419">
    <cfRule type="cellIs" dxfId="11" priority="6" operator="equal">
      <formula>"Req"</formula>
    </cfRule>
  </conditionalFormatting>
  <conditionalFormatting sqref="F421:F422">
    <cfRule type="cellIs" dxfId="10" priority="5" operator="equal">
      <formula>"Req"</formula>
    </cfRule>
  </conditionalFormatting>
  <conditionalFormatting sqref="F371:F372">
    <cfRule type="cellIs" dxfId="9" priority="4" operator="equal">
      <formula>"Req"</formula>
    </cfRule>
  </conditionalFormatting>
  <conditionalFormatting sqref="J371:J372">
    <cfRule type="cellIs" dxfId="8" priority="3" operator="equal">
      <formula>"Adara 1.1"</formula>
    </cfRule>
  </conditionalFormatting>
  <conditionalFormatting sqref="F368">
    <cfRule type="cellIs" dxfId="7" priority="2" operator="equal">
      <formula>"Req"</formula>
    </cfRule>
  </conditionalFormatting>
  <conditionalFormatting sqref="J368">
    <cfRule type="cellIs" dxfId="6" priority="1" operator="equal">
      <formula>"Adara 1.1"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H30"/>
  <sheetViews>
    <sheetView topLeftCell="B1" zoomScaleNormal="100" workbookViewId="0">
      <pane ySplit="1" topLeftCell="A2" activePane="bottomLeft" state="frozen"/>
      <selection activeCell="B1" sqref="B1"/>
      <selection pane="bottomLeft" activeCell="B1" sqref="B1"/>
    </sheetView>
  </sheetViews>
  <sheetFormatPr defaultRowHeight="15" x14ac:dyDescent="0.25"/>
  <cols>
    <col min="1" max="1" width="0" hidden="1" customWidth="1"/>
    <col min="2" max="2" width="15.7109375" customWidth="1"/>
    <col min="3" max="3" width="8.85546875" hidden="1" customWidth="1"/>
    <col min="4" max="4" width="0" hidden="1" customWidth="1"/>
    <col min="5" max="5" width="75.28515625" customWidth="1"/>
    <col min="6" max="6" width="6.28515625" customWidth="1"/>
    <col min="7" max="7" width="11.42578125" customWidth="1"/>
    <col min="8" max="8" width="64.85546875" customWidth="1"/>
  </cols>
  <sheetData>
    <row r="1" spans="1:8" s="24" customFormat="1" ht="14.45" customHeight="1" x14ac:dyDescent="0.25">
      <c r="A1" s="22" t="s">
        <v>3398</v>
      </c>
      <c r="B1" s="22" t="s">
        <v>502</v>
      </c>
      <c r="C1" s="22" t="s">
        <v>635</v>
      </c>
      <c r="D1" s="22" t="e">
        <v>#VALUE!</v>
      </c>
      <c r="E1" s="22" t="s">
        <v>2226</v>
      </c>
      <c r="F1" s="22" t="s">
        <v>8</v>
      </c>
      <c r="G1" s="23" t="s">
        <v>2231</v>
      </c>
      <c r="H1" s="22" t="s">
        <v>3416</v>
      </c>
    </row>
    <row r="2" spans="1:8" x14ac:dyDescent="0.25">
      <c r="A2" s="6" t="s">
        <v>2328</v>
      </c>
      <c r="B2" s="10" t="s">
        <v>637</v>
      </c>
      <c r="C2" s="7" t="b">
        <v>1</v>
      </c>
      <c r="D2" s="7">
        <v>0</v>
      </c>
      <c r="E2" s="11" t="s">
        <v>2327</v>
      </c>
      <c r="F2" s="7" t="s">
        <v>139</v>
      </c>
      <c r="G2" s="6" t="s">
        <v>2232</v>
      </c>
      <c r="H2" s="6" t="s">
        <v>2328</v>
      </c>
    </row>
    <row r="3" spans="1:8" x14ac:dyDescent="0.25">
      <c r="A3" s="6" t="s">
        <v>2328</v>
      </c>
      <c r="B3" s="10" t="s">
        <v>638</v>
      </c>
      <c r="C3" s="7" t="b">
        <v>1</v>
      </c>
      <c r="D3" s="7">
        <v>2</v>
      </c>
      <c r="E3" s="12" t="s">
        <v>2329</v>
      </c>
      <c r="F3" s="7" t="s">
        <v>139</v>
      </c>
      <c r="G3" s="6" t="s">
        <v>2232</v>
      </c>
      <c r="H3" s="6" t="s">
        <v>2328</v>
      </c>
    </row>
    <row r="4" spans="1:8" x14ac:dyDescent="0.25">
      <c r="A4" s="6" t="s">
        <v>2328</v>
      </c>
      <c r="B4" s="10" t="s">
        <v>639</v>
      </c>
      <c r="C4" s="7" t="b">
        <v>0</v>
      </c>
      <c r="D4" s="7">
        <v>4</v>
      </c>
      <c r="E4" s="13" t="s">
        <v>144</v>
      </c>
      <c r="F4" s="7" t="s">
        <v>139</v>
      </c>
      <c r="G4" s="6" t="s">
        <v>2232</v>
      </c>
      <c r="H4" s="6" t="s">
        <v>2328</v>
      </c>
    </row>
    <row r="5" spans="1:8" x14ac:dyDescent="0.25">
      <c r="A5" s="6" t="s">
        <v>2328</v>
      </c>
      <c r="B5" s="10" t="s">
        <v>640</v>
      </c>
      <c r="C5" s="7" t="b">
        <v>0</v>
      </c>
      <c r="D5" s="7">
        <v>4</v>
      </c>
      <c r="E5" s="13" t="s">
        <v>117</v>
      </c>
      <c r="F5" s="7" t="s">
        <v>139</v>
      </c>
      <c r="G5" s="6" t="s">
        <v>2232</v>
      </c>
      <c r="H5" s="6" t="s">
        <v>2328</v>
      </c>
    </row>
    <row r="6" spans="1:8" x14ac:dyDescent="0.25">
      <c r="A6" s="6" t="s">
        <v>2328</v>
      </c>
      <c r="B6" s="10" t="s">
        <v>641</v>
      </c>
      <c r="C6" s="7" t="b">
        <v>0</v>
      </c>
      <c r="D6" s="7">
        <v>4</v>
      </c>
      <c r="E6" s="13" t="s">
        <v>147</v>
      </c>
      <c r="F6" s="7" t="s">
        <v>139</v>
      </c>
      <c r="G6" s="6" t="s">
        <v>2232</v>
      </c>
      <c r="H6" s="6" t="s">
        <v>2328</v>
      </c>
    </row>
    <row r="7" spans="1:8" x14ac:dyDescent="0.25">
      <c r="A7" s="6" t="s">
        <v>2328</v>
      </c>
      <c r="B7" s="10" t="s">
        <v>642</v>
      </c>
      <c r="C7" s="7" t="b">
        <v>0</v>
      </c>
      <c r="D7" s="7">
        <v>4</v>
      </c>
      <c r="E7" s="13" t="s">
        <v>116</v>
      </c>
      <c r="F7" s="7" t="s">
        <v>139</v>
      </c>
      <c r="G7" s="6" t="s">
        <v>2232</v>
      </c>
      <c r="H7" s="6" t="s">
        <v>2328</v>
      </c>
    </row>
    <row r="8" spans="1:8" x14ac:dyDescent="0.25">
      <c r="A8" s="6" t="s">
        <v>2328</v>
      </c>
      <c r="B8" s="10" t="s">
        <v>643</v>
      </c>
      <c r="C8" s="7" t="b">
        <v>0</v>
      </c>
      <c r="D8" s="7">
        <v>4</v>
      </c>
      <c r="E8" s="13" t="s">
        <v>150</v>
      </c>
      <c r="F8" s="7" t="s">
        <v>139</v>
      </c>
      <c r="G8" s="6" t="s">
        <v>2232</v>
      </c>
      <c r="H8" s="6" t="s">
        <v>2328</v>
      </c>
    </row>
    <row r="9" spans="1:8" x14ac:dyDescent="0.25">
      <c r="A9" s="6" t="s">
        <v>2328</v>
      </c>
      <c r="B9" s="10" t="s">
        <v>644</v>
      </c>
      <c r="C9" s="7" t="b">
        <v>0</v>
      </c>
      <c r="D9" s="7">
        <v>4</v>
      </c>
      <c r="E9" s="13" t="s">
        <v>115</v>
      </c>
      <c r="F9" s="7" t="s">
        <v>139</v>
      </c>
      <c r="G9" s="6" t="s">
        <v>2232</v>
      </c>
      <c r="H9" s="6" t="s">
        <v>2328</v>
      </c>
    </row>
    <row r="10" spans="1:8" x14ac:dyDescent="0.25">
      <c r="A10" s="6" t="s">
        <v>2328</v>
      </c>
      <c r="B10" s="10" t="s">
        <v>645</v>
      </c>
      <c r="C10" s="7" t="b">
        <v>0</v>
      </c>
      <c r="D10" s="7">
        <v>4</v>
      </c>
      <c r="E10" s="13" t="s">
        <v>114</v>
      </c>
      <c r="F10" s="7" t="s">
        <v>139</v>
      </c>
      <c r="G10" s="6" t="s">
        <v>2232</v>
      </c>
      <c r="H10" s="6" t="s">
        <v>2328</v>
      </c>
    </row>
    <row r="11" spans="1:8" x14ac:dyDescent="0.25">
      <c r="A11" s="6" t="s">
        <v>2328</v>
      </c>
      <c r="B11" s="10" t="s">
        <v>646</v>
      </c>
      <c r="C11" s="7" t="b">
        <v>0</v>
      </c>
      <c r="D11" s="7">
        <v>4</v>
      </c>
      <c r="E11" s="13" t="s">
        <v>113</v>
      </c>
      <c r="F11" s="7" t="s">
        <v>139</v>
      </c>
      <c r="G11" s="6" t="s">
        <v>2232</v>
      </c>
      <c r="H11" s="6" t="s">
        <v>2328</v>
      </c>
    </row>
    <row r="12" spans="1:8" x14ac:dyDescent="0.25">
      <c r="A12" s="6" t="s">
        <v>2328</v>
      </c>
      <c r="B12" s="10" t="s">
        <v>647</v>
      </c>
      <c r="C12" s="7" t="b">
        <v>0</v>
      </c>
      <c r="D12" s="7">
        <v>4</v>
      </c>
      <c r="E12" s="13" t="s">
        <v>112</v>
      </c>
      <c r="F12" s="7" t="s">
        <v>139</v>
      </c>
      <c r="G12" s="6" t="s">
        <v>2232</v>
      </c>
      <c r="H12" s="6" t="s">
        <v>2328</v>
      </c>
    </row>
    <row r="13" spans="1:8" x14ac:dyDescent="0.25">
      <c r="A13" s="6" t="s">
        <v>2328</v>
      </c>
      <c r="B13" s="10" t="s">
        <v>648</v>
      </c>
      <c r="C13" s="7" t="b">
        <v>0</v>
      </c>
      <c r="D13" s="7">
        <v>4</v>
      </c>
      <c r="E13" s="13" t="s">
        <v>111</v>
      </c>
      <c r="F13" s="7" t="s">
        <v>139</v>
      </c>
      <c r="G13" s="6" t="s">
        <v>2232</v>
      </c>
      <c r="H13" s="6" t="s">
        <v>2328</v>
      </c>
    </row>
    <row r="14" spans="1:8" x14ac:dyDescent="0.25">
      <c r="A14" s="6" t="s">
        <v>2328</v>
      </c>
      <c r="B14" s="10" t="s">
        <v>649</v>
      </c>
      <c r="C14" s="7" t="b">
        <v>0</v>
      </c>
      <c r="D14" s="7">
        <v>4</v>
      </c>
      <c r="E14" s="13" t="s">
        <v>110</v>
      </c>
      <c r="F14" s="7" t="s">
        <v>139</v>
      </c>
      <c r="G14" s="6" t="s">
        <v>2232</v>
      </c>
      <c r="H14" s="6" t="s">
        <v>2328</v>
      </c>
    </row>
    <row r="15" spans="1:8" x14ac:dyDescent="0.25">
      <c r="A15" s="6" t="s">
        <v>2328</v>
      </c>
      <c r="B15" s="10" t="s">
        <v>650</v>
      </c>
      <c r="C15" s="7" t="b">
        <v>0</v>
      </c>
      <c r="D15" s="7">
        <v>4</v>
      </c>
      <c r="E15" s="13" t="s">
        <v>158</v>
      </c>
      <c r="F15" s="7" t="s">
        <v>139</v>
      </c>
      <c r="G15" s="6" t="s">
        <v>2232</v>
      </c>
      <c r="H15" s="6" t="s">
        <v>2328</v>
      </c>
    </row>
    <row r="16" spans="1:8" x14ac:dyDescent="0.25">
      <c r="A16" s="6" t="s">
        <v>2328</v>
      </c>
      <c r="B16" s="10" t="s">
        <v>651</v>
      </c>
      <c r="C16" s="7" t="b">
        <v>0</v>
      </c>
      <c r="D16" s="7">
        <v>4</v>
      </c>
      <c r="E16" s="13" t="s">
        <v>109</v>
      </c>
      <c r="F16" s="7" t="s">
        <v>139</v>
      </c>
      <c r="G16" s="6" t="s">
        <v>2232</v>
      </c>
      <c r="H16" s="6" t="s">
        <v>2328</v>
      </c>
    </row>
    <row r="17" spans="1:8" x14ac:dyDescent="0.25">
      <c r="A17" s="6" t="s">
        <v>2328</v>
      </c>
      <c r="B17" s="10" t="s">
        <v>652</v>
      </c>
      <c r="C17" s="7" t="b">
        <v>0</v>
      </c>
      <c r="D17" s="7">
        <v>4</v>
      </c>
      <c r="E17" s="13" t="s">
        <v>653</v>
      </c>
      <c r="F17" s="7" t="s">
        <v>139</v>
      </c>
      <c r="G17" s="6" t="s">
        <v>2232</v>
      </c>
      <c r="H17" s="6" t="s">
        <v>2328</v>
      </c>
    </row>
    <row r="18" spans="1:8" x14ac:dyDescent="0.25">
      <c r="A18" s="6" t="s">
        <v>2328</v>
      </c>
      <c r="B18" s="10" t="s">
        <v>654</v>
      </c>
      <c r="C18" s="7" t="b">
        <v>0</v>
      </c>
      <c r="D18" s="7">
        <v>4</v>
      </c>
      <c r="E18" s="13" t="s">
        <v>108</v>
      </c>
      <c r="F18" s="7" t="s">
        <v>139</v>
      </c>
      <c r="G18" s="6" t="s">
        <v>2232</v>
      </c>
      <c r="H18" s="6" t="s">
        <v>2328</v>
      </c>
    </row>
    <row r="19" spans="1:8" x14ac:dyDescent="0.25">
      <c r="A19" s="6" t="s">
        <v>2328</v>
      </c>
      <c r="B19" s="10" t="s">
        <v>655</v>
      </c>
      <c r="C19" s="7" t="b">
        <v>0</v>
      </c>
      <c r="D19" s="7">
        <v>4</v>
      </c>
      <c r="E19" s="13" t="s">
        <v>162</v>
      </c>
      <c r="F19" s="7" t="s">
        <v>139</v>
      </c>
      <c r="G19" s="6" t="s">
        <v>2232</v>
      </c>
      <c r="H19" s="6" t="s">
        <v>2328</v>
      </c>
    </row>
    <row r="20" spans="1:8" x14ac:dyDescent="0.25">
      <c r="A20" s="6" t="s">
        <v>2328</v>
      </c>
      <c r="B20" s="10" t="s">
        <v>656</v>
      </c>
      <c r="C20" s="7" t="b">
        <v>0</v>
      </c>
      <c r="D20" s="7">
        <v>4</v>
      </c>
      <c r="E20" s="13" t="s">
        <v>164</v>
      </c>
      <c r="F20" s="7" t="s">
        <v>139</v>
      </c>
      <c r="G20" s="6" t="s">
        <v>2232</v>
      </c>
      <c r="H20" s="6" t="s">
        <v>2328</v>
      </c>
    </row>
    <row r="21" spans="1:8" x14ac:dyDescent="0.25">
      <c r="A21" s="6" t="s">
        <v>2328</v>
      </c>
      <c r="B21" s="10" t="s">
        <v>657</v>
      </c>
      <c r="C21" s="7" t="b">
        <v>0</v>
      </c>
      <c r="D21" s="7">
        <v>4</v>
      </c>
      <c r="E21" s="13" t="s">
        <v>166</v>
      </c>
      <c r="F21" s="7" t="s">
        <v>139</v>
      </c>
      <c r="G21" s="6" t="s">
        <v>2232</v>
      </c>
      <c r="H21" s="6" t="s">
        <v>2328</v>
      </c>
    </row>
    <row r="22" spans="1:8" x14ac:dyDescent="0.25">
      <c r="A22" s="6" t="s">
        <v>2328</v>
      </c>
      <c r="B22" s="10" t="s">
        <v>658</v>
      </c>
      <c r="C22" s="7" t="b">
        <v>1</v>
      </c>
      <c r="D22" s="7">
        <v>2</v>
      </c>
      <c r="E22" s="12" t="s">
        <v>2387</v>
      </c>
      <c r="F22" s="7" t="s">
        <v>139</v>
      </c>
      <c r="G22" s="6" t="s">
        <v>2232</v>
      </c>
      <c r="H22" s="6" t="s">
        <v>2328</v>
      </c>
    </row>
    <row r="23" spans="1:8" x14ac:dyDescent="0.25">
      <c r="A23" s="6" t="s">
        <v>2328</v>
      </c>
      <c r="B23" s="10" t="s">
        <v>659</v>
      </c>
      <c r="C23" s="7" t="b">
        <v>0</v>
      </c>
      <c r="D23" s="7">
        <v>4</v>
      </c>
      <c r="E23" s="13" t="s">
        <v>107</v>
      </c>
      <c r="F23" s="7" t="s">
        <v>139</v>
      </c>
      <c r="G23" s="6" t="s">
        <v>2232</v>
      </c>
      <c r="H23" s="6" t="s">
        <v>2328</v>
      </c>
    </row>
    <row r="24" spans="1:8" x14ac:dyDescent="0.25">
      <c r="A24" s="6" t="s">
        <v>2328</v>
      </c>
      <c r="B24" s="10" t="s">
        <v>660</v>
      </c>
      <c r="C24" s="7" t="b">
        <v>0</v>
      </c>
      <c r="D24" s="7">
        <v>4</v>
      </c>
      <c r="E24" s="13" t="s">
        <v>106</v>
      </c>
      <c r="F24" s="7" t="s">
        <v>139</v>
      </c>
      <c r="G24" s="6" t="s">
        <v>2232</v>
      </c>
      <c r="H24" s="6" t="s">
        <v>2328</v>
      </c>
    </row>
    <row r="25" spans="1:8" ht="30" x14ac:dyDescent="0.25">
      <c r="A25" s="6" t="s">
        <v>2328</v>
      </c>
      <c r="B25" s="10" t="s">
        <v>661</v>
      </c>
      <c r="C25" s="7" t="b">
        <v>0</v>
      </c>
      <c r="D25" s="7">
        <v>4</v>
      </c>
      <c r="E25" s="13" t="s">
        <v>105</v>
      </c>
      <c r="F25" s="7" t="s">
        <v>139</v>
      </c>
      <c r="G25" s="6" t="s">
        <v>2232</v>
      </c>
      <c r="H25" s="6" t="s">
        <v>2328</v>
      </c>
    </row>
    <row r="26" spans="1:8" x14ac:dyDescent="0.25">
      <c r="A26" s="6" t="s">
        <v>2328</v>
      </c>
      <c r="B26" s="10" t="s">
        <v>662</v>
      </c>
      <c r="C26" s="7" t="b">
        <v>0</v>
      </c>
      <c r="D26" s="7">
        <v>4</v>
      </c>
      <c r="E26" s="13" t="s">
        <v>104</v>
      </c>
      <c r="F26" s="7" t="s">
        <v>139</v>
      </c>
      <c r="G26" s="6" t="s">
        <v>2232</v>
      </c>
      <c r="H26" s="6" t="s">
        <v>2328</v>
      </c>
    </row>
    <row r="27" spans="1:8" x14ac:dyDescent="0.25">
      <c r="A27" s="6" t="s">
        <v>2328</v>
      </c>
      <c r="B27" s="10" t="s">
        <v>663</v>
      </c>
      <c r="C27" s="7" t="b">
        <v>0</v>
      </c>
      <c r="D27" s="7">
        <v>4</v>
      </c>
      <c r="E27" s="13" t="s">
        <v>103</v>
      </c>
      <c r="F27" s="7" t="s">
        <v>139</v>
      </c>
      <c r="G27" s="6" t="s">
        <v>2232</v>
      </c>
      <c r="H27" s="6" t="s">
        <v>2328</v>
      </c>
    </row>
    <row r="28" spans="1:8" x14ac:dyDescent="0.25">
      <c r="A28" s="6" t="s">
        <v>2328</v>
      </c>
      <c r="B28" s="10" t="s">
        <v>664</v>
      </c>
      <c r="C28" s="7" t="b">
        <v>0</v>
      </c>
      <c r="D28" s="7">
        <v>4</v>
      </c>
      <c r="E28" s="13" t="s">
        <v>102</v>
      </c>
      <c r="F28" s="7" t="s">
        <v>139</v>
      </c>
      <c r="G28" s="6" t="s">
        <v>2232</v>
      </c>
      <c r="H28" s="6" t="s">
        <v>2328</v>
      </c>
    </row>
    <row r="29" spans="1:8" x14ac:dyDescent="0.25">
      <c r="A29" s="6" t="s">
        <v>2328</v>
      </c>
      <c r="B29" s="10" t="s">
        <v>665</v>
      </c>
      <c r="C29" s="7" t="b">
        <v>0</v>
      </c>
      <c r="D29" s="7">
        <v>4</v>
      </c>
      <c r="E29" s="13" t="s">
        <v>101</v>
      </c>
      <c r="F29" s="7" t="s">
        <v>139</v>
      </c>
      <c r="G29" s="6" t="s">
        <v>2232</v>
      </c>
      <c r="H29" s="6" t="s">
        <v>2328</v>
      </c>
    </row>
    <row r="30" spans="1:8" x14ac:dyDescent="0.25">
      <c r="A30" s="6" t="s">
        <v>2328</v>
      </c>
      <c r="B30" s="10" t="s">
        <v>666</v>
      </c>
      <c r="C30" s="7" t="b">
        <v>0</v>
      </c>
      <c r="D30" s="7">
        <v>4</v>
      </c>
      <c r="E30" s="13" t="s">
        <v>100</v>
      </c>
      <c r="F30" s="7" t="s">
        <v>139</v>
      </c>
      <c r="G30" s="6" t="s">
        <v>2232</v>
      </c>
      <c r="H30" s="6" t="s">
        <v>2328</v>
      </c>
    </row>
  </sheetData>
  <conditionalFormatting sqref="E1:E30">
    <cfRule type="expression" dxfId="5" priority="5">
      <formula>$C1</formula>
    </cfRule>
  </conditionalFormatting>
  <conditionalFormatting sqref="G2:G30">
    <cfRule type="cellIs" dxfId="4" priority="4" operator="notEqual">
      <formula>"Approved"</formula>
    </cfRule>
  </conditionalFormatting>
  <conditionalFormatting sqref="F1:F30">
    <cfRule type="cellIs" dxfId="3" priority="3" operator="equal">
      <formula>"Req"</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18"/>
  <sheetViews>
    <sheetView zoomScaleNormal="100" workbookViewId="0">
      <pane ySplit="1" topLeftCell="A8" activePane="bottomLeft" state="frozen"/>
      <selection activeCell="B1" sqref="B1"/>
      <selection pane="bottomLeft" activeCell="D19" sqref="D19"/>
    </sheetView>
  </sheetViews>
  <sheetFormatPr defaultRowHeight="15" x14ac:dyDescent="0.25"/>
  <cols>
    <col min="1" max="1" width="15.7109375" customWidth="1"/>
    <col min="2" max="3" width="8.85546875" hidden="1" customWidth="1"/>
    <col min="4" max="4" width="75.28515625" customWidth="1"/>
    <col min="5" max="5" width="6.28515625" customWidth="1"/>
    <col min="6" max="6" width="11.42578125" customWidth="1"/>
    <col min="7" max="7" width="64.85546875" customWidth="1"/>
  </cols>
  <sheetData>
    <row r="1" spans="1:7" x14ac:dyDescent="0.25">
      <c r="A1" s="15" t="s">
        <v>502</v>
      </c>
      <c r="B1" s="15" t="s">
        <v>635</v>
      </c>
      <c r="C1" s="15" t="e">
        <v>#VALUE!</v>
      </c>
      <c r="D1" s="16" t="s">
        <v>2226</v>
      </c>
      <c r="E1" s="15" t="s">
        <v>8</v>
      </c>
      <c r="F1" s="8" t="s">
        <v>2231</v>
      </c>
      <c r="G1" s="17" t="s">
        <v>3416</v>
      </c>
    </row>
    <row r="2" spans="1:7" x14ac:dyDescent="0.25">
      <c r="A2" s="10" t="s">
        <v>667</v>
      </c>
      <c r="B2" s="7" t="b">
        <v>1</v>
      </c>
      <c r="C2" s="7">
        <v>0</v>
      </c>
      <c r="D2" s="11" t="s">
        <v>2330</v>
      </c>
      <c r="E2" s="7" t="s">
        <v>139</v>
      </c>
      <c r="F2" s="6" t="s">
        <v>2232</v>
      </c>
      <c r="G2" s="6" t="s">
        <v>2328</v>
      </c>
    </row>
    <row r="3" spans="1:7" ht="30" x14ac:dyDescent="0.25">
      <c r="A3" s="10" t="s">
        <v>668</v>
      </c>
      <c r="B3" s="7" t="b">
        <v>0</v>
      </c>
      <c r="C3" s="7">
        <v>2</v>
      </c>
      <c r="D3" s="12" t="s">
        <v>179</v>
      </c>
      <c r="E3" s="7" t="s">
        <v>139</v>
      </c>
      <c r="F3" s="6" t="s">
        <v>2232</v>
      </c>
      <c r="G3" s="6" t="s">
        <v>2328</v>
      </c>
    </row>
    <row r="4" spans="1:7" ht="30" x14ac:dyDescent="0.25">
      <c r="A4" s="10" t="s">
        <v>669</v>
      </c>
      <c r="B4" s="7" t="b">
        <v>0</v>
      </c>
      <c r="C4" s="7">
        <v>2</v>
      </c>
      <c r="D4" s="12" t="s">
        <v>181</v>
      </c>
      <c r="E4" s="7" t="s">
        <v>139</v>
      </c>
      <c r="F4" s="6" t="s">
        <v>2232</v>
      </c>
      <c r="G4" s="6" t="s">
        <v>2328</v>
      </c>
    </row>
    <row r="5" spans="1:7" ht="30" x14ac:dyDescent="0.25">
      <c r="A5" s="10" t="s">
        <v>670</v>
      </c>
      <c r="B5" s="7" t="b">
        <v>0</v>
      </c>
      <c r="C5" s="7">
        <v>2</v>
      </c>
      <c r="D5" s="12" t="s">
        <v>98</v>
      </c>
      <c r="E5" s="7" t="s">
        <v>139</v>
      </c>
      <c r="F5" s="6" t="s">
        <v>2232</v>
      </c>
      <c r="G5" s="6" t="s">
        <v>2328</v>
      </c>
    </row>
    <row r="6" spans="1:7" ht="30" x14ac:dyDescent="0.25">
      <c r="A6" s="10" t="s">
        <v>671</v>
      </c>
      <c r="B6" s="7" t="b">
        <v>0</v>
      </c>
      <c r="C6" s="7">
        <v>2</v>
      </c>
      <c r="D6" s="12" t="s">
        <v>184</v>
      </c>
      <c r="E6" s="7" t="s">
        <v>139</v>
      </c>
      <c r="F6" s="6" t="s">
        <v>2232</v>
      </c>
      <c r="G6" s="6" t="s">
        <v>2328</v>
      </c>
    </row>
    <row r="7" spans="1:7" ht="30" x14ac:dyDescent="0.25">
      <c r="A7" s="10" t="s">
        <v>672</v>
      </c>
      <c r="B7" s="7" t="b">
        <v>0</v>
      </c>
      <c r="C7" s="7">
        <v>2</v>
      </c>
      <c r="D7" s="12" t="s">
        <v>186</v>
      </c>
      <c r="E7" s="7" t="s">
        <v>139</v>
      </c>
      <c r="F7" s="6" t="s">
        <v>2232</v>
      </c>
      <c r="G7" s="6" t="s">
        <v>2328</v>
      </c>
    </row>
    <row r="8" spans="1:7" ht="30" x14ac:dyDescent="0.25">
      <c r="A8" s="10" t="s">
        <v>673</v>
      </c>
      <c r="B8" s="7" t="b">
        <v>0</v>
      </c>
      <c r="C8" s="7">
        <v>2</v>
      </c>
      <c r="D8" s="12" t="s">
        <v>97</v>
      </c>
      <c r="E8" s="7" t="s">
        <v>139</v>
      </c>
      <c r="F8" s="6" t="s">
        <v>2232</v>
      </c>
      <c r="G8" s="6" t="s">
        <v>2328</v>
      </c>
    </row>
    <row r="9" spans="1:7" ht="45" x14ac:dyDescent="0.25">
      <c r="A9" s="10" t="s">
        <v>674</v>
      </c>
      <c r="B9" s="7" t="b">
        <v>0</v>
      </c>
      <c r="C9" s="7">
        <v>2</v>
      </c>
      <c r="D9" s="12" t="s">
        <v>189</v>
      </c>
      <c r="E9" s="7" t="s">
        <v>139</v>
      </c>
      <c r="F9" s="6" t="s">
        <v>2232</v>
      </c>
      <c r="G9" s="6" t="s">
        <v>2328</v>
      </c>
    </row>
    <row r="10" spans="1:7" ht="45" x14ac:dyDescent="0.25">
      <c r="A10" s="10" t="s">
        <v>675</v>
      </c>
      <c r="B10" s="7" t="b">
        <v>0</v>
      </c>
      <c r="C10" s="7">
        <v>2</v>
      </c>
      <c r="D10" s="12" t="s">
        <v>191</v>
      </c>
      <c r="E10" s="7" t="s">
        <v>139</v>
      </c>
      <c r="F10" s="6" t="s">
        <v>2232</v>
      </c>
      <c r="G10" s="6" t="s">
        <v>2328</v>
      </c>
    </row>
    <row r="11" spans="1:7" ht="30" x14ac:dyDescent="0.25">
      <c r="A11" s="10" t="s">
        <v>676</v>
      </c>
      <c r="B11" s="7" t="b">
        <v>0</v>
      </c>
      <c r="C11" s="7">
        <v>2</v>
      </c>
      <c r="D11" s="12" t="s">
        <v>193</v>
      </c>
      <c r="E11" s="7" t="s">
        <v>139</v>
      </c>
      <c r="F11" s="6" t="s">
        <v>2232</v>
      </c>
      <c r="G11" s="6" t="s">
        <v>2328</v>
      </c>
    </row>
    <row r="12" spans="1:7" ht="30" x14ac:dyDescent="0.25">
      <c r="A12" s="10" t="s">
        <v>677</v>
      </c>
      <c r="B12" s="7" t="b">
        <v>0</v>
      </c>
      <c r="C12" s="7">
        <v>2</v>
      </c>
      <c r="D12" s="12" t="s">
        <v>195</v>
      </c>
      <c r="E12" s="7" t="s">
        <v>139</v>
      </c>
      <c r="F12" s="6" t="s">
        <v>2232</v>
      </c>
      <c r="G12" s="6" t="s">
        <v>2328</v>
      </c>
    </row>
    <row r="13" spans="1:7" ht="45" x14ac:dyDescent="0.25">
      <c r="A13" s="10" t="s">
        <v>678</v>
      </c>
      <c r="B13" s="7" t="b">
        <v>0</v>
      </c>
      <c r="C13" s="7">
        <v>2</v>
      </c>
      <c r="D13" s="12" t="s">
        <v>197</v>
      </c>
      <c r="E13" s="7" t="s">
        <v>139</v>
      </c>
      <c r="F13" s="6" t="s">
        <v>2232</v>
      </c>
      <c r="G13" s="6" t="s">
        <v>2328</v>
      </c>
    </row>
    <row r="14" spans="1:7" x14ac:dyDescent="0.25">
      <c r="A14" s="10" t="s">
        <v>679</v>
      </c>
      <c r="B14" s="7" t="b">
        <v>1</v>
      </c>
      <c r="C14" s="7">
        <v>0</v>
      </c>
      <c r="D14" s="11" t="s">
        <v>2388</v>
      </c>
      <c r="E14" s="7" t="s">
        <v>139</v>
      </c>
      <c r="F14" s="6" t="s">
        <v>2232</v>
      </c>
      <c r="G14" s="6" t="s">
        <v>2328</v>
      </c>
    </row>
    <row r="15" spans="1:7" x14ac:dyDescent="0.25">
      <c r="A15" s="10" t="s">
        <v>680</v>
      </c>
      <c r="B15" s="7" t="b">
        <v>0</v>
      </c>
      <c r="C15" s="7">
        <v>2</v>
      </c>
      <c r="D15" s="12" t="s">
        <v>681</v>
      </c>
      <c r="E15" s="7" t="s">
        <v>139</v>
      </c>
      <c r="F15" s="6" t="s">
        <v>2232</v>
      </c>
      <c r="G15" s="6" t="s">
        <v>2328</v>
      </c>
    </row>
    <row r="16" spans="1:7" ht="30" x14ac:dyDescent="0.25">
      <c r="A16" s="10" t="s">
        <v>682</v>
      </c>
      <c r="B16" s="7" t="b">
        <v>0</v>
      </c>
      <c r="C16" s="7">
        <v>2</v>
      </c>
      <c r="D16" s="12" t="s">
        <v>683</v>
      </c>
      <c r="E16" s="7" t="s">
        <v>139</v>
      </c>
      <c r="F16" s="6" t="s">
        <v>2232</v>
      </c>
      <c r="G16" s="6" t="s">
        <v>2328</v>
      </c>
    </row>
    <row r="17" spans="1:7" ht="30" x14ac:dyDescent="0.25">
      <c r="A17" s="10" t="s">
        <v>684</v>
      </c>
      <c r="B17" s="7" t="b">
        <v>0</v>
      </c>
      <c r="C17" s="7">
        <v>2</v>
      </c>
      <c r="D17" s="12" t="s">
        <v>685</v>
      </c>
      <c r="E17" s="7" t="s">
        <v>139</v>
      </c>
      <c r="F17" s="6" t="s">
        <v>2232</v>
      </c>
      <c r="G17" s="6" t="s">
        <v>2328</v>
      </c>
    </row>
    <row r="18" spans="1:7" ht="30" x14ac:dyDescent="0.25">
      <c r="A18" s="10" t="s">
        <v>686</v>
      </c>
      <c r="B18" s="7" t="b">
        <v>0</v>
      </c>
      <c r="C18" s="7">
        <v>2</v>
      </c>
      <c r="D18" s="12" t="s">
        <v>687</v>
      </c>
      <c r="E18" s="7" t="s">
        <v>139</v>
      </c>
      <c r="F18" s="6" t="s">
        <v>2232</v>
      </c>
      <c r="G18" s="6" t="s">
        <v>2328</v>
      </c>
    </row>
  </sheetData>
  <conditionalFormatting sqref="F2:F18">
    <cfRule type="cellIs" dxfId="2" priority="1" operator="notEqual">
      <formula>"Approved"</formula>
    </cfRule>
  </conditionalFormatting>
  <conditionalFormatting sqref="E1:E18">
    <cfRule type="cellIs" dxfId="1" priority="2" operator="equal">
      <formula>"Req"</formula>
    </cfRule>
  </conditionalFormatting>
  <conditionalFormatting sqref="D1:D18">
    <cfRule type="expression" dxfId="0" priority="3">
      <formula>$B1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Cover Sheet</vt:lpstr>
      <vt:lpstr>Prev PMR</vt:lpstr>
      <vt:lpstr>FR</vt:lpstr>
      <vt:lpstr>PMR Form</vt:lpstr>
      <vt:lpstr>PMR</vt:lpstr>
      <vt:lpstr>PrevPFS</vt:lpstr>
      <vt:lpstr>TR</vt:lpstr>
      <vt:lpstr>PFS Form</vt:lpstr>
      <vt:lpstr>PFS</vt:lpstr>
      <vt:lpstr>Acronyms</vt:lpstr>
      <vt:lpstr>Documents</vt:lpstr>
    </vt:vector>
  </TitlesOfParts>
  <Company>Motorola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DSR8xx Adara Software PMR/PFS</dc:title>
  <dc:subject>Iteration 11</dc:subject>
  <dc:creator>rmcgowan33@gmail.com</dc:creator>
  <cp:keywords>365-095-29865 x1</cp:keywords>
  <cp:lastModifiedBy>test</cp:lastModifiedBy>
  <dcterms:created xsi:type="dcterms:W3CDTF">2011-06-28T15:38:27Z</dcterms:created>
  <dcterms:modified xsi:type="dcterms:W3CDTF">2019-08-21T12:19:19Z</dcterms:modified>
</cp:coreProperties>
</file>